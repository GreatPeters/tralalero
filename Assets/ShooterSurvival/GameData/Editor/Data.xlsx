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3423f4ddde4f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업그레이드" sheetId="1" r:id="Rc0dc2ad60df847ff"/>
    <x:sheet xmlns:r="http://schemas.openxmlformats.org/officeDocument/2006/relationships" name="스킨" sheetId="2" r:id="R1a5cbce3b5874d10"/>
    <x:sheet xmlns:r="http://schemas.openxmlformats.org/officeDocument/2006/relationships" name="보너스" sheetId="3" r:id="Rb5eee6d517e147c2"/>
    <x:sheet xmlns:r="http://schemas.openxmlformats.org/officeDocument/2006/relationships" name="몬스터" sheetId="4" r:id="R0e0551b94da14343"/>
    <x:sheet xmlns:r="http://schemas.openxmlformats.org/officeDocument/2006/relationships" name="패턴" sheetId="5" r:id="R84a40cfe8fe64bd4"/>
    <x:sheet xmlns:r="http://schemas.openxmlformats.org/officeDocument/2006/relationships" name="패턴목록" sheetId="6" r:id="Ra7e734c46b6346b3"/>
    <x:sheet xmlns:r="http://schemas.openxmlformats.org/officeDocument/2006/relationships" name="환경 변수" sheetId="7" r:id="R4bcebeca68df4c6e"/>
    <x:sheet xmlns:r="http://schemas.openxmlformats.org/officeDocument/2006/relationships" name="몬스터 성장" sheetId="8" r:id="Ra921bb7af1124147"/>
    <x:sheet xmlns:r="http://schemas.openxmlformats.org/officeDocument/2006/relationships" name="적 배치" sheetId="9" r:id="R0de092a53b8944e5"/>
    <x:sheet xmlns:r="http://schemas.openxmlformats.org/officeDocument/2006/relationships" name="보너스 배치" sheetId="10" r:id="Rd1258b316c7744a0"/>
    <x:sheet xmlns:r="http://schemas.openxmlformats.org/officeDocument/2006/relationships" name="기믹 배치" sheetId="11" r:id="R281a7fc16dde47e7"/>
    <x:sheet xmlns:r="http://schemas.openxmlformats.org/officeDocument/2006/relationships" name="밸런스 조정" sheetId="12" r:id="R18ee533a0263411f"/>
    <x:sheet xmlns:r="http://schemas.openxmlformats.org/officeDocument/2006/relationships" name="커스터마이징" sheetId="13" r:id="R78505db9fdf44abe"/>
  </x:sheets>
</x:workbook>
</file>

<file path=xl/sharedStrings.xml><?xml version="1.0" encoding="utf-8"?>
<x:sst xmlns:x="http://schemas.openxmlformats.org/spreadsheetml/2006/main">
  <x:si>
    <x:t xml:space="preserve">식별 순서</x:t>
  </x:si>
  <x:si>
    <x:t xml:space="preserve">항목(이름)</x:t>
  </x:si>
  <x:si>
    <x:t xml:space="preserve">가격 타입</x:t>
  </x:si>
  <x:si>
    <x:t xml:space="preserve">가격 수치</x:t>
  </x:si>
  <x:si>
    <x:t xml:space="preserve">항목</x:t>
  </x:si>
  <x:si>
    <x:t xml:space="preserve">보너스 타입</x:t>
  </x:si>
  <x:si>
    <x:t xml:space="preserve">보너스 값 타입</x:t>
  </x:si>
  <x:si>
    <x:t xml:space="preserve">보너스 수치</x:t>
  </x:si>
  <x:si>
    <x:t xml:space="preserve">Original</x:t>
  </x:si>
  <x:si>
    <x:t xml:space="preserve">Coin</x:t>
  </x:si>
  <x:si>
    <x:t xml:space="preserve">Pink</x:t>
  </x:si>
  <x:si>
    <x:t xml:space="preserve">보스 데미지</x:t>
  </x:si>
  <x:si>
    <x:t xml:space="preserve">BOSS_DAMAGE</x:t>
  </x:si>
  <x:si>
    <x:t xml:space="preserve">Value</x:t>
  </x:si>
  <x:si>
    <x:t xml:space="preserve">Zombie</x:t>
  </x:si>
  <x:si>
    <x:t xml:space="preserve">공격력</x:t>
  </x:si>
  <x:si>
    <x:t xml:space="preserve">ATT</x:t>
  </x:si>
  <x:si>
    <x:t xml:space="preserve">Ice</x:t>
  </x:si>
  <x:si>
    <x:t xml:space="preserve">공속</x:t>
  </x:si>
  <x:si>
    <x:t xml:space="preserve">ATT_SPEED</x:t>
  </x:si>
  <x:si>
    <x:t xml:space="preserve">Percent</x:t>
  </x:si>
  <x:si>
    <x:t xml:space="preserve">Wood</x:t>
  </x:si>
  <x:si>
    <x:t xml:space="preserve">체력</x:t>
  </x:si>
  <x:si>
    <x:t xml:space="preserve">HP</x:t>
  </x:si>
  <x:si>
    <x:t xml:space="preserve">Fire</x:t>
  </x:si>
  <x:si>
    <x:t xml:space="preserve">Jewel</x:t>
  </x:si>
  <x:si>
    <x:t xml:space="preserve">Army</x:t>
  </x:si>
  <x:si>
    <x:t xml:space="preserve">Cyber</x:t>
  </x:si>
  <x:si>
    <x:t xml:space="preserve">체력 회복</x:t>
  </x:si>
  <x:si>
    <x:t xml:space="preserve">HP_REGEN</x:t>
  </x:si>
  <x:si>
    <x:t xml:space="preserve">Christmas</x:t>
  </x:si>
  <x:si>
    <x:t xml:space="preserve">코인 보너스</x:t>
  </x:si>
  <x:si>
    <x:t xml:space="preserve">COIN_BONUS</x:t>
  </x:si>
  <x:si>
    <x:t xml:space="preserve">식별 순번</x:t>
  </x:si>
  <x:si>
    <x:t xml:space="preserve">식별 Enum</x:t>
  </x:si>
  <x:si>
    <x:t xml:space="preserve">레벨</x:t>
  </x:si>
  <x:si>
    <x:t xml:space="preserve">별칭</x:t>
  </x:si>
  <x:si>
    <x:t xml:space="preserve">이름</x:t>
  </x:si>
  <x:si>
    <x:t xml:space="preserve">수치</x:t>
  </x:si>
  <x:si>
    <x:t xml:space="preserve">수치 타입</x:t>
  </x:si>
  <x:si>
    <x:t xml:space="preserve">기타 설명</x:t>
  </x:si>
  <x:si>
    <x:t xml:space="preserve">최소</x:t>
  </x:si>
  <x:si>
    <x:t xml:space="preserve">최대</x:t>
  </x:si>
  <x:si>
    <x:t xml:space="preserve">Normal</x:t>
  </x:si>
  <x:si>
    <x:t xml:space="preserve">날카로운 일격</x:t>
  </x:si>
  <x:si>
    <x:t xml:space="preserve">att</x:t>
  </x:si>
  <x:si>
    <x:t xml:space="preserve">ratio</x:t>
  </x:si>
  <x:si>
    <x:t xml:space="preserve">전투 본능</x:t>
  </x:si>
  <x:si>
    <x:t xml:space="preserve">attPercent</x:t>
  </x:si>
  <x:si>
    <x:t xml:space="preserve">percent</x:t>
  </x:si>
  <x:si>
    <x:t xml:space="preserve">속사 태세</x:t>
  </x:si>
  <x:si>
    <x:t xml:space="preserve">attackSpeed</x:t>
  </x:si>
  <x:si>
    <x:t xml:space="preserve">장거리 탄</x:t>
  </x:si>
  <x:si>
    <x:t xml:space="preserve">사거리</x:t>
  </x:si>
  <x:si>
    <x:t xml:space="preserve">missileDistance</x:t>
  </x:si>
  <x:si>
    <x:t xml:space="preserve">든든항 생명</x:t>
  </x:si>
  <x:si>
    <x:t xml:space="preserve">hp</x:t>
  </x:si>
  <x:si>
    <x:t xml:space="preserve">생존 본능</x:t>
  </x:si>
  <x:si>
    <x:t xml:space="preserve">hpPercent</x:t>
  </x:si>
  <x:si>
    <x:t xml:space="preserve">Rare</x:t>
  </x:si>
  <x:si>
    <x:t xml:space="preserve">지상 지원군</x:t>
  </x:si>
  <x:si>
    <x:t xml:space="preserve">퉁퉁퉁</x:t>
  </x:si>
  <x:si>
    <x:t xml:space="preserve">tungtungAdd</x:t>
  </x:si>
  <x:si>
    <x:t xml:space="preserve">value</x:t>
  </x:si>
  <x:si>
    <x:t xml:space="preserve">공중 지원군</x:t>
  </x:si>
  <x:si>
    <x:t xml:space="preserve">붐바르</x:t>
  </x:si>
  <x:si>
    <x:t xml:space="preserve">boombarAdd</x:t>
  </x:si>
  <x:si>
    <x:t xml:space="preserve">Unique</x:t>
  </x:si>
  <x:si>
    <x:t xml:space="preserve">다중 탄막</x:t>
  </x:si>
  <x:si>
    <x:t xml:space="preserve">미사일</x:t>
  </x:si>
  <x:si>
    <x:t xml:space="preserve">missileAdd</x:t>
  </x:si>
  <x:si>
    <x:t xml:space="preserve">파멸의 일격</x:t>
  </x:si>
  <x:si>
    <x:t xml:space="preserve">광전사의 힘</x:t>
  </x:si>
  <x:si>
    <x:t xml:space="preserve">폭풍 속사</x:t>
  </x:si>
  <x:si>
    <x:t xml:space="preserve">초월 사격</x:t>
  </x:si>
  <x:si>
    <x:t xml:space="preserve">불굴의 생명</x:t>
  </x:si>
  <x:si>
    <x:t xml:space="preserve">철벽의 생존</x:t>
  </x:si>
  <x:si>
    <x:t xml:space="preserve">순번</x:t>
  </x:si>
  <x:si>
    <x:t xml:space="preserve">챕터</x:t>
  </x:si>
  <x:si>
    <x:t xml:space="preserve">스테이지</x:t>
  </x:si>
  <x:si>
    <x:t xml:space="preserve">티어</x:t>
  </x:si>
  <x:si>
    <x:t xml:space="preserve">Elite</x:t>
  </x:si>
  <x:si>
    <x:t xml:space="preserve">Boss</x:t>
  </x:si>
  <x:si>
    <x:t xml:space="preserve">1패턴</x:t>
  </x:si>
  <x:si>
    <x:t xml:space="preserve">1난이도</x:t>
  </x:si>
  <x:si>
    <x:t xml:space="preserve">2패턴</x:t>
  </x:si>
  <x:si>
    <x:t xml:space="preserve">2난이도</x:t>
  </x:si>
  <x:si>
    <x:t xml:space="preserve">3패턴</x:t>
  </x:si>
  <x:si>
    <x:t xml:space="preserve">3난이도</x:t>
  </x:si>
  <x:si>
    <x:t xml:space="preserve">4패턴</x:t>
  </x:si>
  <x:si>
    <x:t xml:space="preserve">4난이도</x:t>
  </x:si>
  <x:si>
    <x:t xml:space="preserve">5패턴</x:t>
  </x:si>
  <x:si>
    <x:t xml:space="preserve">5난이도</x:t>
  </x:si>
  <x:si>
    <x:t xml:space="preserve">6패턴</x:t>
  </x:si>
  <x:si>
    <x:t xml:space="preserve">6난이도</x:t>
  </x:si>
  <x:si>
    <x:t xml:space="preserve">기타설명</x:t>
  </x:si>
  <x:si>
    <x:t xml:space="preserve">Oil</x:t>
  </x:si>
  <x:si>
    <x:t xml:space="preserve">Easy</x:t>
  </x:si>
  <x:si>
    <x:t xml:space="preserve">Hole</x:t>
  </x:si>
  <x:si>
    <x:t xml:space="preserve">초반 튜토리얼: Hole/Oil/Bucket 학습</x:t>
  </x:si>
  <x:si>
    <x:t xml:space="preserve">Bucket</x:t>
  </x:si>
  <x:si>
    <x:t xml:space="preserve">Light 도입</x:t>
  </x:si>
  <x:si>
    <x:t xml:space="preserve">Light</x:t>
  </x:si>
  <x:si>
    <x:t xml:space="preserve">Seagull 입문</x:t>
  </x:si>
  <x:si>
    <x:t xml:space="preserve">Seagull</x:t>
  </x:si>
  <x:si>
    <x:t xml:space="preserve">Ship 입문</x:t>
  </x:si>
  <x:si>
    <x:t xml:space="preserve">Ship</x:t>
  </x:si>
  <x:si>
    <x:t xml:space="preserve">Dolphin</x:t>
  </x:si>
  <x:si>
    <x:t xml:space="preserve">5챕터: Dolphin 입문, 해상 적응</x:t>
  </x:si>
  <x:si>
    <x:t xml:space="preserve">Hard</x:t>
  </x:si>
  <x:si>
    <x:t xml:space="preserve">6챕터: 중반 혼합 압박</x:t>
  </x:si>
  <x:si>
    <x:t xml:space="preserve">Oldman</x:t>
  </x:si>
  <x:si>
    <x:t xml:space="preserve">7챕터: Oldman 도입, 후열 압박 학습</x:t>
  </x:si>
  <x:si>
    <x:t xml:space="preserve">8챕터: 복합 패턴, 지상/해상/공중 혼합</x:t>
  </x:si>
  <x:si>
    <x:t xml:space="preserve">9챕터: Hard 비중 증가, 변주 강화</x:t>
  </x:si>
  <x:si>
    <x:t xml:space="preserve">10챕터: 엔드게임 최종 조합</x:t>
  </x:si>
  <x:si>
    <x:t xml:space="preserve">Pattern</x:t>
  </x:si>
  <x:si>
    <x:t xml:space="preserve">Difficulty</x:t>
  </x:si>
  <x:si>
    <x:t xml:space="preserve">None</x:t>
  </x:si>
  <x:si>
    <x:t xml:space="preserve">초기 공격력</x:t>
  </x:si>
  <x:si>
    <x:t xml:space="preserve">최종 공격력</x:t>
  </x:si>
  <x:si>
    <x:t xml:space="preserve">초기 체력</x:t>
  </x:si>
  <x:si>
    <x:t xml:space="preserve">최종 체력</x:t>
  </x:si>
  <x:si>
    <x:t xml:space="preserve">계수</x:t>
  </x:si>
  <x:si>
    <x:t xml:space="preserve">참고용</x:t>
  </x:si>
</x:sst>
</file>

<file path=xl/styles.xml><?xml version="1.0" encoding="utf-8"?>
<x:styleSheet xmlns:x="http://schemas.openxmlformats.org/spreadsheetml/2006/main">
  <x:numFmts count="7">
    <x:numFmt numFmtId="164" formatCode="0"/>
    <x:numFmt numFmtId="166" formatCode="#,##0"/>
    <x:numFmt numFmtId="167" formatCode="0%"/>
    <x:numFmt numFmtId="180" formatCode="0.0"/>
    <x:numFmt numFmtId="198" formatCode="0.##"/>
    <x:numFmt numFmtId="4644" formatCode="0.0%"/>
    <x:numFmt numFmtId="9126" formatCode="0.00"/>
  </x:numFmts>
  <x:fonts count="14">
    <x:font>
      <x:sz val="11"/>
      <x:color theme="1"/>
      <x:name val="맑은 고딕"/>
    </x:font>
    <x:font>
      <x:sz val="8"/>
      <x:name val="맑은 고딕"/>
    </x:font>
    <x:font>
      <x:sz val="11"/>
      <x:color rgb="FFCCCCCC"/>
      <x:name val="Consolas"/>
    </x:font>
    <x:font>
      <x:b/>
      <x:sz val="11"/>
      <x:color theme="1"/>
      <x:name val="맑은 고딕"/>
    </x:font>
    <x:font>
      <x:b/>
      <x:sz val="11"/>
      <x:color rgb="FFFFFFFF"/>
      <x:name val="맑은 고딕"/>
    </x:font>
    <x:font>
      <x:sz val="11"/>
      <x:name val="Carlito"/>
    </x:font>
    <x:font>
      <x:sz val="11"/>
      <x:name val="Arial"/>
    </x:font>
    <x:font>
      <x:b/>
      <x:sz val="11"/>
      <x:name val="Arial"/>
    </x:font>
    <x:font>
      <x:b/>
      <x:sz val="11"/>
      <x:color theme="1"/>
      <x:name val="Arial"/>
    </x:font>
    <x:font>
      <x:sz val="11"/>
      <x:color theme="1"/>
      <x:name val="Arial"/>
    </x:font>
    <x:font>
      <x:b/>
      <x:sz val="14"/>
      <x:color theme="1"/>
      <x:name val="Arial"/>
    </x:font>
    <x:font>
      <x:sz val="10"/>
      <x:color theme="1"/>
      <x:name val="Arial"/>
    </x:font>
    <x:font>
      <x:sz val="11"/>
      <x:color theme="1"/>
      <x:name val="Malgun Gothic"/>
    </x:font>
    <x:font>
      <x:b/>
      <x:sz val="11"/>
      <x:color theme="1"/>
      <x:name val="Malgun Gothic"/>
    </x:font>
  </x:fonts>
  <x:fills count="13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theme="9"/>
      </x:patternFill>
    </x:fill>
    <x:fill>
      <x:patternFill patternType="solid">
        <x:fgColor theme="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rgb="FF1F4E79"/>
      </x:patternFill>
    </x:fill>
    <x:fill>
      <x:patternFill patternType="solid">
        <x:fgColor rgb="FFDDE6ED"/>
      </x:patternFill>
    </x:fill>
    <x:fill>
      <x:patternFill patternType="solid">
        <x:fgColor rgb="FFFFF6DC"/>
      </x:patternFill>
    </x:fill>
    <x:fill>
      <x:patternFill patternType="solid">
        <x:fgColor rgb="FFFFFFFF"/>
      </x:patternFill>
    </x:fill>
    <x:fill>
      <x:patternFill patternType="solid">
        <x:fgColor rgb="FFDBE5EF"/>
      </x:patternFill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2">
    <x:xf numFmtId="0" fontId="0" fillId="0" borderId="0"/>
    <x:xf numFmtId="0" fontId="5" fillId="0" borderId="0"/>
  </x:cellStyleXfs>
  <x:cellXfs count="59">
    <x:xf numFmtId="0" fontId="0" fillId="0" borderId="0" xfId="0"/>
    <x:xf numFmtId="0" fontId="0" fillId="0" borderId="0" xfId="0" applyFont="1"/>
    <x:xf numFmtId="0" fontId="2" fillId="0" borderId="0" xfId="0" applyFont="1" applyAlignment="1">
      <x:alignment vertical="center"/>
    </x:xf>
    <x:xf numFmtId="0" fontId="0" fillId="2" borderId="0" xfId="0" applyFill="1"/>
    <x:xf numFmtId="0" fontId="0" fillId="3" borderId="0" xfId="0" applyFill="1"/>
    <x:xf numFmtId="9" fontId="0" fillId="0" borderId="0" xfId="0" applyNumberFormat="1"/>
    <x:xf numFmtId="0" fontId="0" fillId="4" borderId="0" xfId="0" applyFill="1"/>
    <x:xf numFmtId="0" fontId="0" fillId="5" borderId="0" xfId="0" applyFill="1"/>
    <x:xf numFmtId="0" fontId="0" fillId="6" borderId="0" xfId="0" applyFill="1"/>
    <x:xf numFmtId="0" fontId="0" fillId="7" borderId="0" xfId="0" applyFill="1"/>
    <x:xf numFmtId="0" fontId="0" fillId="0" borderId="0" xfId="0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4" fillId="8" borderId="0" xfId="0" applyFont="1" applyFill="1" applyAlignment="1">
      <x:alignment horizontal="center" vertical="center"/>
    </x:xf>
    <x:xf numFmtId="0" fontId="0" fillId="0" borderId="1" xfId="0" applyBorder="1" applyAlignment="1">
      <x:alignment horizontal="center" vertical="center"/>
    </x:xf>
    <x:xf numFmtId="0" fontId="0" fillId="0" borderId="1" xfId="0" applyBorder="1"/>
    <x:xf numFmtId="0" fontId="0" fillId="0" borderId="1" xfId="0" applyBorder="1" applyAlignment="1">
      <x:alignment horizontal="center"/>
    </x:xf>
    <x:xf numFmtId="0" fontId="5" fillId="0" borderId="0" xfId="1"/>
    <x:xf numFmtId="0" fontId="6" fillId="0" borderId="0" xfId="1" applyNumberFormat="1" applyFont="1" applyFill="1" applyBorder="1"/>
    <x:xf numFmtId="0" fontId="6" fillId="9" borderId="0" xfId="1" applyNumberFormat="1" applyFont="1" applyFill="1" applyBorder="1"/>
    <x:xf numFmtId="0" fontId="7" fillId="9" borderId="0" xfId="1" applyNumberFormat="1" applyFont="1" applyFill="1" applyBorder="1"/>
    <x:xf numFmtId="0" fontId="6" fillId="0" borderId="0" xfId="1" applyNumberFormat="1" applyFont="1" applyFill="1" applyBorder="1" applyAlignment="1">
      <x:alignment wrapText="1"/>
    </x:xf>
    <x:xf numFmtId="164" fontId="6" fillId="0" borderId="0" xfId="1" applyNumberFormat="1" applyFont="1" applyFill="1" applyBorder="1"/>
    <x:xf numFmtId="164" fontId="6" fillId="10" borderId="0" xfId="1" applyNumberFormat="1" applyFont="1" applyFill="1" applyBorder="1"/>
    <x:xf numFmtId="0" fontId="6" fillId="10" borderId="0" xfId="1" applyNumberFormat="1" applyFont="1" applyFill="1" applyBorder="1"/>
    <x:xf numFmtId="0" fontId="6" fillId="11" borderId="0" xfId="1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9" fillId="0" borderId="0" xfId="0" applyNumberFormat="1" applyFont="1" applyFill="1" applyBorder="1"/>
    <x:xf numFmtId="0" fontId="9" fillId="10" borderId="0" xfId="0" applyNumberFormat="1" applyFont="1" applyFill="1" applyBorder="1"/>
    <x:xf numFmtId="166" fontId="9" fillId="10" borderId="0" xfId="0" applyNumberFormat="1" applyFont="1" applyFill="1" applyBorder="1"/>
    <x:xf numFmtId="167" fontId="9" fillId="10" borderId="0" xfId="0" applyNumberFormat="1" applyFont="1" applyFill="1" applyBorder="1"/>
    <x:xf numFmtId="167" fontId="0" fillId="0" borderId="0" xfId="0" applyNumberFormat="1" applyFont="1" applyFill="1" applyBorder="1"/>
    <x:xf numFmtId="180" fontId="0" fillId="0" borderId="0" xfId="0" applyNumberFormat="1" applyFont="1" applyFill="1" applyBorder="1"/>
    <x:xf numFmtId="167" fontId="9" fillId="0" borderId="0" xfId="0" applyNumberFormat="1" applyFont="1" applyFill="1" applyBorder="1"/>
    <x:xf numFmtId="0" fontId="9" fillId="9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198" fontId="9" fillId="0" borderId="0" xfId="0" applyNumberFormat="1" applyFont="1" applyFill="1" applyBorder="1"/>
    <x:xf numFmtId="198" fontId="9" fillId="10" borderId="0" xfId="0" applyNumberFormat="1" applyFont="1" applyFill="1" applyBorder="1"/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2" fillId="12" borderId="0" xfId="0" applyNumberFormat="1" applyFont="1" applyFill="1" applyBorder="1"/>
    <x:xf numFmtId="0" fontId="13" fillId="12" borderId="0" xfId="0" applyNumberFormat="1" applyFont="1" applyFill="1" applyBorder="1"/>
    <x:xf numFmtId="0" fontId="12" fillId="10" borderId="0" xfId="0" applyNumberFormat="1" applyFont="1" applyFill="1" applyBorder="1"/>
    <x:xf numFmtId="4644" fontId="12" fillId="1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0" borderId="0" xfId="0" applyNumberFormat="1" applyFont="1" applyFill="1" applyBorder="1"/>
    <x:xf numFmtId="0" fontId="0" fillId="1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10" borderId="0" xfId="0" applyNumberFormat="1" applyFont="1" applyFill="1" applyBorder="1"/>
    <x:xf numFmtId="9126" fontId="0" fillId="10" borderId="0" xfId="0" applyNumberFormat="1" applyFont="1" applyFill="1" applyBorder="1"/>
    <x:xf numFmtId="164" fontId="9" fillId="10" borderId="0" xfId="0" applyNumberFormat="1" applyFont="1" applyFill="1" applyBorder="1"/>
    <x:xf numFmtId="9126" fontId="9" fillId="1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9126" fontId="12" fillId="10" borderId="0" xfId="0" applyNumberFormat="1" applyFont="1" applyFill="1" applyBorder="1"/>
    <x:xf numFmtId="167" fontId="12" fillId="10" borderId="0" xfId="0" applyNumberFormat="1" applyFont="1" applyFill="1" applyBorder="1"/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581b621d38444c" /><Relationship Type="http://schemas.openxmlformats.org/officeDocument/2006/relationships/theme" Target="/xl/theme/theme1.xml" Id="R3540d72c9fb84c92" /><Relationship Type="http://schemas.openxmlformats.org/officeDocument/2006/relationships/sharedStrings" Target="/xl/sharedStrings.xml" Id="R054297333f6d47ca" /><Relationship Type="http://schemas.openxmlformats.org/officeDocument/2006/relationships/worksheet" Target="/xl/worksheets/sheet1.xml" Id="Rc0dc2ad60df847ff" /><Relationship Type="http://schemas.openxmlformats.org/officeDocument/2006/relationships/worksheet" Target="/xl/worksheets/sheet2.xml" Id="R1a5cbce3b5874d10" /><Relationship Type="http://schemas.openxmlformats.org/officeDocument/2006/relationships/worksheet" Target="/xl/worksheets/sheet3.xml" Id="Rb5eee6d517e147c2" /><Relationship Type="http://schemas.openxmlformats.org/officeDocument/2006/relationships/worksheet" Target="/xl/worksheets/sheet4.xml" Id="R0e0551b94da14343" /><Relationship Type="http://schemas.openxmlformats.org/officeDocument/2006/relationships/worksheet" Target="/xl/worksheets/sheet5.xml" Id="R84a40cfe8fe64bd4" /><Relationship Type="http://schemas.openxmlformats.org/officeDocument/2006/relationships/worksheet" Target="/xl/worksheets/sheet6.xml" Id="Ra7e734c46b6346b3" /><Relationship Type="http://schemas.openxmlformats.org/officeDocument/2006/relationships/worksheet" Target="/xl/worksheets/sheet7.xml" Id="R4bcebeca68df4c6e" /><Relationship Type="http://schemas.openxmlformats.org/officeDocument/2006/relationships/worksheet" Target="/xl/worksheets/sheet8.xml" Id="Ra921bb7af1124147" /><Relationship Type="http://schemas.openxmlformats.org/officeDocument/2006/relationships/worksheet" Target="/xl/worksheets/sheet9.xml" Id="R0de092a53b8944e5" /><Relationship Type="http://schemas.openxmlformats.org/officeDocument/2006/relationships/worksheet" Target="/xl/worksheets/sheet10.xml" Id="Rd1258b316c7744a0" /><Relationship Type="http://schemas.openxmlformats.org/officeDocument/2006/relationships/worksheet" Target="/xl/worksheets/sheet11.xml" Id="R281a7fc16dde47e7" /><Relationship Type="http://schemas.openxmlformats.org/officeDocument/2006/relationships/worksheet" Target="/xl/worksheets/sheet12.xml" Id="R18ee533a0263411f" /><Relationship Type="http://schemas.openxmlformats.org/officeDocument/2006/relationships/worksheet" Target="/xl/worksheets/sheet13.xml" Id="R78505db9fdf44ab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6.5"/>
  <x:cols>
    <x:col min="3" max="3" width="18.625" customWidth="1"/>
    <x:col min="5" max="5" width="13" customWidth="1"/>
    <x:col min="10" max="10" width="25.75" customWidth="1"/>
  </x:cols>
  <x:sheetData>
    <x:row r="2">
      <x:c r="B2" t="inlineStr">
        <x:is>
          <x:t xml:space="preserve">식별 순번</x:t>
        </x:is>
      </x:c>
      <x:c r="C2" t="inlineStr">
        <x:is>
          <x:t xml:space="preserve">식별 Enum</x:t>
        </x:is>
      </x:c>
      <x:c r="D2" t="inlineStr">
        <x:is>
          <x:t xml:space="preserve">레벨</x:t>
        </x:is>
      </x:c>
      <x:c r="E2" t="inlineStr">
        <x:is>
          <x:t xml:space="preserve">항목</x:t>
        </x:is>
      </x:c>
      <x:c r="F2" t="inlineStr">
        <x:is>
          <x:t xml:space="preserve">수치</x:t>
        </x:is>
      </x:c>
      <x:c r="G2" t="inlineStr">
        <x:is>
          <x:t xml:space="preserve">수치 타입</x:t>
        </x:is>
      </x:c>
      <x:c r="H2" t="inlineStr">
        <x:is>
          <x:t xml:space="preserve">가격 타입</x:t>
        </x:is>
      </x:c>
      <x:c r="I2" t="inlineStr">
        <x:is>
          <x:t xml:space="preserve">가격 수치</x:t>
        </x:is>
      </x:c>
      <x:c r="J2" t="inlineStr">
        <x:is>
          <x:t xml:space="preserve">기타 설명</x:t>
        </x:is>
      </x:c>
    </x:row>
    <x:row r="3">
      <x:c r="B3" t="n">
        <x:v>1</x:v>
      </x:c>
      <x:c r="C3" t="str">
        <x:v>ATT</x:v>
      </x:c>
      <x:c r="D3" t="n">
        <x:v>1</x:v>
      </x:c>
      <x:c r="E3" t="str">
        <x:v>공격력</x:v>
      </x:c>
      <x:c r="F3" t="n">
        <x:f>'밸런스 조정'!$C$3+'밸런스 조정'!$D$3*D3</x:f>
        <x:v>4</x:v>
      </x:c>
      <x:c r="G3" t="str">
        <x:v>value</x:v>
      </x:c>
      <x:c r="H3" t="str">
        <x:v>Coin</x:v>
      </x:c>
      <x:c r="I3" t="n">
        <x:f>ROUND('밸런스 조정'!$E$3+'밸런스 조정'!$F$3*(D3-1)+'밸런스 조정'!$C$69*MAX(0,D3-3)^2,0)</x:f>
        <x:v>10</x:v>
      </x:c>
      <x:c r="J3" t="str">
        <x:v>기본 공격력 증가</x:v>
      </x:c>
      <x:c r="K3" s="2"/>
    </x:row>
    <x:row r="4">
      <x:c r="B4" t="n">
        <x:v>1</x:v>
      </x:c>
      <x:c r="C4" t="str">
        <x:v>ATT</x:v>
      </x:c>
      <x:c r="D4" t="n">
        <x:v>2</x:v>
      </x:c>
      <x:c r="E4" t="str">
        <x:v>공격력</x:v>
      </x:c>
      <x:c r="F4" t="n">
        <x:f>'밸런스 조정'!$C$3+'밸런스 조정'!$D$3*D4</x:f>
        <x:v>8</x:v>
      </x:c>
      <x:c r="G4" t="str">
        <x:v>value</x:v>
      </x:c>
      <x:c r="H4" t="str">
        <x:v>Coin</x:v>
      </x:c>
      <x:c r="I4" t="n">
        <x:f>ROUND('밸런스 조정'!$E$3+'밸런스 조정'!$F$3*(D4-1)+'밸런스 조정'!$C$69*MAX(0,D4-3)^2,0)</x:f>
        <x:v>15</x:v>
      </x:c>
      <x:c r="J4" t="str">
        <x:v>기본 공격력 증가</x:v>
      </x:c>
      <x:c r="K4" s="2"/>
    </x:row>
    <x:row r="5">
      <x:c r="B5" t="n">
        <x:v>1</x:v>
      </x:c>
      <x:c r="C5" t="str">
        <x:v>ATT</x:v>
      </x:c>
      <x:c r="D5" t="n">
        <x:v>3</x:v>
      </x:c>
      <x:c r="E5" t="str">
        <x:v>공격력</x:v>
      </x:c>
      <x:c r="F5" t="n">
        <x:f>'밸런스 조정'!$C$3+'밸런스 조정'!$D$3*D5</x:f>
        <x:v>12</x:v>
      </x:c>
      <x:c r="G5" t="str">
        <x:v>value</x:v>
      </x:c>
      <x:c r="H5" t="str">
        <x:v>Coin</x:v>
      </x:c>
      <x:c r="I5" t="n">
        <x:f>ROUND('밸런스 조정'!$E$3+'밸런스 조정'!$F$3*(D5-1)+'밸런스 조정'!$C$69*MAX(0,D5-3)^2,0)</x:f>
        <x:v>20</x:v>
      </x:c>
      <x:c r="J5" t="str">
        <x:v>기본 공격력 증가</x:v>
      </x:c>
      <x:c r="K5" s="2"/>
    </x:row>
    <x:row r="6">
      <x:c r="B6" t="n">
        <x:v>1</x:v>
      </x:c>
      <x:c r="C6" t="str">
        <x:v>ATT</x:v>
      </x:c>
      <x:c r="D6" t="n">
        <x:v>4</x:v>
      </x:c>
      <x:c r="E6" t="str">
        <x:v>공격력</x:v>
      </x:c>
      <x:c r="F6" t="n">
        <x:f>'밸런스 조정'!$C$3+'밸런스 조정'!$D$3*D6</x:f>
        <x:v>16</x:v>
      </x:c>
      <x:c r="G6" t="str">
        <x:v>value</x:v>
      </x:c>
      <x:c r="H6" t="str">
        <x:v>Coin</x:v>
      </x:c>
      <x:c r="I6" t="n">
        <x:f>ROUND('밸런스 조정'!$E$3+'밸런스 조정'!$F$3*(D6-1)+'밸런스 조정'!$C$69*MAX(0,D6-3)^2,0)</x:f>
        <x:v>28</x:v>
      </x:c>
      <x:c r="J6" t="str">
        <x:v>기본 공격력 증가</x:v>
      </x:c>
      <x:c r="K6" s="2"/>
    </x:row>
    <x:row r="7">
      <x:c r="B7" t="n">
        <x:v>1</x:v>
      </x:c>
      <x:c r="C7" t="str">
        <x:v>ATT</x:v>
      </x:c>
      <x:c r="D7" t="n">
        <x:v>5</x:v>
      </x:c>
      <x:c r="E7" t="str">
        <x:v>공격력</x:v>
      </x:c>
      <x:c r="F7" t="n">
        <x:f>'밸런스 조정'!$C$3+'밸런스 조정'!$D$3*D7</x:f>
        <x:v>20</x:v>
      </x:c>
      <x:c r="G7" t="str">
        <x:v>value</x:v>
      </x:c>
      <x:c r="H7" t="str">
        <x:v>Coin</x:v>
      </x:c>
      <x:c r="I7" t="n">
        <x:f>ROUND('밸런스 조정'!$E$3+'밸런스 조정'!$F$3*(D7-1)+'밸런스 조정'!$C$69*MAX(0,D7-3)^2,0)</x:f>
        <x:v>42</x:v>
      </x:c>
      <x:c r="J7" t="str">
        <x:v>기본 공격력 증가</x:v>
      </x:c>
      <x:c r="K7" s="2"/>
    </x:row>
    <x:row r="8">
      <x:c r="B8" t="n">
        <x:v>1</x:v>
      </x:c>
      <x:c r="C8" t="str">
        <x:v>ATT</x:v>
      </x:c>
      <x:c r="D8" t="n">
        <x:v>6</x:v>
      </x:c>
      <x:c r="E8" t="str">
        <x:v>공격력</x:v>
      </x:c>
      <x:c r="F8" t="n">
        <x:f>'밸런스 조정'!$C$3+'밸런스 조정'!$D$3*D8</x:f>
        <x:v>24</x:v>
      </x:c>
      <x:c r="G8" t="str">
        <x:v>value</x:v>
      </x:c>
      <x:c r="H8" t="str">
        <x:v>Coin</x:v>
      </x:c>
      <x:c r="I8" t="n">
        <x:f>ROUND('밸런스 조정'!$E$3+'밸런스 조정'!$F$3*(D8-1)+'밸런스 조정'!$C$69*MAX(0,D8-3)^2,0)</x:f>
        <x:v>63</x:v>
      </x:c>
      <x:c r="J8" t="str">
        <x:v>기본 공격력 증가</x:v>
      </x:c>
      <x:c r="K8" s="2"/>
    </x:row>
    <x:row r="9">
      <x:c r="B9" t="n">
        <x:v>1</x:v>
      </x:c>
      <x:c r="C9" t="str">
        <x:v>ATT</x:v>
      </x:c>
      <x:c r="D9" t="n">
        <x:v>7</x:v>
      </x:c>
      <x:c r="E9" t="str">
        <x:v>공격력</x:v>
      </x:c>
      <x:c r="F9" t="n">
        <x:f>'밸런스 조정'!$C$3+'밸런스 조정'!$D$3*D9</x:f>
        <x:v>28</x:v>
      </x:c>
      <x:c r="G9" t="str">
        <x:v>value</x:v>
      </x:c>
      <x:c r="H9" t="str">
        <x:v>Coin</x:v>
      </x:c>
      <x:c r="I9" t="n">
        <x:f>ROUND('밸런스 조정'!$E$3+'밸런스 조정'!$F$3*(D9-1)+'밸런스 조정'!$C$69*MAX(0,D9-3)^2,0)</x:f>
        <x:v>90</x:v>
      </x:c>
      <x:c r="J9" t="str">
        <x:v>기본 공격력 증가</x:v>
      </x:c>
      <x:c r="K9" s="2"/>
    </x:row>
    <x:row r="10">
      <x:c r="B10" t="n">
        <x:v>1</x:v>
      </x:c>
      <x:c r="C10" t="str">
        <x:v>ATT</x:v>
      </x:c>
      <x:c r="D10" t="n">
        <x:v>8</x:v>
      </x:c>
      <x:c r="E10" t="str">
        <x:v>공격력</x:v>
      </x:c>
      <x:c r="F10" t="n">
        <x:f>'밸런스 조정'!$C$3+'밸런스 조정'!$D$3*D10</x:f>
        <x:v>32</x:v>
      </x:c>
      <x:c r="G10" t="str">
        <x:v>value</x:v>
      </x:c>
      <x:c r="H10" t="str">
        <x:v>Coin</x:v>
      </x:c>
      <x:c r="I10" t="n">
        <x:f>ROUND('밸런스 조정'!$E$3+'밸런스 조정'!$F$3*(D10-1)+'밸런스 조정'!$C$69*MAX(0,D10-3)^2,0)</x:f>
        <x:v>123</x:v>
      </x:c>
      <x:c r="J10" t="str">
        <x:v>기본 공격력 증가</x:v>
      </x:c>
      <x:c r="K10" s="2"/>
    </x:row>
    <x:row r="11">
      <x:c r="B11" t="n">
        <x:v>1</x:v>
      </x:c>
      <x:c r="C11" t="str">
        <x:v>ATT</x:v>
      </x:c>
      <x:c r="D11" t="n">
        <x:v>9</x:v>
      </x:c>
      <x:c r="E11" t="str">
        <x:v>공격력</x:v>
      </x:c>
      <x:c r="F11" t="n">
        <x:f>'밸런스 조정'!$C$3+'밸런스 조정'!$D$3*D11</x:f>
        <x:v>36</x:v>
      </x:c>
      <x:c r="G11" t="str">
        <x:v>value</x:v>
      </x:c>
      <x:c r="H11" t="str">
        <x:v>Coin</x:v>
      </x:c>
      <x:c r="I11" t="n">
        <x:f>ROUND('밸런스 조정'!$E$3+'밸런스 조정'!$F$3*(D11-1)+'밸런스 조정'!$C$69*MAX(0,D11-3)^2,0)</x:f>
        <x:v>162</x:v>
      </x:c>
      <x:c r="J11" t="str">
        <x:v>기본 공격력 증가</x:v>
      </x:c>
      <x:c r="K11" s="2"/>
    </x:row>
    <x:row r="12">
      <x:c r="B12" t="n">
        <x:v>1</x:v>
      </x:c>
      <x:c r="C12" t="str">
        <x:v>ATT</x:v>
      </x:c>
      <x:c r="D12" t="n">
        <x:v>10</x:v>
      </x:c>
      <x:c r="E12" t="str">
        <x:v>공격력</x:v>
      </x:c>
      <x:c r="F12" t="n">
        <x:f>'밸런스 조정'!$C$3+'밸런스 조정'!$D$3*D12</x:f>
        <x:v>40</x:v>
      </x:c>
      <x:c r="G12" t="str">
        <x:v>value</x:v>
      </x:c>
      <x:c r="H12" t="str">
        <x:v>Coin</x:v>
      </x:c>
      <x:c r="I12" t="n">
        <x:f>ROUND('밸런스 조정'!$E$3+'밸런스 조정'!$F$3*(D12-1)+'밸런스 조정'!$C$69*MAX(0,D12-3)^2,0)</x:f>
        <x:v>207</x:v>
      </x:c>
      <x:c r="J12" t="str">
        <x:v>기본 공격력 증가</x:v>
      </x:c>
    </x:row>
    <x:row r="13">
      <x:c r="B13" t="n">
        <x:v>1</x:v>
      </x:c>
      <x:c r="C13" t="str">
        <x:v>ATT</x:v>
      </x:c>
      <x:c r="D13" t="n">
        <x:v>11</x:v>
      </x:c>
      <x:c r="E13" t="str">
        <x:v>공격력</x:v>
      </x:c>
      <x:c r="F13" t="n">
        <x:f>'밸런스 조정'!$C$3+'밸런스 조정'!$D$3*D13</x:f>
        <x:v>44</x:v>
      </x:c>
      <x:c r="G13" t="str">
        <x:v>value</x:v>
      </x:c>
      <x:c r="H13" t="str">
        <x:v>Coin</x:v>
      </x:c>
      <x:c r="I13" t="n">
        <x:f>ROUND('밸런스 조정'!$E$3+'밸런스 조정'!$F$3*(D13-1)+'밸런스 조정'!$C$69*MAX(0,D13-3)^2,0)</x:f>
        <x:v>258</x:v>
      </x:c>
      <x:c r="J13" t="str">
        <x:v>기본 공격력 증가</x:v>
      </x:c>
    </x:row>
    <x:row r="14">
      <x:c r="B14" t="n">
        <x:v>1</x:v>
      </x:c>
      <x:c r="C14" t="str">
        <x:v>ATT</x:v>
      </x:c>
      <x:c r="D14" t="n">
        <x:v>12</x:v>
      </x:c>
      <x:c r="E14" t="str">
        <x:v>공격력</x:v>
      </x:c>
      <x:c r="F14" t="n">
        <x:f>'밸런스 조정'!$C$3+'밸런스 조정'!$D$3*D14</x:f>
        <x:v>48</x:v>
      </x:c>
      <x:c r="G14" t="str">
        <x:v>value</x:v>
      </x:c>
      <x:c r="H14" t="str">
        <x:v>Coin</x:v>
      </x:c>
      <x:c r="I14" t="n">
        <x:f>ROUND('밸런스 조정'!$E$3+'밸런스 조정'!$F$3*(D14-1)+'밸런스 조정'!$C$69*MAX(0,D14-3)^2,0)</x:f>
        <x:v>316</x:v>
      </x:c>
      <x:c r="J14" t="str">
        <x:v>기본 공격력 증가</x:v>
      </x:c>
    </x:row>
    <x:row r="15">
      <x:c r="B15" t="n">
        <x:v>1</x:v>
      </x:c>
      <x:c r="C15" t="str">
        <x:v>ATT</x:v>
      </x:c>
      <x:c r="D15" t="n">
        <x:v>13</x:v>
      </x:c>
      <x:c r="E15" t="str">
        <x:v>공격력</x:v>
      </x:c>
      <x:c r="F15" t="n">
        <x:f>'밸런스 조정'!$C$3+'밸런스 조정'!$D$3*D15</x:f>
        <x:v>52</x:v>
      </x:c>
      <x:c r="G15" t="str">
        <x:v>value</x:v>
      </x:c>
      <x:c r="H15" t="str">
        <x:v>Coin</x:v>
      </x:c>
      <x:c r="I15" t="n">
        <x:f>ROUND('밸런스 조정'!$E$3+'밸런스 조정'!$F$3*(D15-1)+'밸런스 조정'!$C$69*MAX(0,D15-3)^2,0)</x:f>
        <x:v>380</x:v>
      </x:c>
      <x:c r="J15" t="str">
        <x:v>기본 공격력 증가</x:v>
      </x:c>
    </x:row>
    <x:row r="16">
      <x:c r="B16" t="n">
        <x:v>1</x:v>
      </x:c>
      <x:c r="C16" t="str">
        <x:v>ATT</x:v>
      </x:c>
      <x:c r="D16" t="n">
        <x:v>14</x:v>
      </x:c>
      <x:c r="E16" t="str">
        <x:v>공격력</x:v>
      </x:c>
      <x:c r="F16" t="n">
        <x:f>'밸런스 조정'!$C$3+'밸런스 조정'!$D$3*D16</x:f>
        <x:v>56</x:v>
      </x:c>
      <x:c r="G16" t="str">
        <x:v>value</x:v>
      </x:c>
      <x:c r="H16" t="str">
        <x:v>Coin</x:v>
      </x:c>
      <x:c r="I16" t="n">
        <x:f>ROUND('밸런스 조정'!$E$3+'밸런스 조정'!$F$3*(D16-1)+'밸런스 조정'!$C$69*MAX(0,D16-3)^2,0)</x:f>
        <x:v>450</x:v>
      </x:c>
      <x:c r="J16" t="str">
        <x:v>기본 공격력 증가</x:v>
      </x:c>
    </x:row>
    <x:row r="17">
      <x:c r="B17" t="n">
        <x:v>1</x:v>
      </x:c>
      <x:c r="C17" t="str">
        <x:v>ATT</x:v>
      </x:c>
      <x:c r="D17" t="n">
        <x:v>15</x:v>
      </x:c>
      <x:c r="E17" t="str">
        <x:v>공격력</x:v>
      </x:c>
      <x:c r="F17" t="n">
        <x:f>'밸런스 조정'!$C$3+'밸런스 조정'!$D$3*D17</x:f>
        <x:v>60</x:v>
      </x:c>
      <x:c r="G17" t="str">
        <x:v>value</x:v>
      </x:c>
      <x:c r="H17" t="str">
        <x:v>Coin</x:v>
      </x:c>
      <x:c r="I17" t="n">
        <x:f>ROUND('밸런스 조정'!$E$3+'밸런스 조정'!$F$3*(D17-1)+'밸런스 조정'!$C$69*MAX(0,D17-3)^2,0)</x:f>
        <x:v>526</x:v>
      </x:c>
      <x:c r="J17" t="str">
        <x:v>기본 공격력 증가</x:v>
      </x:c>
    </x:row>
    <x:row r="18">
      <x:c r="B18" t="n">
        <x:v>1</x:v>
      </x:c>
      <x:c r="C18" t="str">
        <x:v>ATT</x:v>
      </x:c>
      <x:c r="D18" t="n">
        <x:v>16</x:v>
      </x:c>
      <x:c r="E18" t="str">
        <x:v>공격력</x:v>
      </x:c>
      <x:c r="F18" t="n">
        <x:f>'밸런스 조정'!$C$3+'밸런스 조정'!$D$3*D18</x:f>
        <x:v>64</x:v>
      </x:c>
      <x:c r="G18" t="str">
        <x:v>value</x:v>
      </x:c>
      <x:c r="H18" t="str">
        <x:v>Coin</x:v>
      </x:c>
      <x:c r="I18" t="n">
        <x:f>ROUND('밸런스 조정'!$E$3+'밸런스 조정'!$F$3*(D18-1)+'밸런스 조정'!$C$69*MAX(0,D18-3)^2,0)</x:f>
        <x:v>609</x:v>
      </x:c>
      <x:c r="J18" t="str">
        <x:v>기본 공격력 증가</x:v>
      </x:c>
    </x:row>
    <x:row r="19">
      <x:c r="B19" t="n">
        <x:v>1</x:v>
      </x:c>
      <x:c r="C19" t="str">
        <x:v>ATT</x:v>
      </x:c>
      <x:c r="D19" t="n">
        <x:v>17</x:v>
      </x:c>
      <x:c r="E19" t="str">
        <x:v>공격력</x:v>
      </x:c>
      <x:c r="F19" t="n">
        <x:f>'밸런스 조정'!$C$3+'밸런스 조정'!$D$3*D19</x:f>
        <x:v>68</x:v>
      </x:c>
      <x:c r="G19" t="str">
        <x:v>value</x:v>
      </x:c>
      <x:c r="H19" t="str">
        <x:v>Coin</x:v>
      </x:c>
      <x:c r="I19" t="n">
        <x:f>ROUND('밸런스 조정'!$E$3+'밸런스 조정'!$F$3*(D19-1)+'밸런스 조정'!$C$69*MAX(0,D19-3)^2,0)</x:f>
        <x:v>698</x:v>
      </x:c>
      <x:c r="J19" t="str">
        <x:v>기본 공격력 증가</x:v>
      </x:c>
    </x:row>
    <x:row r="20">
      <x:c r="B20" t="n">
        <x:v>1</x:v>
      </x:c>
      <x:c r="C20" t="str">
        <x:v>ATT</x:v>
      </x:c>
      <x:c r="D20" t="n">
        <x:v>18</x:v>
      </x:c>
      <x:c r="E20" t="str">
        <x:v>공격력</x:v>
      </x:c>
      <x:c r="F20" t="n">
        <x:f>'밸런스 조정'!$C$3+'밸런스 조정'!$D$3*D20</x:f>
        <x:v>72</x:v>
      </x:c>
      <x:c r="G20" t="str">
        <x:v>value</x:v>
      </x:c>
      <x:c r="H20" t="str">
        <x:v>Coin</x:v>
      </x:c>
      <x:c r="I20" t="n">
        <x:f>ROUND('밸런스 조정'!$E$3+'밸런스 조정'!$F$3*(D20-1)+'밸런스 조정'!$C$69*MAX(0,D20-3)^2,0)</x:f>
        <x:v>793</x:v>
      </x:c>
      <x:c r="J20" t="str">
        <x:v>기본 공격력 증가</x:v>
      </x:c>
    </x:row>
    <x:row r="21">
      <x:c r="B21" t="n">
        <x:v>1</x:v>
      </x:c>
      <x:c r="C21" t="str">
        <x:v>ATT</x:v>
      </x:c>
      <x:c r="D21" t="n">
        <x:v>19</x:v>
      </x:c>
      <x:c r="E21" t="str">
        <x:v>공격력</x:v>
      </x:c>
      <x:c r="F21" t="n">
        <x:f>'밸런스 조정'!$C$3+'밸런스 조정'!$D$3*D21</x:f>
        <x:v>76</x:v>
      </x:c>
      <x:c r="G21" t="str">
        <x:v>value</x:v>
      </x:c>
      <x:c r="H21" t="str">
        <x:v>Coin</x:v>
      </x:c>
      <x:c r="I21" t="n">
        <x:f>ROUND('밸런스 조정'!$E$3+'밸런스 조정'!$F$3*(D21-1)+'밸런스 조정'!$C$69*MAX(0,D21-3)^2,0)</x:f>
        <x:v>894</x:v>
      </x:c>
      <x:c r="J21" t="str">
        <x:v>기본 공격력 증가</x:v>
      </x:c>
    </x:row>
    <x:row r="22">
      <x:c r="B22" t="n">
        <x:v>1</x:v>
      </x:c>
      <x:c r="C22" t="str">
        <x:v>ATT</x:v>
      </x:c>
      <x:c r="D22" t="n">
        <x:v>20</x:v>
      </x:c>
      <x:c r="E22" t="str">
        <x:v>공격력</x:v>
      </x:c>
      <x:c r="F22" t="n">
        <x:f>'밸런스 조정'!$C$3+'밸런스 조정'!$D$3*D22</x:f>
        <x:v>80</x:v>
      </x:c>
      <x:c r="G22" t="str">
        <x:v>value</x:v>
      </x:c>
      <x:c r="H22" t="str">
        <x:v>Coin</x:v>
      </x:c>
      <x:c r="I22" t="n">
        <x:f>ROUND('밸런스 조정'!$E$3+'밸런스 조정'!$F$3*(D22-1)+'밸런스 조정'!$C$69*MAX(0,D22-3)^2,0)</x:f>
        <x:v>1001</x:v>
      </x:c>
      <x:c r="J22" t="str">
        <x:v>기본 공격력 증가</x:v>
      </x:c>
    </x:row>
    <x:row r="23">
      <x:c r="B23" t="n">
        <x:v>1</x:v>
      </x:c>
      <x:c r="C23" t="str">
        <x:v>ATT</x:v>
      </x:c>
      <x:c r="D23" t="n">
        <x:v>21</x:v>
      </x:c>
      <x:c r="E23" t="str">
        <x:v>공격력</x:v>
      </x:c>
      <x:c r="F23" t="n">
        <x:f>'밸런스 조정'!$C$3+'밸런스 조정'!$D$3*D23</x:f>
        <x:v>84</x:v>
      </x:c>
      <x:c r="G23" t="str">
        <x:v>value</x:v>
      </x:c>
      <x:c r="H23" t="str">
        <x:v>Coin</x:v>
      </x:c>
      <x:c r="I23" t="n">
        <x:f>ROUND('밸런스 조정'!$E$3+'밸런스 조정'!$F$3*(D23-1)+'밸런스 조정'!$C$69*MAX(0,D23-3)^2,0)</x:f>
        <x:v>1114</x:v>
      </x:c>
      <x:c r="J23" t="str">
        <x:v>기본 공격력 증가</x:v>
      </x:c>
    </x:row>
    <x:row r="24">
      <x:c r="B24" t="n">
        <x:v>1</x:v>
      </x:c>
      <x:c r="C24" t="str">
        <x:v>ATT</x:v>
      </x:c>
      <x:c r="D24" t="n">
        <x:v>22</x:v>
      </x:c>
      <x:c r="E24" t="str">
        <x:v>공격력</x:v>
      </x:c>
      <x:c r="F24" t="n">
        <x:f>'밸런스 조정'!$C$3+'밸런스 조정'!$D$3*D24</x:f>
        <x:v>88</x:v>
      </x:c>
      <x:c r="G24" t="str">
        <x:v>value</x:v>
      </x:c>
      <x:c r="H24" t="str">
        <x:v>Coin</x:v>
      </x:c>
      <x:c r="I24" t="n">
        <x:f>ROUND('밸런스 조정'!$E$3+'밸런스 조정'!$F$3*(D24-1)+'밸런스 조정'!$C$69*MAX(0,D24-3)^2,0)</x:f>
        <x:v>1234</x:v>
      </x:c>
      <x:c r="J24" t="str">
        <x:v>기본 공격력 증가</x:v>
      </x:c>
    </x:row>
    <x:row r="25">
      <x:c r="B25" t="n">
        <x:v>1</x:v>
      </x:c>
      <x:c r="C25" t="str">
        <x:v>ATT</x:v>
      </x:c>
      <x:c r="D25" t="n">
        <x:v>23</x:v>
      </x:c>
      <x:c r="E25" t="str">
        <x:v>공격력</x:v>
      </x:c>
      <x:c r="F25" t="n">
        <x:f>'밸런스 조정'!$C$3+'밸런스 조정'!$D$3*D25</x:f>
        <x:v>92</x:v>
      </x:c>
      <x:c r="G25" t="str">
        <x:v>value</x:v>
      </x:c>
      <x:c r="H25" t="str">
        <x:v>Coin</x:v>
      </x:c>
      <x:c r="I25" t="n">
        <x:f>ROUND('밸런스 조정'!$E$3+'밸런스 조정'!$F$3*(D25-1)+'밸런스 조정'!$C$69*MAX(0,D25-3)^2,0)</x:f>
        <x:v>1360</x:v>
      </x:c>
      <x:c r="J25" t="str">
        <x:v>기본 공격력 증가</x:v>
      </x:c>
    </x:row>
    <x:row r="26">
      <x:c r="B26" t="n">
        <x:v>1</x:v>
      </x:c>
      <x:c r="C26" t="str">
        <x:v>ATT</x:v>
      </x:c>
      <x:c r="D26" t="n">
        <x:v>24</x:v>
      </x:c>
      <x:c r="E26" t="str">
        <x:v>공격력</x:v>
      </x:c>
      <x:c r="F26" t="n">
        <x:f>'밸런스 조정'!$C$3+'밸런스 조정'!$D$3*D26</x:f>
        <x:v>96</x:v>
      </x:c>
      <x:c r="G26" t="str">
        <x:v>value</x:v>
      </x:c>
      <x:c r="H26" t="str">
        <x:v>Coin</x:v>
      </x:c>
      <x:c r="I26" t="n">
        <x:f>ROUND('밸런스 조정'!$E$3+'밸런스 조정'!$F$3*(D26-1)+'밸런스 조정'!$C$69*MAX(0,D26-3)^2,0)</x:f>
        <x:v>1492</x:v>
      </x:c>
      <x:c r="J26" t="str">
        <x:v>기본 공격력 증가</x:v>
      </x:c>
    </x:row>
    <x:row r="27">
      <x:c r="B27" t="n">
        <x:v>1</x:v>
      </x:c>
      <x:c r="C27" t="str">
        <x:v>ATT</x:v>
      </x:c>
      <x:c r="D27" t="n">
        <x:v>25</x:v>
      </x:c>
      <x:c r="E27" t="str">
        <x:v>공격력</x:v>
      </x:c>
      <x:c r="F27" t="n">
        <x:f>'밸런스 조정'!$C$3+'밸런스 조정'!$D$3*D27</x:f>
        <x:v>100</x:v>
      </x:c>
      <x:c r="G27" t="str">
        <x:v>value</x:v>
      </x:c>
      <x:c r="H27" t="str">
        <x:v>Coin</x:v>
      </x:c>
      <x:c r="I27" t="n">
        <x:f>ROUND('밸런스 조정'!$E$3+'밸런스 조정'!$F$3*(D27-1)+'밸런스 조정'!$C$69*MAX(0,D27-3)^2,0)</x:f>
        <x:v>1630</x:v>
      </x:c>
      <x:c r="J27" t="str">
        <x:v>기본 공격력 증가</x:v>
      </x:c>
    </x:row>
    <x:row r="28">
      <x:c r="B28" t="n">
        <x:v>1</x:v>
      </x:c>
      <x:c r="C28" t="str">
        <x:v>ATT</x:v>
      </x:c>
      <x:c r="D28" t="n">
        <x:v>26</x:v>
      </x:c>
      <x:c r="E28" t="str">
        <x:v>공격력</x:v>
      </x:c>
      <x:c r="F28" t="n">
        <x:f>'밸런스 조정'!$C$3+'밸런스 조정'!$D$3*D28</x:f>
        <x:v>104</x:v>
      </x:c>
      <x:c r="G28" t="str">
        <x:v>value</x:v>
      </x:c>
      <x:c r="H28" t="str">
        <x:v>Coin</x:v>
      </x:c>
      <x:c r="I28" t="n">
        <x:f>ROUND('밸런스 조정'!$E$3+'밸런스 조정'!$F$3*(D28-1)+'밸런스 조정'!$C$69*MAX(0,D28-3)^2,0)</x:f>
        <x:v>1775</x:v>
      </x:c>
      <x:c r="J28" t="str">
        <x:v>기본 공격력 증가</x:v>
      </x:c>
    </x:row>
    <x:row r="29">
      <x:c r="B29" t="n">
        <x:v>1</x:v>
      </x:c>
      <x:c r="C29" t="str">
        <x:v>ATT</x:v>
      </x:c>
      <x:c r="D29" t="n">
        <x:v>27</x:v>
      </x:c>
      <x:c r="E29" t="str">
        <x:v>공격력</x:v>
      </x:c>
      <x:c r="F29" t="n">
        <x:f>'밸런스 조정'!$C$3+'밸런스 조정'!$D$3*D29</x:f>
        <x:v>108</x:v>
      </x:c>
      <x:c r="G29" t="str">
        <x:v>value</x:v>
      </x:c>
      <x:c r="H29" t="str">
        <x:v>Coin</x:v>
      </x:c>
      <x:c r="I29" t="n">
        <x:f>ROUND('밸런스 조정'!$E$3+'밸런스 조정'!$F$3*(D29-1)+'밸런스 조정'!$C$69*MAX(0,D29-3)^2,0)</x:f>
        <x:v>1926</x:v>
      </x:c>
      <x:c r="J29" t="str">
        <x:v>기본 공격력 증가</x:v>
      </x:c>
    </x:row>
    <x:row r="30">
      <x:c r="B30" t="n">
        <x:v>1</x:v>
      </x:c>
      <x:c r="C30" t="str">
        <x:v>ATT</x:v>
      </x:c>
      <x:c r="D30" t="n">
        <x:v>28</x:v>
      </x:c>
      <x:c r="E30" t="str">
        <x:v>공격력</x:v>
      </x:c>
      <x:c r="F30" t="n">
        <x:f>'밸런스 조정'!$C$3+'밸런스 조정'!$D$3*D30</x:f>
        <x:v>112</x:v>
      </x:c>
      <x:c r="G30" t="str">
        <x:v>value</x:v>
      </x:c>
      <x:c r="H30" t="str">
        <x:v>Coin</x:v>
      </x:c>
      <x:c r="I30" t="n">
        <x:f>ROUND('밸런스 조정'!$E$3+'밸런스 조정'!$F$3*(D30-1)+'밸런스 조정'!$C$69*MAX(0,D30-3)^2,0)</x:f>
        <x:v>2083</x:v>
      </x:c>
      <x:c r="J30" t="str">
        <x:v>기본 공격력 증가</x:v>
      </x:c>
    </x:row>
    <x:row r="31">
      <x:c r="B31" t="n">
        <x:v>1</x:v>
      </x:c>
      <x:c r="C31" t="str">
        <x:v>ATT</x:v>
      </x:c>
      <x:c r="D31" t="n">
        <x:v>29</x:v>
      </x:c>
      <x:c r="E31" t="str">
        <x:v>공격력</x:v>
      </x:c>
      <x:c r="F31" t="n">
        <x:f>'밸런스 조정'!$C$3+'밸런스 조정'!$D$3*D31</x:f>
        <x:v>116</x:v>
      </x:c>
      <x:c r="G31" t="str">
        <x:v>value</x:v>
      </x:c>
      <x:c r="H31" t="str">
        <x:v>Coin</x:v>
      </x:c>
      <x:c r="I31" t="n">
        <x:f>ROUND('밸런스 조정'!$E$3+'밸런스 조정'!$F$3*(D31-1)+'밸런스 조정'!$C$69*MAX(0,D31-3)^2,0)</x:f>
        <x:v>2246</x:v>
      </x:c>
      <x:c r="J31" t="str">
        <x:v>기본 공격력 증가</x:v>
      </x:c>
    </x:row>
    <x:row r="32">
      <x:c r="B32" t="n">
        <x:v>1</x:v>
      </x:c>
      <x:c r="C32" t="str">
        <x:v>ATT</x:v>
      </x:c>
      <x:c r="D32" t="n">
        <x:v>30</x:v>
      </x:c>
      <x:c r="E32" t="str">
        <x:v>공격력</x:v>
      </x:c>
      <x:c r="F32" t="n">
        <x:f>'밸런스 조정'!$C$3+'밸런스 조정'!$D$3*D32</x:f>
        <x:v>120</x:v>
      </x:c>
      <x:c r="G32" t="str">
        <x:v>value</x:v>
      </x:c>
      <x:c r="H32" t="str">
        <x:v>Coin</x:v>
      </x:c>
      <x:c r="I32" t="n">
        <x:f>ROUND('밸런스 조정'!$E$3+'밸런스 조정'!$F$3*(D32-1)+'밸런스 조정'!$C$69*MAX(0,D32-3)^2,0)</x:f>
        <x:v>2415</x:v>
      </x:c>
      <x:c r="J32" t="str">
        <x:v>기본 공격력 증가</x:v>
      </x:c>
    </x:row>
    <x:row r="33">
      <x:c r="B33" t="n">
        <x:v>1</x:v>
      </x:c>
      <x:c r="C33" t="str">
        <x:v>ATT</x:v>
      </x:c>
      <x:c r="D33" t="n">
        <x:v>31</x:v>
      </x:c>
      <x:c r="E33" t="str">
        <x:v>공격력</x:v>
      </x:c>
      <x:c r="F33" t="n">
        <x:f>'밸런스 조정'!$C$3+'밸런스 조정'!$D$3*D33</x:f>
        <x:v>124</x:v>
      </x:c>
      <x:c r="G33" t="str">
        <x:v>value</x:v>
      </x:c>
      <x:c r="H33" t="str">
        <x:v>Coin</x:v>
      </x:c>
      <x:c r="I33" t="n">
        <x:f>ROUND('밸런스 조정'!$E$3+'밸런스 조정'!$F$3*(D33-1)+'밸런스 조정'!$C$69*MAX(0,D33-3)^2,0)</x:f>
        <x:v>2590</x:v>
      </x:c>
      <x:c r="J33" t="str">
        <x:v>기본 공격력 증가</x:v>
      </x:c>
    </x:row>
    <x:row r="34">
      <x:c r="B34" t="n">
        <x:v>1</x:v>
      </x:c>
      <x:c r="C34" t="str">
        <x:v>ATT</x:v>
      </x:c>
      <x:c r="D34" t="n">
        <x:v>32</x:v>
      </x:c>
      <x:c r="E34" t="str">
        <x:v>공격력</x:v>
      </x:c>
      <x:c r="F34" t="n">
        <x:f>'밸런스 조정'!$C$3+'밸런스 조정'!$D$3*D34</x:f>
        <x:v>128</x:v>
      </x:c>
      <x:c r="G34" t="str">
        <x:v>value</x:v>
      </x:c>
      <x:c r="H34" t="str">
        <x:v>Coin</x:v>
      </x:c>
      <x:c r="I34" t="n">
        <x:f>ROUND('밸런스 조정'!$E$3+'밸런스 조정'!$F$3*(D34-1)+'밸런스 조정'!$C$69*MAX(0,D34-3)^2,0)</x:f>
        <x:v>2772</x:v>
      </x:c>
      <x:c r="J34" t="str">
        <x:v>기본 공격력 증가</x:v>
      </x:c>
    </x:row>
    <x:row r="35">
      <x:c r="B35" t="n">
        <x:v>1</x:v>
      </x:c>
      <x:c r="C35" t="str">
        <x:v>ATT</x:v>
      </x:c>
      <x:c r="D35" t="n">
        <x:v>33</x:v>
      </x:c>
      <x:c r="E35" t="str">
        <x:v>공격력</x:v>
      </x:c>
      <x:c r="F35" t="n">
        <x:f>'밸런스 조정'!$C$3+'밸런스 조정'!$D$3*D35</x:f>
        <x:v>132</x:v>
      </x:c>
      <x:c r="G35" t="str">
        <x:v>value</x:v>
      </x:c>
      <x:c r="H35" t="str">
        <x:v>Coin</x:v>
      </x:c>
      <x:c r="I35" t="n">
        <x:f>ROUND('밸런스 조정'!$E$3+'밸런스 조정'!$F$3*(D35-1)+'밸런스 조정'!$C$69*MAX(0,D35-3)^2,0)</x:f>
        <x:v>2960</x:v>
      </x:c>
      <x:c r="J35" t="str">
        <x:v>기본 공격력 증가</x:v>
      </x:c>
    </x:row>
    <x:row r="36">
      <x:c r="B36" t="n">
        <x:v>1</x:v>
      </x:c>
      <x:c r="C36" t="str">
        <x:v>ATT</x:v>
      </x:c>
      <x:c r="D36" t="n">
        <x:v>34</x:v>
      </x:c>
      <x:c r="E36" t="str">
        <x:v>공격력</x:v>
      </x:c>
      <x:c r="F36" t="n">
        <x:f>'밸런스 조정'!$C$3+'밸런스 조정'!$D$3*D36</x:f>
        <x:v>136</x:v>
      </x:c>
      <x:c r="G36" t="str">
        <x:v>value</x:v>
      </x:c>
      <x:c r="H36" t="str">
        <x:v>Coin</x:v>
      </x:c>
      <x:c r="I36" t="n">
        <x:f>ROUND('밸런스 조정'!$E$3+'밸런스 조정'!$F$3*(D36-1)+'밸런스 조정'!$C$69*MAX(0,D36-3)^2,0)</x:f>
        <x:v>3154</x:v>
      </x:c>
      <x:c r="J36" t="str">
        <x:v>기본 공격력 증가</x:v>
      </x:c>
    </x:row>
    <x:row r="37">
      <x:c r="B37" t="n">
        <x:v>1</x:v>
      </x:c>
      <x:c r="C37" t="str">
        <x:v>ATT</x:v>
      </x:c>
      <x:c r="D37" t="n">
        <x:v>35</x:v>
      </x:c>
      <x:c r="E37" t="str">
        <x:v>공격력</x:v>
      </x:c>
      <x:c r="F37" t="n">
        <x:f>'밸런스 조정'!$C$3+'밸런스 조정'!$D$3*D37</x:f>
        <x:v>140</x:v>
      </x:c>
      <x:c r="G37" t="str">
        <x:v>value</x:v>
      </x:c>
      <x:c r="H37" t="str">
        <x:v>Coin</x:v>
      </x:c>
      <x:c r="I37" t="n">
        <x:f>ROUND('밸런스 조정'!$E$3+'밸런스 조정'!$F$3*(D37-1)+'밸런스 조정'!$C$69*MAX(0,D37-3)^2,0)</x:f>
        <x:v>3354</x:v>
      </x:c>
      <x:c r="J37" t="str">
        <x:v>기본 공격력 증가</x:v>
      </x:c>
    </x:row>
    <x:row r="38">
      <x:c r="B38" t="n">
        <x:v>1</x:v>
      </x:c>
      <x:c r="C38" t="str">
        <x:v>ATT</x:v>
      </x:c>
      <x:c r="D38" t="n">
        <x:v>36</x:v>
      </x:c>
      <x:c r="E38" t="str">
        <x:v>공격력</x:v>
      </x:c>
      <x:c r="F38" t="n">
        <x:f>'밸런스 조정'!$C$3+'밸런스 조정'!$D$3*D38</x:f>
        <x:v>144</x:v>
      </x:c>
      <x:c r="G38" t="str">
        <x:v>value</x:v>
      </x:c>
      <x:c r="H38" t="str">
        <x:v>Coin</x:v>
      </x:c>
      <x:c r="I38" t="n">
        <x:f>ROUND('밸런스 조정'!$E$3+'밸런스 조정'!$F$3*(D38-1)+'밸런스 조정'!$C$69*MAX(0,D38-3)^2,0)</x:f>
        <x:v>3561</x:v>
      </x:c>
      <x:c r="J38" t="str">
        <x:v>기본 공격력 증가</x:v>
      </x:c>
    </x:row>
    <x:row r="39">
      <x:c r="B39" t="n">
        <x:v>1</x:v>
      </x:c>
      <x:c r="C39" t="str">
        <x:v>ATT</x:v>
      </x:c>
      <x:c r="D39" t="n">
        <x:v>37</x:v>
      </x:c>
      <x:c r="E39" t="str">
        <x:v>공격력</x:v>
      </x:c>
      <x:c r="F39" t="n">
        <x:f>'밸런스 조정'!$C$3+'밸런스 조정'!$D$3*D39</x:f>
        <x:v>148</x:v>
      </x:c>
      <x:c r="G39" t="str">
        <x:v>value</x:v>
      </x:c>
      <x:c r="H39" t="str">
        <x:v>Coin</x:v>
      </x:c>
      <x:c r="I39" t="n">
        <x:f>ROUND('밸런스 조정'!$E$3+'밸런스 조정'!$F$3*(D39-1)+'밸런스 조정'!$C$69*MAX(0,D39-3)^2,0)</x:f>
        <x:v>3774</x:v>
      </x:c>
      <x:c r="J39" t="str">
        <x:v>기본 공격력 증가</x:v>
      </x:c>
    </x:row>
    <x:row r="40">
      <x:c r="B40" t="n">
        <x:v>1</x:v>
      </x:c>
      <x:c r="C40" t="str">
        <x:v>ATT</x:v>
      </x:c>
      <x:c r="D40" t="n">
        <x:v>38</x:v>
      </x:c>
      <x:c r="E40" t="str">
        <x:v>공격력</x:v>
      </x:c>
      <x:c r="F40" t="n">
        <x:f>'밸런스 조정'!$C$3+'밸런스 조정'!$D$3*D40</x:f>
        <x:v>152</x:v>
      </x:c>
      <x:c r="G40" t="str">
        <x:v>value</x:v>
      </x:c>
      <x:c r="H40" t="str">
        <x:v>Coin</x:v>
      </x:c>
      <x:c r="I40" t="n">
        <x:f>ROUND('밸런스 조정'!$E$3+'밸런스 조정'!$F$3*(D40-1)+'밸런스 조정'!$C$69*MAX(0,D40-3)^2,0)</x:f>
        <x:v>3993</x:v>
      </x:c>
      <x:c r="J40" t="str">
        <x:v>기본 공격력 증가</x:v>
      </x:c>
    </x:row>
    <x:row r="41">
      <x:c r="B41" t="n">
        <x:v>1</x:v>
      </x:c>
      <x:c r="C41" t="str">
        <x:v>ATT</x:v>
      </x:c>
      <x:c r="D41" t="n">
        <x:v>39</x:v>
      </x:c>
      <x:c r="E41" t="str">
        <x:v>공격력</x:v>
      </x:c>
      <x:c r="F41" t="n">
        <x:f>'밸런스 조정'!$C$3+'밸런스 조정'!$D$3*D41</x:f>
        <x:v>156</x:v>
      </x:c>
      <x:c r="G41" t="str">
        <x:v>value</x:v>
      </x:c>
      <x:c r="H41" t="str">
        <x:v>Coin</x:v>
      </x:c>
      <x:c r="I41" t="n">
        <x:f>ROUND('밸런스 조정'!$E$3+'밸런스 조정'!$F$3*(D41-1)+'밸런스 조정'!$C$69*MAX(0,D41-3)^2,0)</x:f>
        <x:v>4218</x:v>
      </x:c>
      <x:c r="J41" t="str">
        <x:v>기본 공격력 증가</x:v>
      </x:c>
    </x:row>
    <x:row r="42">
      <x:c r="B42" t="n">
        <x:v>1</x:v>
      </x:c>
      <x:c r="C42" t="str">
        <x:v>ATT</x:v>
      </x:c>
      <x:c r="D42" t="n">
        <x:v>40</x:v>
      </x:c>
      <x:c r="E42" t="str">
        <x:v>공격력</x:v>
      </x:c>
      <x:c r="F42" t="n">
        <x:f>'밸런스 조정'!$C$3+'밸런스 조정'!$D$3*D42</x:f>
        <x:v>160</x:v>
      </x:c>
      <x:c r="G42" t="str">
        <x:v>value</x:v>
      </x:c>
      <x:c r="H42" t="str">
        <x:v>Coin</x:v>
      </x:c>
      <x:c r="I42" t="n">
        <x:f>ROUND('밸런스 조정'!$E$3+'밸런스 조정'!$F$3*(D42-1)+'밸런스 조정'!$C$69*MAX(0,D42-3)^2,0)</x:f>
        <x:v>4449</x:v>
      </x:c>
      <x:c r="J42" t="str">
        <x:v>기본 공격력 증가</x:v>
      </x:c>
    </x:row>
    <x:row r="43">
      <x:c r="B43" t="n">
        <x:v>1</x:v>
      </x:c>
      <x:c r="C43" t="str">
        <x:v>ATT</x:v>
      </x:c>
      <x:c r="D43" t="n">
        <x:v>41</x:v>
      </x:c>
      <x:c r="E43" t="str">
        <x:v>공격력</x:v>
      </x:c>
      <x:c r="F43" t="n">
        <x:f>'밸런스 조정'!$C$3+'밸런스 조정'!$D$3*D43</x:f>
        <x:v>164</x:v>
      </x:c>
      <x:c r="G43" t="str">
        <x:v>value</x:v>
      </x:c>
      <x:c r="H43" t="str">
        <x:v>Coin</x:v>
      </x:c>
      <x:c r="I43" t="n">
        <x:f>ROUND('밸런스 조정'!$E$3+'밸런스 조정'!$F$3*(D43-1)+'밸런스 조정'!$C$69*MAX(0,D43-3)^2,0)</x:f>
        <x:v>4686</x:v>
      </x:c>
      <x:c r="J43" t="str">
        <x:v>기본 공격력 증가</x:v>
      </x:c>
    </x:row>
    <x:row r="44">
      <x:c r="B44" t="n">
        <x:v>1</x:v>
      </x:c>
      <x:c r="C44" t="str">
        <x:v>ATT</x:v>
      </x:c>
      <x:c r="D44" t="n">
        <x:v>42</x:v>
      </x:c>
      <x:c r="E44" t="str">
        <x:v>공격력</x:v>
      </x:c>
      <x:c r="F44" t="n">
        <x:f>'밸런스 조정'!$C$3+'밸런스 조정'!$D$3*D44</x:f>
        <x:v>168</x:v>
      </x:c>
      <x:c r="G44" t="str">
        <x:v>value</x:v>
      </x:c>
      <x:c r="H44" t="str">
        <x:v>Coin</x:v>
      </x:c>
      <x:c r="I44" t="n">
        <x:f>ROUND('밸런스 조정'!$E$3+'밸런스 조정'!$F$3*(D44-1)+'밸런스 조정'!$C$69*MAX(0,D44-3)^2,0)</x:f>
        <x:v>4930</x:v>
      </x:c>
      <x:c r="J44" t="str">
        <x:v>기본 공격력 증가</x:v>
      </x:c>
    </x:row>
    <x:row r="45">
      <x:c r="B45" t="n">
        <x:v>1</x:v>
      </x:c>
      <x:c r="C45" t="str">
        <x:v>ATT</x:v>
      </x:c>
      <x:c r="D45" t="n">
        <x:v>43</x:v>
      </x:c>
      <x:c r="E45" t="str">
        <x:v>공격력</x:v>
      </x:c>
      <x:c r="F45" t="n">
        <x:f>'밸런스 조정'!$C$3+'밸런스 조정'!$D$3*D45</x:f>
        <x:v>172</x:v>
      </x:c>
      <x:c r="G45" t="str">
        <x:v>value</x:v>
      </x:c>
      <x:c r="H45" t="str">
        <x:v>Coin</x:v>
      </x:c>
      <x:c r="I45" t="n">
        <x:f>ROUND('밸런스 조정'!$E$3+'밸런스 조정'!$F$3*(D45-1)+'밸런스 조정'!$C$69*MAX(0,D45-3)^2,0)</x:f>
        <x:v>5180</x:v>
      </x:c>
      <x:c r="J45" t="str">
        <x:v>기본 공격력 증가</x:v>
      </x:c>
    </x:row>
    <x:row r="46">
      <x:c r="B46" t="n">
        <x:v>1</x:v>
      </x:c>
      <x:c r="C46" t="str">
        <x:v>ATT</x:v>
      </x:c>
      <x:c r="D46" t="n">
        <x:v>44</x:v>
      </x:c>
      <x:c r="E46" t="str">
        <x:v>공격력</x:v>
      </x:c>
      <x:c r="F46" t="n">
        <x:f>'밸런스 조정'!$C$3+'밸런스 조정'!$D$3*D46</x:f>
        <x:v>176</x:v>
      </x:c>
      <x:c r="G46" t="str">
        <x:v>value</x:v>
      </x:c>
      <x:c r="H46" t="str">
        <x:v>Coin</x:v>
      </x:c>
      <x:c r="I46" t="n">
        <x:f>ROUND('밸런스 조정'!$E$3+'밸런스 조정'!$F$3*(D46-1)+'밸런스 조정'!$C$69*MAX(0,D46-3)^2,0)</x:f>
        <x:v>5436</x:v>
      </x:c>
      <x:c r="J46" t="str">
        <x:v>기본 공격력 증가</x:v>
      </x:c>
    </x:row>
    <x:row r="47">
      <x:c r="B47" t="n">
        <x:v>1</x:v>
      </x:c>
      <x:c r="C47" t="str">
        <x:v>ATT</x:v>
      </x:c>
      <x:c r="D47" t="n">
        <x:v>45</x:v>
      </x:c>
      <x:c r="E47" t="str">
        <x:v>공격력</x:v>
      </x:c>
      <x:c r="F47" t="n">
        <x:f>'밸런스 조정'!$C$3+'밸런스 조정'!$D$3*D47</x:f>
        <x:v>180</x:v>
      </x:c>
      <x:c r="G47" t="str">
        <x:v>value</x:v>
      </x:c>
      <x:c r="H47" t="str">
        <x:v>Coin</x:v>
      </x:c>
      <x:c r="I47" t="n">
        <x:f>ROUND('밸런스 조정'!$E$3+'밸런스 조정'!$F$3*(D47-1)+'밸런스 조정'!$C$69*MAX(0,D47-3)^2,0)</x:f>
        <x:v>5698</x:v>
      </x:c>
      <x:c r="J47" t="str">
        <x:v>기본 공격력 증가</x:v>
      </x:c>
    </x:row>
    <x:row r="48">
      <x:c r="B48" t="n">
        <x:v>1</x:v>
      </x:c>
      <x:c r="C48" t="str">
        <x:v>ATT</x:v>
      </x:c>
      <x:c r="D48" t="n">
        <x:v>46</x:v>
      </x:c>
      <x:c r="E48" t="str">
        <x:v>공격력</x:v>
      </x:c>
      <x:c r="F48" t="n">
        <x:f>'밸런스 조정'!$C$3+'밸런스 조정'!$D$3*D48</x:f>
        <x:v>184</x:v>
      </x:c>
      <x:c r="G48" t="str">
        <x:v>value</x:v>
      </x:c>
      <x:c r="H48" t="str">
        <x:v>Coin</x:v>
      </x:c>
      <x:c r="I48" t="n">
        <x:f>ROUND('밸런스 조정'!$E$3+'밸런스 조정'!$F$3*(D48-1)+'밸런스 조정'!$C$69*MAX(0,D48-3)^2,0)</x:f>
        <x:v>5967</x:v>
      </x:c>
      <x:c r="J48" t="str">
        <x:v>기본 공격력 증가</x:v>
      </x:c>
    </x:row>
    <x:row r="49">
      <x:c r="B49" t="n">
        <x:v>1</x:v>
      </x:c>
      <x:c r="C49" t="str">
        <x:v>ATT</x:v>
      </x:c>
      <x:c r="D49" t="n">
        <x:v>47</x:v>
      </x:c>
      <x:c r="E49" t="str">
        <x:v>공격력</x:v>
      </x:c>
      <x:c r="F49" t="n">
        <x:f>'밸런스 조정'!$C$3+'밸런스 조정'!$D$3*D49</x:f>
        <x:v>188</x:v>
      </x:c>
      <x:c r="G49" t="str">
        <x:v>value</x:v>
      </x:c>
      <x:c r="H49" t="str">
        <x:v>Coin</x:v>
      </x:c>
      <x:c r="I49" t="n">
        <x:f>ROUND('밸런스 조정'!$E$3+'밸런스 조정'!$F$3*(D49-1)+'밸런스 조정'!$C$69*MAX(0,D49-3)^2,0)</x:f>
        <x:v>6242</x:v>
      </x:c>
      <x:c r="J49" t="str">
        <x:v>기본 공격력 증가</x:v>
      </x:c>
    </x:row>
    <x:row r="50">
      <x:c r="B50" t="n">
        <x:v>1</x:v>
      </x:c>
      <x:c r="C50" t="str">
        <x:v>ATT</x:v>
      </x:c>
      <x:c r="D50" t="n">
        <x:v>48</x:v>
      </x:c>
      <x:c r="E50" t="str">
        <x:v>공격력</x:v>
      </x:c>
      <x:c r="F50" t="n">
        <x:f>'밸런스 조정'!$C$3+'밸런스 조정'!$D$3*D50</x:f>
        <x:v>192</x:v>
      </x:c>
      <x:c r="G50" t="str">
        <x:v>value</x:v>
      </x:c>
      <x:c r="H50" t="str">
        <x:v>Coin</x:v>
      </x:c>
      <x:c r="I50" t="n">
        <x:f>ROUND('밸런스 조정'!$E$3+'밸런스 조정'!$F$3*(D50-1)+'밸런스 조정'!$C$69*MAX(0,D50-3)^2,0)</x:f>
        <x:v>6523</x:v>
      </x:c>
      <x:c r="J50" t="str">
        <x:v>기본 공격력 증가</x:v>
      </x:c>
    </x:row>
    <x:row r="51">
      <x:c r="B51" t="n">
        <x:v>1</x:v>
      </x:c>
      <x:c r="C51" t="str">
        <x:v>ATT</x:v>
      </x:c>
      <x:c r="D51" t="n">
        <x:v>49</x:v>
      </x:c>
      <x:c r="E51" t="str">
        <x:v>공격력</x:v>
      </x:c>
      <x:c r="F51" t="n">
        <x:f>'밸런스 조정'!$C$3+'밸런스 조정'!$D$3*D51</x:f>
        <x:v>196</x:v>
      </x:c>
      <x:c r="G51" t="str">
        <x:v>value</x:v>
      </x:c>
      <x:c r="H51" t="str">
        <x:v>Coin</x:v>
      </x:c>
      <x:c r="I51" t="n">
        <x:f>ROUND('밸런스 조정'!$E$3+'밸런스 조정'!$F$3*(D51-1)+'밸런스 조정'!$C$69*MAX(0,D51-3)^2,0)</x:f>
        <x:v>6810</x:v>
      </x:c>
      <x:c r="J51" t="str">
        <x:v>기본 공격력 증가</x:v>
      </x:c>
    </x:row>
    <x:row r="52">
      <x:c r="B52" t="n">
        <x:v>1</x:v>
      </x:c>
      <x:c r="C52" t="str">
        <x:v>ATT</x:v>
      </x:c>
      <x:c r="D52" t="n">
        <x:v>50</x:v>
      </x:c>
      <x:c r="E52" t="str">
        <x:v>공격력</x:v>
      </x:c>
      <x:c r="F52" t="n">
        <x:f>'밸런스 조정'!$C$3+'밸런스 조정'!$D$3*D52</x:f>
        <x:v>200</x:v>
      </x:c>
      <x:c r="G52" t="str">
        <x:v>value</x:v>
      </x:c>
      <x:c r="H52" t="str">
        <x:v>Coin</x:v>
      </x:c>
      <x:c r="I52" t="n">
        <x:f>ROUND('밸런스 조정'!$E$3+'밸런스 조정'!$F$3*(D52-1)+'밸런스 조정'!$C$69*MAX(0,D52-3)^2,0)</x:f>
        <x:v>7103</x:v>
      </x:c>
      <x:c r="J52" t="str">
        <x:v>기본 공격력 증가</x:v>
      </x:c>
    </x:row>
    <x:row r="53">
      <x:c r="B53" t="n">
        <x:v>1</x:v>
      </x:c>
      <x:c r="C53" t="str">
        <x:v>ATT</x:v>
      </x:c>
      <x:c r="D53" t="n">
        <x:v>51</x:v>
      </x:c>
      <x:c r="E53" t="str">
        <x:v>공격력</x:v>
      </x:c>
      <x:c r="F53" t="n">
        <x:f>'밸런스 조정'!$C$3+'밸런스 조정'!$D$3*D53</x:f>
        <x:v>204</x:v>
      </x:c>
      <x:c r="G53" t="str">
        <x:v>value</x:v>
      </x:c>
      <x:c r="H53" t="str">
        <x:v>Coin</x:v>
      </x:c>
      <x:c r="I53" t="n">
        <x:f>ROUND('밸런스 조정'!$E$3+'밸런스 조정'!$F$3*(D53-1)+'밸런스 조정'!$C$69*MAX(0,D53-3)^2,0)</x:f>
        <x:v>7402</x:v>
      </x:c>
      <x:c r="J53" t="str">
        <x:v>기본 공격력 증가</x:v>
      </x:c>
    </x:row>
    <x:row r="54">
      <x:c r="B54" t="n">
        <x:v>1</x:v>
      </x:c>
      <x:c r="C54" t="str">
        <x:v>ATT</x:v>
      </x:c>
      <x:c r="D54" t="n">
        <x:v>52</x:v>
      </x:c>
      <x:c r="E54" t="str">
        <x:v>공격력</x:v>
      </x:c>
      <x:c r="F54" t="n">
        <x:f>'밸런스 조정'!$C$3+'밸런스 조정'!$D$3*D54</x:f>
        <x:v>208</x:v>
      </x:c>
      <x:c r="G54" t="str">
        <x:v>value</x:v>
      </x:c>
      <x:c r="H54" t="str">
        <x:v>Coin</x:v>
      </x:c>
      <x:c r="I54" t="n">
        <x:f>ROUND('밸런스 조정'!$E$3+'밸런스 조정'!$F$3*(D54-1)+'밸런스 조정'!$C$69*MAX(0,D54-3)^2,0)</x:f>
        <x:v>7708</x:v>
      </x:c>
      <x:c r="J54" t="str">
        <x:v>기본 공격력 증가</x:v>
      </x:c>
    </x:row>
    <x:row r="55">
      <x:c r="B55" t="n">
        <x:v>1</x:v>
      </x:c>
      <x:c r="C55" t="str">
        <x:v>ATT</x:v>
      </x:c>
      <x:c r="D55" t="n">
        <x:v>53</x:v>
      </x:c>
      <x:c r="E55" t="str">
        <x:v>공격력</x:v>
      </x:c>
      <x:c r="F55" t="n">
        <x:f>'밸런스 조정'!$C$3+'밸런스 조정'!$D$3*D55</x:f>
        <x:v>212</x:v>
      </x:c>
      <x:c r="G55" t="str">
        <x:v>value</x:v>
      </x:c>
      <x:c r="H55" t="str">
        <x:v>Coin</x:v>
      </x:c>
      <x:c r="I55" t="n">
        <x:f>ROUND('밸런스 조정'!$E$3+'밸런스 조정'!$F$3*(D55-1)+'밸런스 조정'!$C$69*MAX(0,D55-3)^2,0)</x:f>
        <x:v>8020</x:v>
      </x:c>
      <x:c r="J55" t="str">
        <x:v>기본 공격력 증가</x:v>
      </x:c>
    </x:row>
    <x:row r="56">
      <x:c r="B56" t="n">
        <x:v>1</x:v>
      </x:c>
      <x:c r="C56" t="str">
        <x:v>ATT</x:v>
      </x:c>
      <x:c r="D56" t="n">
        <x:v>54</x:v>
      </x:c>
      <x:c r="E56" t="str">
        <x:v>공격력</x:v>
      </x:c>
      <x:c r="F56" t="n">
        <x:f>'밸런스 조정'!$C$3+'밸런스 조정'!$D$3*D56</x:f>
        <x:v>216</x:v>
      </x:c>
      <x:c r="G56" t="str">
        <x:v>value</x:v>
      </x:c>
      <x:c r="H56" t="str">
        <x:v>Coin</x:v>
      </x:c>
      <x:c r="I56" t="n">
        <x:f>ROUND('밸런스 조정'!$E$3+'밸런스 조정'!$F$3*(D56-1)+'밸런스 조정'!$C$69*MAX(0,D56-3)^2,0)</x:f>
        <x:v>8338</x:v>
      </x:c>
      <x:c r="J56" t="str">
        <x:v>기본 공격력 증가</x:v>
      </x:c>
    </x:row>
    <x:row r="57">
      <x:c r="B57" t="n">
        <x:v>1</x:v>
      </x:c>
      <x:c r="C57" t="str">
        <x:v>ATT</x:v>
      </x:c>
      <x:c r="D57" t="n">
        <x:v>55</x:v>
      </x:c>
      <x:c r="E57" t="str">
        <x:v>공격력</x:v>
      </x:c>
      <x:c r="F57" t="n">
        <x:f>'밸런스 조정'!$C$3+'밸런스 조정'!$D$3*D57</x:f>
        <x:v>220</x:v>
      </x:c>
      <x:c r="G57" t="str">
        <x:v>value</x:v>
      </x:c>
      <x:c r="H57" t="str">
        <x:v>Coin</x:v>
      </x:c>
      <x:c r="I57" t="n">
        <x:f>ROUND('밸런스 조정'!$E$3+'밸런스 조정'!$F$3*(D57-1)+'밸런스 조정'!$C$69*MAX(0,D57-3)^2,0)</x:f>
        <x:v>8662</x:v>
      </x:c>
      <x:c r="J57" t="str">
        <x:v>기본 공격력 증가</x:v>
      </x:c>
    </x:row>
    <x:row r="58">
      <x:c r="B58" t="n">
        <x:v>1</x:v>
      </x:c>
      <x:c r="C58" t="str">
        <x:v>ATT</x:v>
      </x:c>
      <x:c r="D58" t="n">
        <x:v>56</x:v>
      </x:c>
      <x:c r="E58" t="str">
        <x:v>공격력</x:v>
      </x:c>
      <x:c r="F58" t="n">
        <x:f>'밸런스 조정'!$C$3+'밸런스 조정'!$D$3*D58</x:f>
        <x:v>224</x:v>
      </x:c>
      <x:c r="G58" t="str">
        <x:v>value</x:v>
      </x:c>
      <x:c r="H58" t="str">
        <x:v>Coin</x:v>
      </x:c>
      <x:c r="I58" t="n">
        <x:f>ROUND('밸런스 조정'!$E$3+'밸런스 조정'!$F$3*(D58-1)+'밸런스 조정'!$C$69*MAX(0,D58-3)^2,0)</x:f>
        <x:v>8993</x:v>
      </x:c>
      <x:c r="J58" t="str">
        <x:v>기본 공격력 증가</x:v>
      </x:c>
    </x:row>
    <x:row r="59">
      <x:c r="B59" t="n">
        <x:v>1</x:v>
      </x:c>
      <x:c r="C59" t="str">
        <x:v>ATT</x:v>
      </x:c>
      <x:c r="D59" t="n">
        <x:v>57</x:v>
      </x:c>
      <x:c r="E59" t="str">
        <x:v>공격력</x:v>
      </x:c>
      <x:c r="F59" t="n">
        <x:f>'밸런스 조정'!$C$3+'밸런스 조정'!$D$3*D59</x:f>
        <x:v>228</x:v>
      </x:c>
      <x:c r="G59" t="str">
        <x:v>value</x:v>
      </x:c>
      <x:c r="H59" t="str">
        <x:v>Coin</x:v>
      </x:c>
      <x:c r="I59" t="n">
        <x:f>ROUND('밸런스 조정'!$E$3+'밸런스 조정'!$F$3*(D59-1)+'밸런스 조정'!$C$69*MAX(0,D59-3)^2,0)</x:f>
        <x:v>9330</x:v>
      </x:c>
      <x:c r="J59" t="str">
        <x:v>기본 공격력 증가</x:v>
      </x:c>
    </x:row>
    <x:row r="60">
      <x:c r="B60" t="n">
        <x:v>1</x:v>
      </x:c>
      <x:c r="C60" t="str">
        <x:v>ATT</x:v>
      </x:c>
      <x:c r="D60" t="n">
        <x:v>58</x:v>
      </x:c>
      <x:c r="E60" t="str">
        <x:v>공격력</x:v>
      </x:c>
      <x:c r="F60" t="n">
        <x:f>'밸런스 조정'!$C$3+'밸런스 조정'!$D$3*D60</x:f>
        <x:v>232</x:v>
      </x:c>
      <x:c r="G60" t="str">
        <x:v>value</x:v>
      </x:c>
      <x:c r="H60" t="str">
        <x:v>Coin</x:v>
      </x:c>
      <x:c r="I60" t="n">
        <x:f>ROUND('밸런스 조정'!$E$3+'밸런스 조정'!$F$3*(D60-1)+'밸런스 조정'!$C$69*MAX(0,D60-3)^2,0)</x:f>
        <x:v>9673</x:v>
      </x:c>
      <x:c r="J60" t="str">
        <x:v>기본 공격력 증가</x:v>
      </x:c>
    </x:row>
    <x:row r="61">
      <x:c r="B61" t="n">
        <x:v>1</x:v>
      </x:c>
      <x:c r="C61" t="str">
        <x:v>ATT</x:v>
      </x:c>
      <x:c r="D61" t="n">
        <x:v>59</x:v>
      </x:c>
      <x:c r="E61" t="str">
        <x:v>공격력</x:v>
      </x:c>
      <x:c r="F61" t="n">
        <x:f>'밸런스 조정'!$C$3+'밸런스 조정'!$D$3*D61</x:f>
        <x:v>236</x:v>
      </x:c>
      <x:c r="G61" t="str">
        <x:v>value</x:v>
      </x:c>
      <x:c r="H61" t="str">
        <x:v>Coin</x:v>
      </x:c>
      <x:c r="I61" t="n">
        <x:f>ROUND('밸런스 조정'!$E$3+'밸런스 조정'!$F$3*(D61-1)+'밸런스 조정'!$C$69*MAX(0,D61-3)^2,0)</x:f>
        <x:v>10022</x:v>
      </x:c>
      <x:c r="J61" t="str">
        <x:v>기본 공격력 증가</x:v>
      </x:c>
    </x:row>
    <x:row r="62">
      <x:c r="B62" t="n">
        <x:v>1</x:v>
      </x:c>
      <x:c r="C62" t="str">
        <x:v>ATT</x:v>
      </x:c>
      <x:c r="D62" t="n">
        <x:v>60</x:v>
      </x:c>
      <x:c r="E62" t="str">
        <x:v>공격력</x:v>
      </x:c>
      <x:c r="F62" t="n">
        <x:f>'밸런스 조정'!$C$3+'밸런스 조정'!$D$3*D62</x:f>
        <x:v>240</x:v>
      </x:c>
      <x:c r="G62" t="str">
        <x:v>value</x:v>
      </x:c>
      <x:c r="H62" t="str">
        <x:v>Coin</x:v>
      </x:c>
      <x:c r="I62" t="n">
        <x:f>ROUND('밸런스 조정'!$E$3+'밸런스 조정'!$F$3*(D62-1)+'밸런스 조정'!$C$69*MAX(0,D62-3)^2,0)</x:f>
        <x:v>10377</x:v>
      </x:c>
      <x:c r="J62" t="str">
        <x:v>기본 공격력 증가</x:v>
      </x:c>
    </x:row>
    <x:row r="63">
      <x:c r="B63" t="n">
        <x:v>2</x:v>
      </x:c>
      <x:c r="C63" t="str">
        <x:v>HP</x:v>
      </x:c>
      <x:c r="D63" t="n">
        <x:v>1</x:v>
      </x:c>
      <x:c r="E63" t="str">
        <x:v>체력</x:v>
      </x:c>
      <x:c r="F63" t="n">
        <x:f>'밸런스 조정'!$C$4+'밸런스 조정'!$D$4*D63+'밸런스 조정'!$C$66*D63*(D63-1)</x:f>
        <x:v>20</x:v>
      </x:c>
      <x:c r="G63" t="str">
        <x:v>value</x:v>
      </x:c>
      <x:c r="H63" t="str">
        <x:v>Coin</x:v>
      </x:c>
      <x:c r="I63" t="n">
        <x:f>ROUND('밸런스 조정'!$E$4+'밸런스 조정'!$F$4*(D63-1)+'밸런스 조정'!$C$69*MAX(0,D63-3)^2,0)</x:f>
        <x:v>10</x:v>
      </x:c>
      <x:c r="J63" t="str">
        <x:v>최대 체력 증가</x:v>
      </x:c>
    </x:row>
    <x:row r="64">
      <x:c r="B64" t="n">
        <x:v>2</x:v>
      </x:c>
      <x:c r="C64" t="str">
        <x:v>HP</x:v>
      </x:c>
      <x:c r="D64" t="n">
        <x:v>2</x:v>
      </x:c>
      <x:c r="E64" t="str">
        <x:v>체력</x:v>
      </x:c>
      <x:c r="F64" t="n">
        <x:f>'밸런스 조정'!$C$4+'밸런스 조정'!$D$4*D64+'밸런스 조정'!$C$66*D64*(D64-1)</x:f>
        <x:v>50</x:v>
      </x:c>
      <x:c r="G64" t="str">
        <x:v>value</x:v>
      </x:c>
      <x:c r="H64" t="str">
        <x:v>Coin</x:v>
      </x:c>
      <x:c r="I64" t="n">
        <x:f>ROUND('밸런스 조정'!$E$4+'밸런스 조정'!$F$4*(D64-1)+'밸런스 조정'!$C$69*MAX(0,D64-3)^2,0)</x:f>
        <x:v>15</x:v>
      </x:c>
      <x:c r="J64" t="str">
        <x:v>최대 체력 증가</x:v>
      </x:c>
    </x:row>
    <x:row r="65">
      <x:c r="B65" t="n">
        <x:v>2</x:v>
      </x:c>
      <x:c r="C65" t="str">
        <x:v>HP</x:v>
      </x:c>
      <x:c r="D65" t="n">
        <x:v>3</x:v>
      </x:c>
      <x:c r="E65" t="str">
        <x:v>체력</x:v>
      </x:c>
      <x:c r="F65" t="n">
        <x:f>'밸런스 조정'!$C$4+'밸런스 조정'!$D$4*D65+'밸런스 조정'!$C$66*D65*(D65-1)</x:f>
        <x:v>90</x:v>
      </x:c>
      <x:c r="G65" t="str">
        <x:v>value</x:v>
      </x:c>
      <x:c r="H65" t="str">
        <x:v>Coin</x:v>
      </x:c>
      <x:c r="I65" t="n">
        <x:f>ROUND('밸런스 조정'!$E$4+'밸런스 조정'!$F$4*(D65-1)+'밸런스 조정'!$C$69*MAX(0,D65-3)^2,0)</x:f>
        <x:v>20</x:v>
      </x:c>
      <x:c r="J65" t="str">
        <x:v>최대 체력 증가</x:v>
      </x:c>
    </x:row>
    <x:row r="66">
      <x:c r="B66" t="n">
        <x:v>2</x:v>
      </x:c>
      <x:c r="C66" t="str">
        <x:v>HP</x:v>
      </x:c>
      <x:c r="D66" t="n">
        <x:v>4</x:v>
      </x:c>
      <x:c r="E66" t="str">
        <x:v>체력</x:v>
      </x:c>
      <x:c r="F66" t="n">
        <x:f>'밸런스 조정'!$C$4+'밸런스 조정'!$D$4*D66+'밸런스 조정'!$C$66*D66*(D66-1)</x:f>
        <x:v>140</x:v>
      </x:c>
      <x:c r="G66" t="str">
        <x:v>value</x:v>
      </x:c>
      <x:c r="H66" t="str">
        <x:v>Coin</x:v>
      </x:c>
      <x:c r="I66" t="n">
        <x:f>ROUND('밸런스 조정'!$E$4+'밸런스 조정'!$F$4*(D66-1)+'밸런스 조정'!$C$69*MAX(0,D66-3)^2,0)</x:f>
        <x:v>28</x:v>
      </x:c>
      <x:c r="J66" t="str">
        <x:v>최대 체력 증가</x:v>
      </x:c>
    </x:row>
    <x:row r="67">
      <x:c r="B67" t="n">
        <x:v>2</x:v>
      </x:c>
      <x:c r="C67" t="str">
        <x:v>HP</x:v>
      </x:c>
      <x:c r="D67" t="n">
        <x:v>5</x:v>
      </x:c>
      <x:c r="E67" t="str">
        <x:v>체력</x:v>
      </x:c>
      <x:c r="F67" t="n">
        <x:f>'밸런스 조정'!$C$4+'밸런스 조정'!$D$4*D67+'밸런스 조정'!$C$66*D67*(D67-1)</x:f>
        <x:v>200</x:v>
      </x:c>
      <x:c r="G67" t="str">
        <x:v>value</x:v>
      </x:c>
      <x:c r="H67" t="str">
        <x:v>Coin</x:v>
      </x:c>
      <x:c r="I67" t="n">
        <x:f>ROUND('밸런스 조정'!$E$4+'밸런스 조정'!$F$4*(D67-1)+'밸런스 조정'!$C$69*MAX(0,D67-3)^2,0)</x:f>
        <x:v>42</x:v>
      </x:c>
      <x:c r="J67" t="str">
        <x:v>최대 체력 증가</x:v>
      </x:c>
    </x:row>
    <x:row r="68">
      <x:c r="B68" t="n">
        <x:v>2</x:v>
      </x:c>
      <x:c r="C68" t="str">
        <x:v>HP</x:v>
      </x:c>
      <x:c r="D68" t="n">
        <x:v>6</x:v>
      </x:c>
      <x:c r="E68" t="str">
        <x:v>체력</x:v>
      </x:c>
      <x:c r="F68" t="n">
        <x:f>'밸런스 조정'!$C$4+'밸런스 조정'!$D$4*D68+'밸런스 조정'!$C$66*D68*(D68-1)</x:f>
        <x:v>270</x:v>
      </x:c>
      <x:c r="G68" t="str">
        <x:v>value</x:v>
      </x:c>
      <x:c r="H68" t="str">
        <x:v>Coin</x:v>
      </x:c>
      <x:c r="I68" t="n">
        <x:f>ROUND('밸런스 조정'!$E$4+'밸런스 조정'!$F$4*(D68-1)+'밸런스 조정'!$C$69*MAX(0,D68-3)^2,0)</x:f>
        <x:v>63</x:v>
      </x:c>
      <x:c r="J68" t="str">
        <x:v>최대 체력 증가</x:v>
      </x:c>
    </x:row>
    <x:row r="69">
      <x:c r="B69" t="n">
        <x:v>2</x:v>
      </x:c>
      <x:c r="C69" t="str">
        <x:v>HP</x:v>
      </x:c>
      <x:c r="D69" t="n">
        <x:v>7</x:v>
      </x:c>
      <x:c r="E69" t="str">
        <x:v>체력</x:v>
      </x:c>
      <x:c r="F69" t="n">
        <x:f>'밸런스 조정'!$C$4+'밸런스 조정'!$D$4*D69+'밸런스 조정'!$C$66*D69*(D69-1)</x:f>
        <x:v>350</x:v>
      </x:c>
      <x:c r="G69" t="str">
        <x:v>value</x:v>
      </x:c>
      <x:c r="H69" t="str">
        <x:v>Coin</x:v>
      </x:c>
      <x:c r="I69" t="n">
        <x:f>ROUND('밸런스 조정'!$E$4+'밸런스 조정'!$F$4*(D69-1)+'밸런스 조정'!$C$69*MAX(0,D69-3)^2,0)</x:f>
        <x:v>90</x:v>
      </x:c>
      <x:c r="J69" t="str">
        <x:v>최대 체력 증가</x:v>
      </x:c>
    </x:row>
    <x:row r="70">
      <x:c r="B70" t="n">
        <x:v>2</x:v>
      </x:c>
      <x:c r="C70" t="str">
        <x:v>HP</x:v>
      </x:c>
      <x:c r="D70" t="n">
        <x:v>8</x:v>
      </x:c>
      <x:c r="E70" t="str">
        <x:v>체력</x:v>
      </x:c>
      <x:c r="F70" t="n">
        <x:f>'밸런스 조정'!$C$4+'밸런스 조정'!$D$4*D70+'밸런스 조정'!$C$66*D70*(D70-1)</x:f>
        <x:v>440</x:v>
      </x:c>
      <x:c r="G70" t="str">
        <x:v>value</x:v>
      </x:c>
      <x:c r="H70" t="str">
        <x:v>Coin</x:v>
      </x:c>
      <x:c r="I70" t="n">
        <x:f>ROUND('밸런스 조정'!$E$4+'밸런스 조정'!$F$4*(D70-1)+'밸런스 조정'!$C$69*MAX(0,D70-3)^2,0)</x:f>
        <x:v>123</x:v>
      </x:c>
      <x:c r="J70" t="str">
        <x:v>최대 체력 증가</x:v>
      </x:c>
    </x:row>
    <x:row r="71">
      <x:c r="B71" t="n">
        <x:v>2</x:v>
      </x:c>
      <x:c r="C71" t="str">
        <x:v>HP</x:v>
      </x:c>
      <x:c r="D71" t="n">
        <x:v>9</x:v>
      </x:c>
      <x:c r="E71" t="str">
        <x:v>체력</x:v>
      </x:c>
      <x:c r="F71" t="n">
        <x:f>'밸런스 조정'!$C$4+'밸런스 조정'!$D$4*D71+'밸런스 조정'!$C$66*D71*(D71-1)</x:f>
        <x:v>540</x:v>
      </x:c>
      <x:c r="G71" t="str">
        <x:v>value</x:v>
      </x:c>
      <x:c r="H71" t="str">
        <x:v>Coin</x:v>
      </x:c>
      <x:c r="I71" t="n">
        <x:f>ROUND('밸런스 조정'!$E$4+'밸런스 조정'!$F$4*(D71-1)+'밸런스 조정'!$C$69*MAX(0,D71-3)^2,0)</x:f>
        <x:v>162</x:v>
      </x:c>
      <x:c r="J71" t="str">
        <x:v>최대 체력 증가</x:v>
      </x:c>
    </x:row>
    <x:row r="72">
      <x:c r="B72" t="n">
        <x:v>2</x:v>
      </x:c>
      <x:c r="C72" t="str">
        <x:v>HP</x:v>
      </x:c>
      <x:c r="D72" t="n">
        <x:v>10</x:v>
      </x:c>
      <x:c r="E72" t="str">
        <x:v>체력</x:v>
      </x:c>
      <x:c r="F72" t="n">
        <x:f>'밸런스 조정'!$C$4+'밸런스 조정'!$D$4*D72+'밸런스 조정'!$C$66*D72*(D72-1)</x:f>
        <x:v>650</x:v>
      </x:c>
      <x:c r="G72" t="str">
        <x:v>value</x:v>
      </x:c>
      <x:c r="H72" t="str">
        <x:v>Coin</x:v>
      </x:c>
      <x:c r="I72" t="n">
        <x:f>ROUND('밸런스 조정'!$E$4+'밸런스 조정'!$F$4*(D72-1)+'밸런스 조정'!$C$69*MAX(0,D72-3)^2,0)</x:f>
        <x:v>207</x:v>
      </x:c>
      <x:c r="J72" t="str">
        <x:v>최대 체력 증가</x:v>
      </x:c>
    </x:row>
    <x:row r="73">
      <x:c r="B73" t="n">
        <x:v>2</x:v>
      </x:c>
      <x:c r="C73" t="str">
        <x:v>HP</x:v>
      </x:c>
      <x:c r="D73" t="n">
        <x:v>11</x:v>
      </x:c>
      <x:c r="E73" t="str">
        <x:v>체력</x:v>
      </x:c>
      <x:c r="F73" t="n">
        <x:f>'밸런스 조정'!$C$4+'밸런스 조정'!$D$4*D73+'밸런스 조정'!$C$66*D73*(D73-1)</x:f>
        <x:v>770</x:v>
      </x:c>
      <x:c r="G73" t="str">
        <x:v>value</x:v>
      </x:c>
      <x:c r="H73" t="str">
        <x:v>Coin</x:v>
      </x:c>
      <x:c r="I73" t="n">
        <x:f>ROUND('밸런스 조정'!$E$4+'밸런스 조정'!$F$4*(D73-1)+'밸런스 조정'!$C$69*MAX(0,D73-3)^2,0)</x:f>
        <x:v>258</x:v>
      </x:c>
      <x:c r="J73" t="str">
        <x:v>최대 체력 증가</x:v>
      </x:c>
    </x:row>
    <x:row r="74">
      <x:c r="B74" t="n">
        <x:v>2</x:v>
      </x:c>
      <x:c r="C74" t="str">
        <x:v>HP</x:v>
      </x:c>
      <x:c r="D74" t="n">
        <x:v>12</x:v>
      </x:c>
      <x:c r="E74" t="str">
        <x:v>체력</x:v>
      </x:c>
      <x:c r="F74" t="n">
        <x:f>'밸런스 조정'!$C$4+'밸런스 조정'!$D$4*D74+'밸런스 조정'!$C$66*D74*(D74-1)</x:f>
        <x:v>900</x:v>
      </x:c>
      <x:c r="G74" t="str">
        <x:v>value</x:v>
      </x:c>
      <x:c r="H74" t="str">
        <x:v>Coin</x:v>
      </x:c>
      <x:c r="I74" t="n">
        <x:f>ROUND('밸런스 조정'!$E$4+'밸런스 조정'!$F$4*(D74-1)+'밸런스 조정'!$C$69*MAX(0,D74-3)^2,0)</x:f>
        <x:v>316</x:v>
      </x:c>
      <x:c r="J74" t="str">
        <x:v>최대 체력 증가</x:v>
      </x:c>
    </x:row>
    <x:row r="75">
      <x:c r="B75" t="n">
        <x:v>2</x:v>
      </x:c>
      <x:c r="C75" t="str">
        <x:v>HP</x:v>
      </x:c>
      <x:c r="D75" t="n">
        <x:v>13</x:v>
      </x:c>
      <x:c r="E75" t="str">
        <x:v>체력</x:v>
      </x:c>
      <x:c r="F75" t="n">
        <x:f>'밸런스 조정'!$C$4+'밸런스 조정'!$D$4*D75+'밸런스 조정'!$C$66*D75*(D75-1)</x:f>
        <x:v>1040</x:v>
      </x:c>
      <x:c r="G75" t="str">
        <x:v>value</x:v>
      </x:c>
      <x:c r="H75" t="str">
        <x:v>Coin</x:v>
      </x:c>
      <x:c r="I75" t="n">
        <x:f>ROUND('밸런스 조정'!$E$4+'밸런스 조정'!$F$4*(D75-1)+'밸런스 조정'!$C$69*MAX(0,D75-3)^2,0)</x:f>
        <x:v>380</x:v>
      </x:c>
      <x:c r="J75" t="str">
        <x:v>최대 체력 증가</x:v>
      </x:c>
    </x:row>
    <x:row r="76">
      <x:c r="B76" t="n">
        <x:v>2</x:v>
      </x:c>
      <x:c r="C76" t="str">
        <x:v>HP</x:v>
      </x:c>
      <x:c r="D76" t="n">
        <x:v>14</x:v>
      </x:c>
      <x:c r="E76" t="str">
        <x:v>체력</x:v>
      </x:c>
      <x:c r="F76" t="n">
        <x:f>'밸런스 조정'!$C$4+'밸런스 조정'!$D$4*D76+'밸런스 조정'!$C$66*D76*(D76-1)</x:f>
        <x:v>1190</x:v>
      </x:c>
      <x:c r="G76" t="str">
        <x:v>value</x:v>
      </x:c>
      <x:c r="H76" t="str">
        <x:v>Coin</x:v>
      </x:c>
      <x:c r="I76" t="n">
        <x:f>ROUND('밸런스 조정'!$E$4+'밸런스 조정'!$F$4*(D76-1)+'밸런스 조정'!$C$69*MAX(0,D76-3)^2,0)</x:f>
        <x:v>450</x:v>
      </x:c>
      <x:c r="J76" t="str">
        <x:v>최대 체력 증가</x:v>
      </x:c>
    </x:row>
    <x:row r="77">
      <x:c r="B77" t="n">
        <x:v>2</x:v>
      </x:c>
      <x:c r="C77" t="str">
        <x:v>HP</x:v>
      </x:c>
      <x:c r="D77" t="n">
        <x:v>15</x:v>
      </x:c>
      <x:c r="E77" t="str">
        <x:v>체력</x:v>
      </x:c>
      <x:c r="F77" t="n">
        <x:f>'밸런스 조정'!$C$4+'밸런스 조정'!$D$4*D77+'밸런스 조정'!$C$66*D77*(D77-1)</x:f>
        <x:v>1350</x:v>
      </x:c>
      <x:c r="G77" t="str">
        <x:v>value</x:v>
      </x:c>
      <x:c r="H77" t="str">
        <x:v>Coin</x:v>
      </x:c>
      <x:c r="I77" t="n">
        <x:f>ROUND('밸런스 조정'!$E$4+'밸런스 조정'!$F$4*(D77-1)+'밸런스 조정'!$C$69*MAX(0,D77-3)^2,0)</x:f>
        <x:v>526</x:v>
      </x:c>
      <x:c r="J77" t="str">
        <x:v>최대 체력 증가</x:v>
      </x:c>
    </x:row>
    <x:row r="78">
      <x:c r="B78" t="n">
        <x:v>2</x:v>
      </x:c>
      <x:c r="C78" t="str">
        <x:v>HP</x:v>
      </x:c>
      <x:c r="D78" t="n">
        <x:v>16</x:v>
      </x:c>
      <x:c r="E78" t="str">
        <x:v>체력</x:v>
      </x:c>
      <x:c r="F78" t="n">
        <x:f>'밸런스 조정'!$C$4+'밸런스 조정'!$D$4*D78+'밸런스 조정'!$C$66*D78*(D78-1)</x:f>
        <x:v>1520</x:v>
      </x:c>
      <x:c r="G78" t="str">
        <x:v>value</x:v>
      </x:c>
      <x:c r="H78" t="str">
        <x:v>Coin</x:v>
      </x:c>
      <x:c r="I78" t="n">
        <x:f>ROUND('밸런스 조정'!$E$4+'밸런스 조정'!$F$4*(D78-1)+'밸런스 조정'!$C$69*MAX(0,D78-3)^2,0)</x:f>
        <x:v>609</x:v>
      </x:c>
      <x:c r="J78" t="str">
        <x:v>최대 체력 증가</x:v>
      </x:c>
    </x:row>
    <x:row r="79">
      <x:c r="B79" t="n">
        <x:v>2</x:v>
      </x:c>
      <x:c r="C79" t="str">
        <x:v>HP</x:v>
      </x:c>
      <x:c r="D79" t="n">
        <x:v>17</x:v>
      </x:c>
      <x:c r="E79" t="str">
        <x:v>체력</x:v>
      </x:c>
      <x:c r="F79" t="n">
        <x:f>'밸런스 조정'!$C$4+'밸런스 조정'!$D$4*D79+'밸런스 조정'!$C$66*D79*(D79-1)</x:f>
        <x:v>1700</x:v>
      </x:c>
      <x:c r="G79" t="str">
        <x:v>value</x:v>
      </x:c>
      <x:c r="H79" t="str">
        <x:v>Coin</x:v>
      </x:c>
      <x:c r="I79" t="n">
        <x:f>ROUND('밸런스 조정'!$E$4+'밸런스 조정'!$F$4*(D79-1)+'밸런스 조정'!$C$69*MAX(0,D79-3)^2,0)</x:f>
        <x:v>698</x:v>
      </x:c>
      <x:c r="J79" t="str">
        <x:v>최대 체력 증가</x:v>
      </x:c>
    </x:row>
    <x:row r="80">
      <x:c r="B80" t="n">
        <x:v>2</x:v>
      </x:c>
      <x:c r="C80" t="str">
        <x:v>HP</x:v>
      </x:c>
      <x:c r="D80" t="n">
        <x:v>18</x:v>
      </x:c>
      <x:c r="E80" t="str">
        <x:v>체력</x:v>
      </x:c>
      <x:c r="F80" t="n">
        <x:f>'밸런스 조정'!$C$4+'밸런스 조정'!$D$4*D80+'밸런스 조정'!$C$66*D80*(D80-1)</x:f>
        <x:v>1890</x:v>
      </x:c>
      <x:c r="G80" t="str">
        <x:v>value</x:v>
      </x:c>
      <x:c r="H80" t="str">
        <x:v>Coin</x:v>
      </x:c>
      <x:c r="I80" t="n">
        <x:f>ROUND('밸런스 조정'!$E$4+'밸런스 조정'!$F$4*(D80-1)+'밸런스 조정'!$C$69*MAX(0,D80-3)^2,0)</x:f>
        <x:v>793</x:v>
      </x:c>
      <x:c r="J80" t="str">
        <x:v>최대 체력 증가</x:v>
      </x:c>
    </x:row>
    <x:row r="81">
      <x:c r="B81" t="n">
        <x:v>2</x:v>
      </x:c>
      <x:c r="C81" t="str">
        <x:v>HP</x:v>
      </x:c>
      <x:c r="D81" t="n">
        <x:v>19</x:v>
      </x:c>
      <x:c r="E81" t="str">
        <x:v>체력</x:v>
      </x:c>
      <x:c r="F81" t="n">
        <x:f>'밸런스 조정'!$C$4+'밸런스 조정'!$D$4*D81+'밸런스 조정'!$C$66*D81*(D81-1)</x:f>
        <x:v>2090</x:v>
      </x:c>
      <x:c r="G81" t="str">
        <x:v>value</x:v>
      </x:c>
      <x:c r="H81" t="str">
        <x:v>Coin</x:v>
      </x:c>
      <x:c r="I81" t="n">
        <x:f>ROUND('밸런스 조정'!$E$4+'밸런스 조정'!$F$4*(D81-1)+'밸런스 조정'!$C$69*MAX(0,D81-3)^2,0)</x:f>
        <x:v>894</x:v>
      </x:c>
      <x:c r="J81" t="str">
        <x:v>최대 체력 증가</x:v>
      </x:c>
    </x:row>
    <x:row r="82">
      <x:c r="B82" t="n">
        <x:v>2</x:v>
      </x:c>
      <x:c r="C82" t="str">
        <x:v>HP</x:v>
      </x:c>
      <x:c r="D82" t="n">
        <x:v>20</x:v>
      </x:c>
      <x:c r="E82" t="str">
        <x:v>체력</x:v>
      </x:c>
      <x:c r="F82" t="n">
        <x:f>'밸런스 조정'!$C$4+'밸런스 조정'!$D$4*D82+'밸런스 조정'!$C$66*D82*(D82-1)</x:f>
        <x:v>2300</x:v>
      </x:c>
      <x:c r="G82" t="str">
        <x:v>value</x:v>
      </x:c>
      <x:c r="H82" t="str">
        <x:v>Coin</x:v>
      </x:c>
      <x:c r="I82" t="n">
        <x:f>ROUND('밸런스 조정'!$E$4+'밸런스 조정'!$F$4*(D82-1)+'밸런스 조정'!$C$69*MAX(0,D82-3)^2,0)</x:f>
        <x:v>1001</x:v>
      </x:c>
      <x:c r="J82" t="str">
        <x:v>최대 체력 증가</x:v>
      </x:c>
    </x:row>
    <x:row r="83">
      <x:c r="B83" t="n">
        <x:v>2</x:v>
      </x:c>
      <x:c r="C83" t="str">
        <x:v>HP</x:v>
      </x:c>
      <x:c r="D83" t="n">
        <x:v>21</x:v>
      </x:c>
      <x:c r="E83" t="str">
        <x:v>체력</x:v>
      </x:c>
      <x:c r="F83" t="n">
        <x:f>'밸런스 조정'!$C$4+'밸런스 조정'!$D$4*D83+'밸런스 조정'!$C$66*D83*(D83-1)</x:f>
        <x:v>2520</x:v>
      </x:c>
      <x:c r="G83" t="str">
        <x:v>value</x:v>
      </x:c>
      <x:c r="H83" t="str">
        <x:v>Coin</x:v>
      </x:c>
      <x:c r="I83" t="n">
        <x:f>ROUND('밸런스 조정'!$E$4+'밸런스 조정'!$F$4*(D83-1)+'밸런스 조정'!$C$69*MAX(0,D83-3)^2,0)</x:f>
        <x:v>1114</x:v>
      </x:c>
      <x:c r="J83" t="str">
        <x:v>최대 체력 증가</x:v>
      </x:c>
    </x:row>
    <x:row r="84">
      <x:c r="B84" t="n">
        <x:v>2</x:v>
      </x:c>
      <x:c r="C84" t="str">
        <x:v>HP</x:v>
      </x:c>
      <x:c r="D84" t="n">
        <x:v>22</x:v>
      </x:c>
      <x:c r="E84" t="str">
        <x:v>체력</x:v>
      </x:c>
      <x:c r="F84" t="n">
        <x:f>'밸런스 조정'!$C$4+'밸런스 조정'!$D$4*D84+'밸런스 조정'!$C$66*D84*(D84-1)</x:f>
        <x:v>2750</x:v>
      </x:c>
      <x:c r="G84" t="str">
        <x:v>value</x:v>
      </x:c>
      <x:c r="H84" t="str">
        <x:v>Coin</x:v>
      </x:c>
      <x:c r="I84" t="n">
        <x:f>ROUND('밸런스 조정'!$E$4+'밸런스 조정'!$F$4*(D84-1)+'밸런스 조정'!$C$69*MAX(0,D84-3)^2,0)</x:f>
        <x:v>1234</x:v>
      </x:c>
      <x:c r="J84" t="str">
        <x:v>최대 체력 증가</x:v>
      </x:c>
    </x:row>
    <x:row r="85">
      <x:c r="B85" t="n">
        <x:v>2</x:v>
      </x:c>
      <x:c r="C85" t="str">
        <x:v>HP</x:v>
      </x:c>
      <x:c r="D85" t="n">
        <x:v>23</x:v>
      </x:c>
      <x:c r="E85" t="str">
        <x:v>체력</x:v>
      </x:c>
      <x:c r="F85" t="n">
        <x:f>'밸런스 조정'!$C$4+'밸런스 조정'!$D$4*D85+'밸런스 조정'!$C$66*D85*(D85-1)</x:f>
        <x:v>2990</x:v>
      </x:c>
      <x:c r="G85" t="str">
        <x:v>value</x:v>
      </x:c>
      <x:c r="H85" t="str">
        <x:v>Coin</x:v>
      </x:c>
      <x:c r="I85" t="n">
        <x:f>ROUND('밸런스 조정'!$E$4+'밸런스 조정'!$F$4*(D85-1)+'밸런스 조정'!$C$69*MAX(0,D85-3)^2,0)</x:f>
        <x:v>1360</x:v>
      </x:c>
      <x:c r="J85" t="str">
        <x:v>최대 체력 증가</x:v>
      </x:c>
    </x:row>
    <x:row r="86">
      <x:c r="B86" t="n">
        <x:v>2</x:v>
      </x:c>
      <x:c r="C86" t="str">
        <x:v>HP</x:v>
      </x:c>
      <x:c r="D86" t="n">
        <x:v>24</x:v>
      </x:c>
      <x:c r="E86" t="str">
        <x:v>체력</x:v>
      </x:c>
      <x:c r="F86" t="n">
        <x:f>'밸런스 조정'!$C$4+'밸런스 조정'!$D$4*D86+'밸런스 조정'!$C$66*D86*(D86-1)</x:f>
        <x:v>3240</x:v>
      </x:c>
      <x:c r="G86" t="str">
        <x:v>value</x:v>
      </x:c>
      <x:c r="H86" t="str">
        <x:v>Coin</x:v>
      </x:c>
      <x:c r="I86" t="n">
        <x:f>ROUND('밸런스 조정'!$E$4+'밸런스 조정'!$F$4*(D86-1)+'밸런스 조정'!$C$69*MAX(0,D86-3)^2,0)</x:f>
        <x:v>1492</x:v>
      </x:c>
      <x:c r="J86" t="str">
        <x:v>최대 체력 증가</x:v>
      </x:c>
    </x:row>
    <x:row r="87">
      <x:c r="B87" t="n">
        <x:v>2</x:v>
      </x:c>
      <x:c r="C87" t="str">
        <x:v>HP</x:v>
      </x:c>
      <x:c r="D87" t="n">
        <x:v>25</x:v>
      </x:c>
      <x:c r="E87" t="str">
        <x:v>체력</x:v>
      </x:c>
      <x:c r="F87" t="n">
        <x:f>'밸런스 조정'!$C$4+'밸런스 조정'!$D$4*D87+'밸런스 조정'!$C$66*D87*(D87-1)</x:f>
        <x:v>3500</x:v>
      </x:c>
      <x:c r="G87" t="str">
        <x:v>value</x:v>
      </x:c>
      <x:c r="H87" t="str">
        <x:v>Coin</x:v>
      </x:c>
      <x:c r="I87" t="n">
        <x:f>ROUND('밸런스 조정'!$E$4+'밸런스 조정'!$F$4*(D87-1)+'밸런스 조정'!$C$69*MAX(0,D87-3)^2,0)</x:f>
        <x:v>1630</x:v>
      </x:c>
      <x:c r="J87" t="str">
        <x:v>최대 체력 증가</x:v>
      </x:c>
    </x:row>
    <x:row r="88">
      <x:c r="B88" t="n">
        <x:v>2</x:v>
      </x:c>
      <x:c r="C88" t="str">
        <x:v>HP</x:v>
      </x:c>
      <x:c r="D88" t="n">
        <x:v>26</x:v>
      </x:c>
      <x:c r="E88" t="str">
        <x:v>체력</x:v>
      </x:c>
      <x:c r="F88" t="n">
        <x:f>'밸런스 조정'!$C$4+'밸런스 조정'!$D$4*D88+'밸런스 조정'!$C$66*D88*(D88-1)</x:f>
        <x:v>3770</x:v>
      </x:c>
      <x:c r="G88" t="str">
        <x:v>value</x:v>
      </x:c>
      <x:c r="H88" t="str">
        <x:v>Coin</x:v>
      </x:c>
      <x:c r="I88" t="n">
        <x:f>ROUND('밸런스 조정'!$E$4+'밸런스 조정'!$F$4*(D88-1)+'밸런스 조정'!$C$69*MAX(0,D88-3)^2,0)</x:f>
        <x:v>1775</x:v>
      </x:c>
      <x:c r="J88" t="str">
        <x:v>최대 체력 증가</x:v>
      </x:c>
    </x:row>
    <x:row r="89">
      <x:c r="B89" t="n">
        <x:v>2</x:v>
      </x:c>
      <x:c r="C89" t="str">
        <x:v>HP</x:v>
      </x:c>
      <x:c r="D89" t="n">
        <x:v>27</x:v>
      </x:c>
      <x:c r="E89" t="str">
        <x:v>체력</x:v>
      </x:c>
      <x:c r="F89" t="n">
        <x:f>'밸런스 조정'!$C$4+'밸런스 조정'!$D$4*D89+'밸런스 조정'!$C$66*D89*(D89-1)</x:f>
        <x:v>4050</x:v>
      </x:c>
      <x:c r="G89" t="str">
        <x:v>value</x:v>
      </x:c>
      <x:c r="H89" t="str">
        <x:v>Coin</x:v>
      </x:c>
      <x:c r="I89" t="n">
        <x:f>ROUND('밸런스 조정'!$E$4+'밸런스 조정'!$F$4*(D89-1)+'밸런스 조정'!$C$69*MAX(0,D89-3)^2,0)</x:f>
        <x:v>1926</x:v>
      </x:c>
      <x:c r="J89" t="str">
        <x:v>최대 체력 증가</x:v>
      </x:c>
    </x:row>
    <x:row r="90">
      <x:c r="B90" t="n">
        <x:v>2</x:v>
      </x:c>
      <x:c r="C90" t="str">
        <x:v>HP</x:v>
      </x:c>
      <x:c r="D90" t="n">
        <x:v>28</x:v>
      </x:c>
      <x:c r="E90" t="str">
        <x:v>체력</x:v>
      </x:c>
      <x:c r="F90" t="n">
        <x:f>'밸런스 조정'!$C$4+'밸런스 조정'!$D$4*D90+'밸런스 조정'!$C$66*D90*(D90-1)</x:f>
        <x:v>4340</x:v>
      </x:c>
      <x:c r="G90" t="str">
        <x:v>value</x:v>
      </x:c>
      <x:c r="H90" t="str">
        <x:v>Coin</x:v>
      </x:c>
      <x:c r="I90" t="n">
        <x:f>ROUND('밸런스 조정'!$E$4+'밸런스 조정'!$F$4*(D90-1)+'밸런스 조정'!$C$69*MAX(0,D90-3)^2,0)</x:f>
        <x:v>2083</x:v>
      </x:c>
      <x:c r="J90" t="str">
        <x:v>최대 체력 증가</x:v>
      </x:c>
    </x:row>
    <x:row r="91">
      <x:c r="B91" t="n">
        <x:v>2</x:v>
      </x:c>
      <x:c r="C91" t="str">
        <x:v>HP</x:v>
      </x:c>
      <x:c r="D91" t="n">
        <x:v>29</x:v>
      </x:c>
      <x:c r="E91" t="str">
        <x:v>체력</x:v>
      </x:c>
      <x:c r="F91" t="n">
        <x:f>'밸런스 조정'!$C$4+'밸런스 조정'!$D$4*D91+'밸런스 조정'!$C$66*D91*(D91-1)</x:f>
        <x:v>4640</x:v>
      </x:c>
      <x:c r="G91" t="str">
        <x:v>value</x:v>
      </x:c>
      <x:c r="H91" t="str">
        <x:v>Coin</x:v>
      </x:c>
      <x:c r="I91" t="n">
        <x:f>ROUND('밸런스 조정'!$E$4+'밸런스 조정'!$F$4*(D91-1)+'밸런스 조정'!$C$69*MAX(0,D91-3)^2,0)</x:f>
        <x:v>2246</x:v>
      </x:c>
      <x:c r="J91" t="str">
        <x:v>최대 체력 증가</x:v>
      </x:c>
    </x:row>
    <x:row r="92">
      <x:c r="B92" t="n">
        <x:v>2</x:v>
      </x:c>
      <x:c r="C92" t="str">
        <x:v>HP</x:v>
      </x:c>
      <x:c r="D92" t="n">
        <x:v>30</x:v>
      </x:c>
      <x:c r="E92" t="str">
        <x:v>체력</x:v>
      </x:c>
      <x:c r="F92" t="n">
        <x:f>'밸런스 조정'!$C$4+'밸런스 조정'!$D$4*D92+'밸런스 조정'!$C$66*D92*(D92-1)</x:f>
        <x:v>4950</x:v>
      </x:c>
      <x:c r="G92" t="str">
        <x:v>value</x:v>
      </x:c>
      <x:c r="H92" t="str">
        <x:v>Coin</x:v>
      </x:c>
      <x:c r="I92" t="n">
        <x:f>ROUND('밸런스 조정'!$E$4+'밸런스 조정'!$F$4*(D92-1)+'밸런스 조정'!$C$69*MAX(0,D92-3)^2,0)</x:f>
        <x:v>2415</x:v>
      </x:c>
      <x:c r="J92" t="str">
        <x:v>최대 체력 증가</x:v>
      </x:c>
    </x:row>
    <x:row r="93">
      <x:c r="B93" t="n">
        <x:v>2</x:v>
      </x:c>
      <x:c r="C93" t="str">
        <x:v>HP</x:v>
      </x:c>
      <x:c r="D93" t="n">
        <x:v>31</x:v>
      </x:c>
      <x:c r="E93" t="str">
        <x:v>체력</x:v>
      </x:c>
      <x:c r="F93" t="n">
        <x:f>'밸런스 조정'!$C$4+'밸런스 조정'!$D$4*D93+'밸런스 조정'!$C$66*D93*(D93-1)</x:f>
        <x:v>5270</x:v>
      </x:c>
      <x:c r="G93" t="str">
        <x:v>value</x:v>
      </x:c>
      <x:c r="H93" t="str">
        <x:v>Coin</x:v>
      </x:c>
      <x:c r="I93" t="n">
        <x:f>ROUND('밸런스 조정'!$E$4+'밸런스 조정'!$F$4*(D93-1)+'밸런스 조정'!$C$69*MAX(0,D93-3)^2,0)</x:f>
        <x:v>2590</x:v>
      </x:c>
      <x:c r="J93" t="str">
        <x:v>최대 체력 증가</x:v>
      </x:c>
    </x:row>
    <x:row r="94">
      <x:c r="B94" t="n">
        <x:v>2</x:v>
      </x:c>
      <x:c r="C94" t="str">
        <x:v>HP</x:v>
      </x:c>
      <x:c r="D94" t="n">
        <x:v>32</x:v>
      </x:c>
      <x:c r="E94" t="str">
        <x:v>체력</x:v>
      </x:c>
      <x:c r="F94" t="n">
        <x:f>'밸런스 조정'!$C$4+'밸런스 조정'!$D$4*D94+'밸런스 조정'!$C$66*D94*(D94-1)</x:f>
        <x:v>5600</x:v>
      </x:c>
      <x:c r="G94" t="str">
        <x:v>value</x:v>
      </x:c>
      <x:c r="H94" t="str">
        <x:v>Coin</x:v>
      </x:c>
      <x:c r="I94" t="n">
        <x:f>ROUND('밸런스 조정'!$E$4+'밸런스 조정'!$F$4*(D94-1)+'밸런스 조정'!$C$69*MAX(0,D94-3)^2,0)</x:f>
        <x:v>2772</x:v>
      </x:c>
      <x:c r="J94" t="str">
        <x:v>최대 체력 증가</x:v>
      </x:c>
    </x:row>
    <x:row r="95">
      <x:c r="B95" t="n">
        <x:v>2</x:v>
      </x:c>
      <x:c r="C95" t="str">
        <x:v>HP</x:v>
      </x:c>
      <x:c r="D95" t="n">
        <x:v>33</x:v>
      </x:c>
      <x:c r="E95" t="str">
        <x:v>체력</x:v>
      </x:c>
      <x:c r="F95" t="n">
        <x:f>'밸런스 조정'!$C$4+'밸런스 조정'!$D$4*D95+'밸런스 조정'!$C$66*D95*(D95-1)</x:f>
        <x:v>5940</x:v>
      </x:c>
      <x:c r="G95" t="str">
        <x:v>value</x:v>
      </x:c>
      <x:c r="H95" t="str">
        <x:v>Coin</x:v>
      </x:c>
      <x:c r="I95" t="n">
        <x:f>ROUND('밸런스 조정'!$E$4+'밸런스 조정'!$F$4*(D95-1)+'밸런스 조정'!$C$69*MAX(0,D95-3)^2,0)</x:f>
        <x:v>2960</x:v>
      </x:c>
      <x:c r="J95" t="str">
        <x:v>최대 체력 증가</x:v>
      </x:c>
    </x:row>
    <x:row r="96">
      <x:c r="B96" t="n">
        <x:v>2</x:v>
      </x:c>
      <x:c r="C96" t="str">
        <x:v>HP</x:v>
      </x:c>
      <x:c r="D96" t="n">
        <x:v>34</x:v>
      </x:c>
      <x:c r="E96" t="str">
        <x:v>체력</x:v>
      </x:c>
      <x:c r="F96" t="n">
        <x:f>'밸런스 조정'!$C$4+'밸런스 조정'!$D$4*D96+'밸런스 조정'!$C$66*D96*(D96-1)</x:f>
        <x:v>6290</x:v>
      </x:c>
      <x:c r="G96" t="str">
        <x:v>value</x:v>
      </x:c>
      <x:c r="H96" t="str">
        <x:v>Coin</x:v>
      </x:c>
      <x:c r="I96" t="n">
        <x:f>ROUND('밸런스 조정'!$E$4+'밸런스 조정'!$F$4*(D96-1)+'밸런스 조정'!$C$69*MAX(0,D96-3)^2,0)</x:f>
        <x:v>3154</x:v>
      </x:c>
      <x:c r="J96" t="str">
        <x:v>최대 체력 증가</x:v>
      </x:c>
    </x:row>
    <x:row r="97">
      <x:c r="B97" t="n">
        <x:v>2</x:v>
      </x:c>
      <x:c r="C97" t="str">
        <x:v>HP</x:v>
      </x:c>
      <x:c r="D97" t="n">
        <x:v>35</x:v>
      </x:c>
      <x:c r="E97" t="str">
        <x:v>체력</x:v>
      </x:c>
      <x:c r="F97" t="n">
        <x:f>'밸런스 조정'!$C$4+'밸런스 조정'!$D$4*D97+'밸런스 조정'!$C$66*D97*(D97-1)</x:f>
        <x:v>6650</x:v>
      </x:c>
      <x:c r="G97" t="str">
        <x:v>value</x:v>
      </x:c>
      <x:c r="H97" t="str">
        <x:v>Coin</x:v>
      </x:c>
      <x:c r="I97" t="n">
        <x:f>ROUND('밸런스 조정'!$E$4+'밸런스 조정'!$F$4*(D97-1)+'밸런스 조정'!$C$69*MAX(0,D97-3)^2,0)</x:f>
        <x:v>3354</x:v>
      </x:c>
      <x:c r="J97" t="str">
        <x:v>최대 체력 증가</x:v>
      </x:c>
    </x:row>
    <x:row r="98">
      <x:c r="B98" t="n">
        <x:v>2</x:v>
      </x:c>
      <x:c r="C98" t="str">
        <x:v>HP</x:v>
      </x:c>
      <x:c r="D98" t="n">
        <x:v>36</x:v>
      </x:c>
      <x:c r="E98" t="str">
        <x:v>체력</x:v>
      </x:c>
      <x:c r="F98" t="n">
        <x:f>'밸런스 조정'!$C$4+'밸런스 조정'!$D$4*D98+'밸런스 조정'!$C$66*D98*(D98-1)</x:f>
        <x:v>7020</x:v>
      </x:c>
      <x:c r="G98" t="str">
        <x:v>value</x:v>
      </x:c>
      <x:c r="H98" t="str">
        <x:v>Coin</x:v>
      </x:c>
      <x:c r="I98" t="n">
        <x:f>ROUND('밸런스 조정'!$E$4+'밸런스 조정'!$F$4*(D98-1)+'밸런스 조정'!$C$69*MAX(0,D98-3)^2,0)</x:f>
        <x:v>3561</x:v>
      </x:c>
      <x:c r="J98" t="str">
        <x:v>최대 체력 증가</x:v>
      </x:c>
    </x:row>
    <x:row r="99">
      <x:c r="B99" t="n">
        <x:v>2</x:v>
      </x:c>
      <x:c r="C99" t="str">
        <x:v>HP</x:v>
      </x:c>
      <x:c r="D99" t="n">
        <x:v>37</x:v>
      </x:c>
      <x:c r="E99" t="str">
        <x:v>체력</x:v>
      </x:c>
      <x:c r="F99" t="n">
        <x:f>'밸런스 조정'!$C$4+'밸런스 조정'!$D$4*D99+'밸런스 조정'!$C$66*D99*(D99-1)</x:f>
        <x:v>7400</x:v>
      </x:c>
      <x:c r="G99" t="str">
        <x:v>value</x:v>
      </x:c>
      <x:c r="H99" t="str">
        <x:v>Coin</x:v>
      </x:c>
      <x:c r="I99" t="n">
        <x:f>ROUND('밸런스 조정'!$E$4+'밸런스 조정'!$F$4*(D99-1)+'밸런스 조정'!$C$69*MAX(0,D99-3)^2,0)</x:f>
        <x:v>3774</x:v>
      </x:c>
      <x:c r="J99" t="str">
        <x:v>최대 체력 증가</x:v>
      </x:c>
    </x:row>
    <x:row r="100">
      <x:c r="B100" t="n">
        <x:v>2</x:v>
      </x:c>
      <x:c r="C100" t="str">
        <x:v>HP</x:v>
      </x:c>
      <x:c r="D100" t="n">
        <x:v>38</x:v>
      </x:c>
      <x:c r="E100" t="str">
        <x:v>체력</x:v>
      </x:c>
      <x:c r="F100" t="n">
        <x:f>'밸런스 조정'!$C$4+'밸런스 조정'!$D$4*D100+'밸런스 조정'!$C$66*D100*(D100-1)</x:f>
        <x:v>7790</x:v>
      </x:c>
      <x:c r="G100" t="str">
        <x:v>value</x:v>
      </x:c>
      <x:c r="H100" t="str">
        <x:v>Coin</x:v>
      </x:c>
      <x:c r="I100" t="n">
        <x:f>ROUND('밸런스 조정'!$E$4+'밸런스 조정'!$F$4*(D100-1)+'밸런스 조정'!$C$69*MAX(0,D100-3)^2,0)</x:f>
        <x:v>3993</x:v>
      </x:c>
      <x:c r="J100" t="str">
        <x:v>최대 체력 증가</x:v>
      </x:c>
    </x:row>
    <x:row r="101">
      <x:c r="B101" t="n">
        <x:v>2</x:v>
      </x:c>
      <x:c r="C101" t="str">
        <x:v>HP</x:v>
      </x:c>
      <x:c r="D101" t="n">
        <x:v>39</x:v>
      </x:c>
      <x:c r="E101" t="str">
        <x:v>체력</x:v>
      </x:c>
      <x:c r="F101" t="n">
        <x:f>'밸런스 조정'!$C$4+'밸런스 조정'!$D$4*D101+'밸런스 조정'!$C$66*D101*(D101-1)</x:f>
        <x:v>8190</x:v>
      </x:c>
      <x:c r="G101" t="str">
        <x:v>value</x:v>
      </x:c>
      <x:c r="H101" t="str">
        <x:v>Coin</x:v>
      </x:c>
      <x:c r="I101" t="n">
        <x:f>ROUND('밸런스 조정'!$E$4+'밸런스 조정'!$F$4*(D101-1)+'밸런스 조정'!$C$69*MAX(0,D101-3)^2,0)</x:f>
        <x:v>4218</x:v>
      </x:c>
      <x:c r="J101" t="str">
        <x:v>최대 체력 증가</x:v>
      </x:c>
    </x:row>
    <x:row r="102">
      <x:c r="B102" t="n">
        <x:v>2</x:v>
      </x:c>
      <x:c r="C102" t="str">
        <x:v>HP</x:v>
      </x:c>
      <x:c r="D102" t="n">
        <x:v>40</x:v>
      </x:c>
      <x:c r="E102" t="str">
        <x:v>체력</x:v>
      </x:c>
      <x:c r="F102" t="n">
        <x:f>'밸런스 조정'!$C$4+'밸런스 조정'!$D$4*D102+'밸런스 조정'!$C$66*D102*(D102-1)</x:f>
        <x:v>8600</x:v>
      </x:c>
      <x:c r="G102" t="str">
        <x:v>value</x:v>
      </x:c>
      <x:c r="H102" t="str">
        <x:v>Coin</x:v>
      </x:c>
      <x:c r="I102" t="n">
        <x:f>ROUND('밸런스 조정'!$E$4+'밸런스 조정'!$F$4*(D102-1)+'밸런스 조정'!$C$69*MAX(0,D102-3)^2,0)</x:f>
        <x:v>4449</x:v>
      </x:c>
      <x:c r="J102" t="str">
        <x:v>최대 체력 증가</x:v>
      </x:c>
    </x:row>
    <x:row r="103">
      <x:c r="B103" t="n">
        <x:v>2</x:v>
      </x:c>
      <x:c r="C103" t="str">
        <x:v>HP</x:v>
      </x:c>
      <x:c r="D103" t="n">
        <x:v>41</x:v>
      </x:c>
      <x:c r="E103" t="str">
        <x:v>체력</x:v>
      </x:c>
      <x:c r="F103" t="n">
        <x:f>'밸런스 조정'!$C$4+'밸런스 조정'!$D$4*D103+'밸런스 조정'!$C$66*D103*(D103-1)</x:f>
        <x:v>9020</x:v>
      </x:c>
      <x:c r="G103" t="str">
        <x:v>value</x:v>
      </x:c>
      <x:c r="H103" t="str">
        <x:v>Coin</x:v>
      </x:c>
      <x:c r="I103" t="n">
        <x:f>ROUND('밸런스 조정'!$E$4+'밸런스 조정'!$F$4*(D103-1)+'밸런스 조정'!$C$69*MAX(0,D103-3)^2,0)</x:f>
        <x:v>4686</x:v>
      </x:c>
      <x:c r="J103" t="str">
        <x:v>최대 체력 증가</x:v>
      </x:c>
    </x:row>
    <x:row r="104">
      <x:c r="B104" t="n">
        <x:v>2</x:v>
      </x:c>
      <x:c r="C104" t="str">
        <x:v>HP</x:v>
      </x:c>
      <x:c r="D104" t="n">
        <x:v>42</x:v>
      </x:c>
      <x:c r="E104" t="str">
        <x:v>체력</x:v>
      </x:c>
      <x:c r="F104" t="n">
        <x:f>'밸런스 조정'!$C$4+'밸런스 조정'!$D$4*D104+'밸런스 조정'!$C$66*D104*(D104-1)</x:f>
        <x:v>9450</x:v>
      </x:c>
      <x:c r="G104" t="str">
        <x:v>value</x:v>
      </x:c>
      <x:c r="H104" t="str">
        <x:v>Coin</x:v>
      </x:c>
      <x:c r="I104" t="n">
        <x:f>ROUND('밸런스 조정'!$E$4+'밸런스 조정'!$F$4*(D104-1)+'밸런스 조정'!$C$69*MAX(0,D104-3)^2,0)</x:f>
        <x:v>4930</x:v>
      </x:c>
      <x:c r="J104" t="str">
        <x:v>최대 체력 증가</x:v>
      </x:c>
    </x:row>
    <x:row r="105">
      <x:c r="B105" t="n">
        <x:v>2</x:v>
      </x:c>
      <x:c r="C105" t="str">
        <x:v>HP</x:v>
      </x:c>
      <x:c r="D105" t="n">
        <x:v>43</x:v>
      </x:c>
      <x:c r="E105" t="str">
        <x:v>체력</x:v>
      </x:c>
      <x:c r="F105" t="n">
        <x:f>'밸런스 조정'!$C$4+'밸런스 조정'!$D$4*D105+'밸런스 조정'!$C$66*D105*(D105-1)</x:f>
        <x:v>9890</x:v>
      </x:c>
      <x:c r="G105" t="str">
        <x:v>value</x:v>
      </x:c>
      <x:c r="H105" t="str">
        <x:v>Coin</x:v>
      </x:c>
      <x:c r="I105" t="n">
        <x:f>ROUND('밸런스 조정'!$E$4+'밸런스 조정'!$F$4*(D105-1)+'밸런스 조정'!$C$69*MAX(0,D105-3)^2,0)</x:f>
        <x:v>5180</x:v>
      </x:c>
      <x:c r="J105" t="str">
        <x:v>최대 체력 증가</x:v>
      </x:c>
    </x:row>
    <x:row r="106">
      <x:c r="B106" t="n">
        <x:v>2</x:v>
      </x:c>
      <x:c r="C106" t="str">
        <x:v>HP</x:v>
      </x:c>
      <x:c r="D106" t="n">
        <x:v>44</x:v>
      </x:c>
      <x:c r="E106" t="str">
        <x:v>체력</x:v>
      </x:c>
      <x:c r="F106" t="n">
        <x:f>'밸런스 조정'!$C$4+'밸런스 조정'!$D$4*D106+'밸런스 조정'!$C$66*D106*(D106-1)</x:f>
        <x:v>10340</x:v>
      </x:c>
      <x:c r="G106" t="str">
        <x:v>value</x:v>
      </x:c>
      <x:c r="H106" t="str">
        <x:v>Coin</x:v>
      </x:c>
      <x:c r="I106" t="n">
        <x:f>ROUND('밸런스 조정'!$E$4+'밸런스 조정'!$F$4*(D106-1)+'밸런스 조정'!$C$69*MAX(0,D106-3)^2,0)</x:f>
        <x:v>5436</x:v>
      </x:c>
      <x:c r="J106" t="str">
        <x:v>최대 체력 증가</x:v>
      </x:c>
    </x:row>
    <x:row r="107">
      <x:c r="B107" t="n">
        <x:v>2</x:v>
      </x:c>
      <x:c r="C107" t="str">
        <x:v>HP</x:v>
      </x:c>
      <x:c r="D107" t="n">
        <x:v>45</x:v>
      </x:c>
      <x:c r="E107" t="str">
        <x:v>체력</x:v>
      </x:c>
      <x:c r="F107" t="n">
        <x:f>'밸런스 조정'!$C$4+'밸런스 조정'!$D$4*D107+'밸런스 조정'!$C$66*D107*(D107-1)</x:f>
        <x:v>10800</x:v>
      </x:c>
      <x:c r="G107" t="str">
        <x:v>value</x:v>
      </x:c>
      <x:c r="H107" t="str">
        <x:v>Coin</x:v>
      </x:c>
      <x:c r="I107" t="n">
        <x:f>ROUND('밸런스 조정'!$E$4+'밸런스 조정'!$F$4*(D107-1)+'밸런스 조정'!$C$69*MAX(0,D107-3)^2,0)</x:f>
        <x:v>5698</x:v>
      </x:c>
      <x:c r="J107" t="str">
        <x:v>최대 체력 증가</x:v>
      </x:c>
    </x:row>
    <x:row r="108">
      <x:c r="B108" t="n">
        <x:v>2</x:v>
      </x:c>
      <x:c r="C108" t="str">
        <x:v>HP</x:v>
      </x:c>
      <x:c r="D108" t="n">
        <x:v>46</x:v>
      </x:c>
      <x:c r="E108" t="str">
        <x:v>체력</x:v>
      </x:c>
      <x:c r="F108" t="n">
        <x:f>'밸런스 조정'!$C$4+'밸런스 조정'!$D$4*D108+'밸런스 조정'!$C$66*D108*(D108-1)</x:f>
        <x:v>11270</x:v>
      </x:c>
      <x:c r="G108" t="str">
        <x:v>value</x:v>
      </x:c>
      <x:c r="H108" t="str">
        <x:v>Coin</x:v>
      </x:c>
      <x:c r="I108" t="n">
        <x:f>ROUND('밸런스 조정'!$E$4+'밸런스 조정'!$F$4*(D108-1)+'밸런스 조정'!$C$69*MAX(0,D108-3)^2,0)</x:f>
        <x:v>5967</x:v>
      </x:c>
      <x:c r="J108" t="str">
        <x:v>최대 체력 증가</x:v>
      </x:c>
    </x:row>
    <x:row r="109">
      <x:c r="B109" t="n">
        <x:v>2</x:v>
      </x:c>
      <x:c r="C109" t="str">
        <x:v>HP</x:v>
      </x:c>
      <x:c r="D109" t="n">
        <x:v>47</x:v>
      </x:c>
      <x:c r="E109" t="str">
        <x:v>체력</x:v>
      </x:c>
      <x:c r="F109" t="n">
        <x:f>'밸런스 조정'!$C$4+'밸런스 조정'!$D$4*D109+'밸런스 조정'!$C$66*D109*(D109-1)</x:f>
        <x:v>11750</x:v>
      </x:c>
      <x:c r="G109" t="str">
        <x:v>value</x:v>
      </x:c>
      <x:c r="H109" t="str">
        <x:v>Coin</x:v>
      </x:c>
      <x:c r="I109" t="n">
        <x:f>ROUND('밸런스 조정'!$E$4+'밸런스 조정'!$F$4*(D109-1)+'밸런스 조정'!$C$69*MAX(0,D109-3)^2,0)</x:f>
        <x:v>6242</x:v>
      </x:c>
      <x:c r="J109" t="str">
        <x:v>최대 체력 증가</x:v>
      </x:c>
    </x:row>
    <x:row r="110">
      <x:c r="B110" t="n">
        <x:v>2</x:v>
      </x:c>
      <x:c r="C110" t="str">
        <x:v>HP</x:v>
      </x:c>
      <x:c r="D110" t="n">
        <x:v>48</x:v>
      </x:c>
      <x:c r="E110" t="str">
        <x:v>체력</x:v>
      </x:c>
      <x:c r="F110" t="n">
        <x:f>'밸런스 조정'!$C$4+'밸런스 조정'!$D$4*D110+'밸런스 조정'!$C$66*D110*(D110-1)</x:f>
        <x:v>12240</x:v>
      </x:c>
      <x:c r="G110" t="str">
        <x:v>value</x:v>
      </x:c>
      <x:c r="H110" t="str">
        <x:v>Coin</x:v>
      </x:c>
      <x:c r="I110" t="n">
        <x:f>ROUND('밸런스 조정'!$E$4+'밸런스 조정'!$F$4*(D110-1)+'밸런스 조정'!$C$69*MAX(0,D110-3)^2,0)</x:f>
        <x:v>6523</x:v>
      </x:c>
      <x:c r="J110" t="str">
        <x:v>최대 체력 증가</x:v>
      </x:c>
    </x:row>
    <x:row r="111">
      <x:c r="B111" t="n">
        <x:v>2</x:v>
      </x:c>
      <x:c r="C111" t="str">
        <x:v>HP</x:v>
      </x:c>
      <x:c r="D111" t="n">
        <x:v>49</x:v>
      </x:c>
      <x:c r="E111" t="str">
        <x:v>체력</x:v>
      </x:c>
      <x:c r="F111" t="n">
        <x:f>'밸런스 조정'!$C$4+'밸런스 조정'!$D$4*D111+'밸런스 조정'!$C$66*D111*(D111-1)</x:f>
        <x:v>12740</x:v>
      </x:c>
      <x:c r="G111" t="str">
        <x:v>value</x:v>
      </x:c>
      <x:c r="H111" t="str">
        <x:v>Coin</x:v>
      </x:c>
      <x:c r="I111" t="n">
        <x:f>ROUND('밸런스 조정'!$E$4+'밸런스 조정'!$F$4*(D111-1)+'밸런스 조정'!$C$69*MAX(0,D111-3)^2,0)</x:f>
        <x:v>6810</x:v>
      </x:c>
      <x:c r="J111" t="str">
        <x:v>최대 체력 증가</x:v>
      </x:c>
    </x:row>
    <x:row r="112">
      <x:c r="B112" t="n">
        <x:v>2</x:v>
      </x:c>
      <x:c r="C112" t="str">
        <x:v>HP</x:v>
      </x:c>
      <x:c r="D112" t="n">
        <x:v>50</x:v>
      </x:c>
      <x:c r="E112" t="str">
        <x:v>체력</x:v>
      </x:c>
      <x:c r="F112" t="n">
        <x:f>'밸런스 조정'!$C$4+'밸런스 조정'!$D$4*D112+'밸런스 조정'!$C$66*D112*(D112-1)</x:f>
        <x:v>13250</x:v>
      </x:c>
      <x:c r="G112" t="str">
        <x:v>value</x:v>
      </x:c>
      <x:c r="H112" t="str">
        <x:v>Coin</x:v>
      </x:c>
      <x:c r="I112" t="n">
        <x:f>ROUND('밸런스 조정'!$E$4+'밸런스 조정'!$F$4*(D112-1)+'밸런스 조정'!$C$69*MAX(0,D112-3)^2,0)</x:f>
        <x:v>7103</x:v>
      </x:c>
      <x:c r="J112" t="str">
        <x:v>최대 체력 증가</x:v>
      </x:c>
    </x:row>
    <x:row r="113">
      <x:c r="B113" t="n">
        <x:v>2</x:v>
      </x:c>
      <x:c r="C113" t="str">
        <x:v>HP</x:v>
      </x:c>
      <x:c r="D113" t="n">
        <x:v>51</x:v>
      </x:c>
      <x:c r="E113" t="str">
        <x:v>체력</x:v>
      </x:c>
      <x:c r="F113" t="n">
        <x:f>'밸런스 조정'!$C$4+'밸런스 조정'!$D$4*D113+'밸런스 조정'!$C$66*D113*(D113-1)</x:f>
        <x:v>13770</x:v>
      </x:c>
      <x:c r="G113" t="str">
        <x:v>value</x:v>
      </x:c>
      <x:c r="H113" t="str">
        <x:v>Coin</x:v>
      </x:c>
      <x:c r="I113" t="n">
        <x:f>ROUND('밸런스 조정'!$E$4+'밸런스 조정'!$F$4*(D113-1)+'밸런스 조정'!$C$69*MAX(0,D113-3)^2,0)</x:f>
        <x:v>7402</x:v>
      </x:c>
      <x:c r="J113" t="str">
        <x:v>최대 체력 증가</x:v>
      </x:c>
    </x:row>
    <x:row r="114">
      <x:c r="B114" t="n">
        <x:v>2</x:v>
      </x:c>
      <x:c r="C114" t="str">
        <x:v>HP</x:v>
      </x:c>
      <x:c r="D114" t="n">
        <x:v>52</x:v>
      </x:c>
      <x:c r="E114" t="str">
        <x:v>체력</x:v>
      </x:c>
      <x:c r="F114" t="n">
        <x:f>'밸런스 조정'!$C$4+'밸런스 조정'!$D$4*D114+'밸런스 조정'!$C$66*D114*(D114-1)</x:f>
        <x:v>14300</x:v>
      </x:c>
      <x:c r="G114" t="str">
        <x:v>value</x:v>
      </x:c>
      <x:c r="H114" t="str">
        <x:v>Coin</x:v>
      </x:c>
      <x:c r="I114" t="n">
        <x:f>ROUND('밸런스 조정'!$E$4+'밸런스 조정'!$F$4*(D114-1)+'밸런스 조정'!$C$69*MAX(0,D114-3)^2,0)</x:f>
        <x:v>7708</x:v>
      </x:c>
      <x:c r="J114" t="str">
        <x:v>최대 체력 증가</x:v>
      </x:c>
    </x:row>
    <x:row r="115">
      <x:c r="B115" t="n">
        <x:v>2</x:v>
      </x:c>
      <x:c r="C115" t="str">
        <x:v>HP</x:v>
      </x:c>
      <x:c r="D115" t="n">
        <x:v>53</x:v>
      </x:c>
      <x:c r="E115" t="str">
        <x:v>체력</x:v>
      </x:c>
      <x:c r="F115" t="n">
        <x:f>'밸런스 조정'!$C$4+'밸런스 조정'!$D$4*D115+'밸런스 조정'!$C$66*D115*(D115-1)</x:f>
        <x:v>14840</x:v>
      </x:c>
      <x:c r="G115" t="str">
        <x:v>value</x:v>
      </x:c>
      <x:c r="H115" t="str">
        <x:v>Coin</x:v>
      </x:c>
      <x:c r="I115" t="n">
        <x:f>ROUND('밸런스 조정'!$E$4+'밸런스 조정'!$F$4*(D115-1)+'밸런스 조정'!$C$69*MAX(0,D115-3)^2,0)</x:f>
        <x:v>8020</x:v>
      </x:c>
      <x:c r="J115" t="str">
        <x:v>최대 체력 증가</x:v>
      </x:c>
    </x:row>
    <x:row r="116">
      <x:c r="B116" t="n">
        <x:v>2</x:v>
      </x:c>
      <x:c r="C116" t="str">
        <x:v>HP</x:v>
      </x:c>
      <x:c r="D116" t="n">
        <x:v>54</x:v>
      </x:c>
      <x:c r="E116" t="str">
        <x:v>체력</x:v>
      </x:c>
      <x:c r="F116" t="n">
        <x:f>'밸런스 조정'!$C$4+'밸런스 조정'!$D$4*D116+'밸런스 조정'!$C$66*D116*(D116-1)</x:f>
        <x:v>15390</x:v>
      </x:c>
      <x:c r="G116" t="str">
        <x:v>value</x:v>
      </x:c>
      <x:c r="H116" t="str">
        <x:v>Coin</x:v>
      </x:c>
      <x:c r="I116" t="n">
        <x:f>ROUND('밸런스 조정'!$E$4+'밸런스 조정'!$F$4*(D116-1)+'밸런스 조정'!$C$69*MAX(0,D116-3)^2,0)</x:f>
        <x:v>8338</x:v>
      </x:c>
      <x:c r="J116" t="str">
        <x:v>최대 체력 증가</x:v>
      </x:c>
    </x:row>
    <x:row r="117">
      <x:c r="B117" t="n">
        <x:v>2</x:v>
      </x:c>
      <x:c r="C117" t="str">
        <x:v>HP</x:v>
      </x:c>
      <x:c r="D117" t="n">
        <x:v>55</x:v>
      </x:c>
      <x:c r="E117" t="str">
        <x:v>체력</x:v>
      </x:c>
      <x:c r="F117" t="n">
        <x:f>'밸런스 조정'!$C$4+'밸런스 조정'!$D$4*D117+'밸런스 조정'!$C$66*D117*(D117-1)</x:f>
        <x:v>15950</x:v>
      </x:c>
      <x:c r="G117" t="str">
        <x:v>value</x:v>
      </x:c>
      <x:c r="H117" t="str">
        <x:v>Coin</x:v>
      </x:c>
      <x:c r="I117" t="n">
        <x:f>ROUND('밸런스 조정'!$E$4+'밸런스 조정'!$F$4*(D117-1)+'밸런스 조정'!$C$69*MAX(0,D117-3)^2,0)</x:f>
        <x:v>8662</x:v>
      </x:c>
      <x:c r="J117" t="str">
        <x:v>최대 체력 증가</x:v>
      </x:c>
    </x:row>
    <x:row r="118">
      <x:c r="B118" t="n">
        <x:v>2</x:v>
      </x:c>
      <x:c r="C118" t="str">
        <x:v>HP</x:v>
      </x:c>
      <x:c r="D118" t="n">
        <x:v>56</x:v>
      </x:c>
      <x:c r="E118" t="str">
        <x:v>체력</x:v>
      </x:c>
      <x:c r="F118" t="n">
        <x:f>'밸런스 조정'!$C$4+'밸런스 조정'!$D$4*D118+'밸런스 조정'!$C$66*D118*(D118-1)</x:f>
        <x:v>16520</x:v>
      </x:c>
      <x:c r="G118" t="str">
        <x:v>value</x:v>
      </x:c>
      <x:c r="H118" t="str">
        <x:v>Coin</x:v>
      </x:c>
      <x:c r="I118" t="n">
        <x:f>ROUND('밸런스 조정'!$E$4+'밸런스 조정'!$F$4*(D118-1)+'밸런스 조정'!$C$69*MAX(0,D118-3)^2,0)</x:f>
        <x:v>8993</x:v>
      </x:c>
      <x:c r="J118" t="str">
        <x:v>최대 체력 증가</x:v>
      </x:c>
    </x:row>
    <x:row r="119">
      <x:c r="B119" t="n">
        <x:v>2</x:v>
      </x:c>
      <x:c r="C119" t="str">
        <x:v>HP</x:v>
      </x:c>
      <x:c r="D119" t="n">
        <x:v>57</x:v>
      </x:c>
      <x:c r="E119" t="str">
        <x:v>체력</x:v>
      </x:c>
      <x:c r="F119" t="n">
        <x:f>'밸런스 조정'!$C$4+'밸런스 조정'!$D$4*D119+'밸런스 조정'!$C$66*D119*(D119-1)</x:f>
        <x:v>17100</x:v>
      </x:c>
      <x:c r="G119" t="str">
        <x:v>value</x:v>
      </x:c>
      <x:c r="H119" t="str">
        <x:v>Coin</x:v>
      </x:c>
      <x:c r="I119" t="n">
        <x:f>ROUND('밸런스 조정'!$E$4+'밸런스 조정'!$F$4*(D119-1)+'밸런스 조정'!$C$69*MAX(0,D119-3)^2,0)</x:f>
        <x:v>9330</x:v>
      </x:c>
      <x:c r="J119" t="str">
        <x:v>최대 체력 증가</x:v>
      </x:c>
    </x:row>
    <x:row r="120">
      <x:c r="B120" t="n">
        <x:v>2</x:v>
      </x:c>
      <x:c r="C120" t="str">
        <x:v>HP</x:v>
      </x:c>
      <x:c r="D120" t="n">
        <x:v>58</x:v>
      </x:c>
      <x:c r="E120" t="str">
        <x:v>체력</x:v>
      </x:c>
      <x:c r="F120" t="n">
        <x:f>'밸런스 조정'!$C$4+'밸런스 조정'!$D$4*D120+'밸런스 조정'!$C$66*D120*(D120-1)</x:f>
        <x:v>17690</x:v>
      </x:c>
      <x:c r="G120" t="str">
        <x:v>value</x:v>
      </x:c>
      <x:c r="H120" t="str">
        <x:v>Coin</x:v>
      </x:c>
      <x:c r="I120" t="n">
        <x:f>ROUND('밸런스 조정'!$E$4+'밸런스 조정'!$F$4*(D120-1)+'밸런스 조정'!$C$69*MAX(0,D120-3)^2,0)</x:f>
        <x:v>9673</x:v>
      </x:c>
      <x:c r="J120" t="str">
        <x:v>최대 체력 증가</x:v>
      </x:c>
    </x:row>
    <x:row r="121">
      <x:c r="B121" t="n">
        <x:v>2</x:v>
      </x:c>
      <x:c r="C121" t="str">
        <x:v>HP</x:v>
      </x:c>
      <x:c r="D121" t="n">
        <x:v>59</x:v>
      </x:c>
      <x:c r="E121" t="str">
        <x:v>체력</x:v>
      </x:c>
      <x:c r="F121" t="n">
        <x:f>'밸런스 조정'!$C$4+'밸런스 조정'!$D$4*D121+'밸런스 조정'!$C$66*D121*(D121-1)</x:f>
        <x:v>18290</x:v>
      </x:c>
      <x:c r="G121" t="str">
        <x:v>value</x:v>
      </x:c>
      <x:c r="H121" t="str">
        <x:v>Coin</x:v>
      </x:c>
      <x:c r="I121" t="n">
        <x:f>ROUND('밸런스 조정'!$E$4+'밸런스 조정'!$F$4*(D121-1)+'밸런스 조정'!$C$69*MAX(0,D121-3)^2,0)</x:f>
        <x:v>10022</x:v>
      </x:c>
      <x:c r="J121" t="str">
        <x:v>최대 체력 증가</x:v>
      </x:c>
    </x:row>
    <x:row r="122">
      <x:c r="B122" t="n">
        <x:v>2</x:v>
      </x:c>
      <x:c r="C122" t="str">
        <x:v>HP</x:v>
      </x:c>
      <x:c r="D122" t="n">
        <x:v>60</x:v>
      </x:c>
      <x:c r="E122" t="str">
        <x:v>체력</x:v>
      </x:c>
      <x:c r="F122" t="n">
        <x:f>'밸런스 조정'!$C$4+'밸런스 조정'!$D$4*D122+'밸런스 조정'!$C$66*D122*(D122-1)</x:f>
        <x:v>18900</x:v>
      </x:c>
      <x:c r="G122" t="str">
        <x:v>value</x:v>
      </x:c>
      <x:c r="H122" t="str">
        <x:v>Coin</x:v>
      </x:c>
      <x:c r="I122" t="n">
        <x:f>ROUND('밸런스 조정'!$E$4+'밸런스 조정'!$F$4*(D122-1)+'밸런스 조정'!$C$69*MAX(0,D122-3)^2,0)</x:f>
        <x:v>10377</x:v>
      </x:c>
      <x:c r="J122" t="str">
        <x:v>최대 체력 증가</x:v>
      </x:c>
    </x:row>
    <x:row r="123">
      <x:c r="B123" t="n">
        <x:v>3</x:v>
      </x:c>
      <x:c r="C123" t="str">
        <x:v>ATT_SPEED</x:v>
      </x:c>
      <x:c r="D123" t="n">
        <x:v>1</x:v>
      </x:c>
      <x:c r="E123" t="str">
        <x:v>공속</x:v>
      </x:c>
      <x:c r="F123" t="n">
        <x:f>'밸런스 조정'!$C$5+'밸런스 조정'!$D$5*D123</x:f>
        <x:v>5</x:v>
      </x:c>
      <x:c r="G123" t="str">
        <x:v>percent</x:v>
      </x:c>
      <x:c r="H123" t="str">
        <x:v>Coin</x:v>
      </x:c>
      <x:c r="I123" t="n">
        <x:f>ROUND('밸런스 조정'!$E$5+'밸런스 조정'!$F$5*(D123-1),0)</x:f>
        <x:v>45</x:v>
      </x:c>
      <x:c r="J123" t="str">
        <x:v>공격 속도 증가</x:v>
      </x:c>
    </x:row>
    <x:row r="124">
      <x:c r="B124" t="n">
        <x:v>3</x:v>
      </x:c>
      <x:c r="C124" t="str">
        <x:v>ATT_SPEED</x:v>
      </x:c>
      <x:c r="D124" t="n">
        <x:v>2</x:v>
      </x:c>
      <x:c r="E124" t="str">
        <x:v>공속</x:v>
      </x:c>
      <x:c r="F124" t="n">
        <x:f>'밸런스 조정'!$C$5+'밸런스 조정'!$D$5*D124</x:f>
        <x:v>10</x:v>
      </x:c>
      <x:c r="G124" t="str">
        <x:v>percent</x:v>
      </x:c>
      <x:c r="H124" t="str">
        <x:v>Coin</x:v>
      </x:c>
      <x:c r="I124" t="n">
        <x:f>ROUND('밸런스 조정'!$E$5+'밸런스 조정'!$F$5*(D124-1),0)</x:f>
        <x:v>65</x:v>
      </x:c>
      <x:c r="J124" t="str">
        <x:v>공격 속도 증가</x:v>
      </x:c>
    </x:row>
    <x:row r="125">
      <x:c r="B125" t="n">
        <x:v>3</x:v>
      </x:c>
      <x:c r="C125" t="str">
        <x:v>ATT_SPEED</x:v>
      </x:c>
      <x:c r="D125" t="n">
        <x:v>3</x:v>
      </x:c>
      <x:c r="E125" t="str">
        <x:v>공속</x:v>
      </x:c>
      <x:c r="F125" t="n">
        <x:f>'밸런스 조정'!$C$5+'밸런스 조정'!$D$5*D125</x:f>
        <x:v>15</x:v>
      </x:c>
      <x:c r="G125" t="str">
        <x:v>percent</x:v>
      </x:c>
      <x:c r="H125" t="str">
        <x:v>Coin</x:v>
      </x:c>
      <x:c r="I125" t="n">
        <x:f>ROUND('밸런스 조정'!$E$5+'밸런스 조정'!$F$5*(D125-1),0)</x:f>
        <x:v>85</x:v>
      </x:c>
      <x:c r="J125" t="str">
        <x:v>공격 속도 증가</x:v>
      </x:c>
    </x:row>
    <x:row r="126">
      <x:c r="B126" t="n">
        <x:v>3</x:v>
      </x:c>
      <x:c r="C126" t="str">
        <x:v>ATT_SPEED</x:v>
      </x:c>
      <x:c r="D126" t="n">
        <x:v>4</x:v>
      </x:c>
      <x:c r="E126" t="str">
        <x:v>공속</x:v>
      </x:c>
      <x:c r="F126" t="n">
        <x:f>'밸런스 조정'!$C$5+'밸런스 조정'!$D$5*D126</x:f>
        <x:v>20</x:v>
      </x:c>
      <x:c r="G126" t="str">
        <x:v>percent</x:v>
      </x:c>
      <x:c r="H126" t="str">
        <x:v>Coin</x:v>
      </x:c>
      <x:c r="I126" t="n">
        <x:f>ROUND('밸런스 조정'!$E$5+'밸런스 조정'!$F$5*(D126-1),0)</x:f>
        <x:v>105</x:v>
      </x:c>
      <x:c r="J126" t="str">
        <x:v>공격 속도 증가</x:v>
      </x:c>
    </x:row>
    <x:row r="127">
      <x:c r="B127" t="n">
        <x:v>3</x:v>
      </x:c>
      <x:c r="C127" t="str">
        <x:v>ATT_SPEED</x:v>
      </x:c>
      <x:c r="D127" t="n">
        <x:v>5</x:v>
      </x:c>
      <x:c r="E127" t="str">
        <x:v>공속</x:v>
      </x:c>
      <x:c r="F127" t="n">
        <x:f>'밸런스 조정'!$C$5+'밸런스 조정'!$D$5*D127</x:f>
        <x:v>25</x:v>
      </x:c>
      <x:c r="G127" t="str">
        <x:v>percent</x:v>
      </x:c>
      <x:c r="H127" t="str">
        <x:v>Coin</x:v>
      </x:c>
      <x:c r="I127" t="n">
        <x:f>ROUND('밸런스 조정'!$E$5+'밸런스 조정'!$F$5*(D127-1),0)</x:f>
        <x:v>125</x:v>
      </x:c>
      <x:c r="J127" t="str">
        <x:v>공격 속도 증가</x:v>
      </x:c>
    </x:row>
    <x:row r="128">
      <x:c r="B128" t="n">
        <x:v>3</x:v>
      </x:c>
      <x:c r="C128" t="str">
        <x:v>ATT_SPEED</x:v>
      </x:c>
      <x:c r="D128" t="n">
        <x:v>6</x:v>
      </x:c>
      <x:c r="E128" t="str">
        <x:v>공속</x:v>
      </x:c>
      <x:c r="F128" t="n">
        <x:f>'밸런스 조정'!$C$5+'밸런스 조정'!$D$5*D128</x:f>
        <x:v>30</x:v>
      </x:c>
      <x:c r="G128" t="str">
        <x:v>percent</x:v>
      </x:c>
      <x:c r="H128" t="str">
        <x:v>Coin</x:v>
      </x:c>
      <x:c r="I128" t="n">
        <x:f>ROUND('밸런스 조정'!$E$5+'밸런스 조정'!$F$5*(D128-1),0)</x:f>
        <x:v>145</x:v>
      </x:c>
      <x:c r="J128" t="str">
        <x:v>공격 속도 증가</x:v>
      </x:c>
    </x:row>
    <x:row r="129">
      <x:c r="B129" t="n">
        <x:v>3</x:v>
      </x:c>
      <x:c r="C129" t="str">
        <x:v>ATT_SPEED</x:v>
      </x:c>
      <x:c r="D129" t="n">
        <x:v>7</x:v>
      </x:c>
      <x:c r="E129" t="str">
        <x:v>공속</x:v>
      </x:c>
      <x:c r="F129" t="n">
        <x:f>'밸런스 조정'!$C$5+'밸런스 조정'!$D$5*D129</x:f>
        <x:v>35</x:v>
      </x:c>
      <x:c r="G129" t="str">
        <x:v>percent</x:v>
      </x:c>
      <x:c r="H129" t="str">
        <x:v>Coin</x:v>
      </x:c>
      <x:c r="I129" t="n">
        <x:f>ROUND('밸런스 조정'!$E$5+'밸런스 조정'!$F$5*(D129-1),0)</x:f>
        <x:v>165</x:v>
      </x:c>
      <x:c r="J129" t="str">
        <x:v>공격 속도 증가</x:v>
      </x:c>
    </x:row>
    <x:row r="130">
      <x:c r="B130" t="n">
        <x:v>3</x:v>
      </x:c>
      <x:c r="C130" t="str">
        <x:v>ATT_SPEED</x:v>
      </x:c>
      <x:c r="D130" t="n">
        <x:v>8</x:v>
      </x:c>
      <x:c r="E130" t="str">
        <x:v>공속</x:v>
      </x:c>
      <x:c r="F130" t="n">
        <x:f>'밸런스 조정'!$C$5+'밸런스 조정'!$D$5*D130</x:f>
        <x:v>40</x:v>
      </x:c>
      <x:c r="G130" t="str">
        <x:v>percent</x:v>
      </x:c>
      <x:c r="H130" t="str">
        <x:v>Coin</x:v>
      </x:c>
      <x:c r="I130" t="n">
        <x:f>ROUND('밸런스 조정'!$E$5+'밸런스 조정'!$F$5*(D130-1),0)</x:f>
        <x:v>185</x:v>
      </x:c>
      <x:c r="J130" t="str">
        <x:v>공격 속도 증가</x:v>
      </x:c>
    </x:row>
    <x:row r="131">
      <x:c r="B131" t="n">
        <x:v>3</x:v>
      </x:c>
      <x:c r="C131" t="str">
        <x:v>ATT_SPEED</x:v>
      </x:c>
      <x:c r="D131" t="n">
        <x:v>9</x:v>
      </x:c>
      <x:c r="E131" t="str">
        <x:v>공속</x:v>
      </x:c>
      <x:c r="F131" t="n">
        <x:f>'밸런스 조정'!$C$5+'밸런스 조정'!$D$5*D131</x:f>
        <x:v>45</x:v>
      </x:c>
      <x:c r="G131" t="str">
        <x:v>percent</x:v>
      </x:c>
      <x:c r="H131" t="str">
        <x:v>Coin</x:v>
      </x:c>
      <x:c r="I131" t="n">
        <x:f>ROUND('밸런스 조정'!$E$5+'밸런스 조정'!$F$5*(D131-1),0)</x:f>
        <x:v>205</x:v>
      </x:c>
      <x:c r="J131" t="str">
        <x:v>공격 속도 증가</x:v>
      </x:c>
    </x:row>
    <x:row r="132">
      <x:c r="B132" t="n">
        <x:v>3</x:v>
      </x:c>
      <x:c r="C132" t="str">
        <x:v>ATT_SPEED</x:v>
      </x:c>
      <x:c r="D132" t="n">
        <x:v>10</x:v>
      </x:c>
      <x:c r="E132" t="str">
        <x:v>공속</x:v>
      </x:c>
      <x:c r="F132" t="n">
        <x:f>'밸런스 조정'!$C$5+'밸런스 조정'!$D$5*D132</x:f>
        <x:v>50</x:v>
      </x:c>
      <x:c r="G132" t="str">
        <x:v>percent</x:v>
      </x:c>
      <x:c r="H132" t="str">
        <x:v>Coin</x:v>
      </x:c>
      <x:c r="I132" t="n">
        <x:f>ROUND('밸런스 조정'!$E$5+'밸런스 조정'!$F$5*(D132-1),0)</x:f>
        <x:v>225</x:v>
      </x:c>
      <x:c r="J132" t="str">
        <x:v>공격 속도 증가</x:v>
      </x:c>
    </x:row>
    <x:row r="133">
      <x:c r="B133" t="n">
        <x:v>3</x:v>
      </x:c>
      <x:c r="C133" t="str">
        <x:v>ATT_SPEED</x:v>
      </x:c>
      <x:c r="D133" t="n">
        <x:v>11</x:v>
      </x:c>
      <x:c r="E133" t="str">
        <x:v>공속</x:v>
      </x:c>
      <x:c r="F133" t="n">
        <x:f>'밸런스 조정'!$C$5+'밸런스 조정'!$D$5*D133</x:f>
        <x:v>55</x:v>
      </x:c>
      <x:c r="G133" t="str">
        <x:v>percent</x:v>
      </x:c>
      <x:c r="H133" t="str">
        <x:v>Coin</x:v>
      </x:c>
      <x:c r="I133" t="n">
        <x:f>ROUND('밸런스 조정'!$E$5+'밸런스 조정'!$F$5*(D133-1),0)</x:f>
        <x:v>245</x:v>
      </x:c>
      <x:c r="J133" t="str">
        <x:v>공격 속도 증가</x:v>
      </x:c>
    </x:row>
    <x:row r="134">
      <x:c r="B134" t="n">
        <x:v>3</x:v>
      </x:c>
      <x:c r="C134" t="str">
        <x:v>ATT_SPEED</x:v>
      </x:c>
      <x:c r="D134" t="n">
        <x:v>12</x:v>
      </x:c>
      <x:c r="E134" t="str">
        <x:v>공속</x:v>
      </x:c>
      <x:c r="F134" t="n">
        <x:f>'밸런스 조정'!$C$5+'밸런스 조정'!$D$5*D134</x:f>
        <x:v>60</x:v>
      </x:c>
      <x:c r="G134" t="str">
        <x:v>percent</x:v>
      </x:c>
      <x:c r="H134" t="str">
        <x:v>Coin</x:v>
      </x:c>
      <x:c r="I134" t="n">
        <x:f>ROUND('밸런스 조정'!$E$5+'밸런스 조정'!$F$5*(D134-1),0)</x:f>
        <x:v>265</x:v>
      </x:c>
      <x:c r="J134" t="str">
        <x:v>공격 속도 증가</x:v>
      </x:c>
    </x:row>
    <x:row r="135">
      <x:c r="B135" t="n">
        <x:v>3</x:v>
      </x:c>
      <x:c r="C135" t="str">
        <x:v>ATT_SPEED</x:v>
      </x:c>
      <x:c r="D135" t="n">
        <x:v>13</x:v>
      </x:c>
      <x:c r="E135" t="str">
        <x:v>공속</x:v>
      </x:c>
      <x:c r="F135" t="n">
        <x:f>'밸런스 조정'!$C$5+'밸런스 조정'!$D$5*D135</x:f>
        <x:v>65</x:v>
      </x:c>
      <x:c r="G135" t="str">
        <x:v>percent</x:v>
      </x:c>
      <x:c r="H135" t="str">
        <x:v>Coin</x:v>
      </x:c>
      <x:c r="I135" t="n">
        <x:f>ROUND('밸런스 조정'!$E$5+'밸런스 조정'!$F$5*(D135-1),0)</x:f>
        <x:v>285</x:v>
      </x:c>
      <x:c r="J135" t="str">
        <x:v>공격 속도 증가</x:v>
      </x:c>
    </x:row>
    <x:row r="136">
      <x:c r="B136" t="n">
        <x:v>3</x:v>
      </x:c>
      <x:c r="C136" t="str">
        <x:v>ATT_SPEED</x:v>
      </x:c>
      <x:c r="D136" t="n">
        <x:v>14</x:v>
      </x:c>
      <x:c r="E136" t="str">
        <x:v>공속</x:v>
      </x:c>
      <x:c r="F136" t="n">
        <x:f>'밸런스 조정'!$C$5+'밸런스 조정'!$D$5*D136</x:f>
        <x:v>70</x:v>
      </x:c>
      <x:c r="G136" t="str">
        <x:v>percent</x:v>
      </x:c>
      <x:c r="H136" t="str">
        <x:v>Coin</x:v>
      </x:c>
      <x:c r="I136" t="n">
        <x:f>ROUND('밸런스 조정'!$E$5+'밸런스 조정'!$F$5*(D136-1),0)</x:f>
        <x:v>305</x:v>
      </x:c>
      <x:c r="J136" t="str">
        <x:v>공격 속도 증가</x:v>
      </x:c>
    </x:row>
    <x:row r="137">
      <x:c r="B137" t="n">
        <x:v>3</x:v>
      </x:c>
      <x:c r="C137" t="str">
        <x:v>ATT_SPEED</x:v>
      </x:c>
      <x:c r="D137" t="n">
        <x:v>15</x:v>
      </x:c>
      <x:c r="E137" t="str">
        <x:v>공속</x:v>
      </x:c>
      <x:c r="F137" t="n">
        <x:f>'밸런스 조정'!$C$5+'밸런스 조정'!$D$5*D137</x:f>
        <x:v>75</x:v>
      </x:c>
      <x:c r="G137" t="str">
        <x:v>percent</x:v>
      </x:c>
      <x:c r="H137" t="str">
        <x:v>Coin</x:v>
      </x:c>
      <x:c r="I137" t="n">
        <x:f>ROUND('밸런스 조정'!$E$5+'밸런스 조정'!$F$5*(D137-1),0)</x:f>
        <x:v>325</x:v>
      </x:c>
      <x:c r="J137" t="str">
        <x:v>공격 속도 증가</x:v>
      </x:c>
    </x:row>
    <x:row r="138">
      <x:c r="B138" t="n">
        <x:v>3</x:v>
      </x:c>
      <x:c r="C138" t="str">
        <x:v>ATT_SPEED</x:v>
      </x:c>
      <x:c r="D138" t="n">
        <x:v>16</x:v>
      </x:c>
      <x:c r="E138" t="str">
        <x:v>공속</x:v>
      </x:c>
      <x:c r="F138" t="n">
        <x:f>'밸런스 조정'!$C$5+'밸런스 조정'!$D$5*D138</x:f>
        <x:v>80</x:v>
      </x:c>
      <x:c r="G138" t="str">
        <x:v>percent</x:v>
      </x:c>
      <x:c r="H138" t="str">
        <x:v>Coin</x:v>
      </x:c>
      <x:c r="I138" t="n">
        <x:f>ROUND('밸런스 조정'!$E$5+'밸런스 조정'!$F$5*(D138-1),0)</x:f>
        <x:v>345</x:v>
      </x:c>
      <x:c r="J138" t="str">
        <x:v>공격 속도 증가</x:v>
      </x:c>
    </x:row>
    <x:row r="139">
      <x:c r="B139" t="n">
        <x:v>3</x:v>
      </x:c>
      <x:c r="C139" t="str">
        <x:v>ATT_SPEED</x:v>
      </x:c>
      <x:c r="D139" t="n">
        <x:v>17</x:v>
      </x:c>
      <x:c r="E139" t="str">
        <x:v>공속</x:v>
      </x:c>
      <x:c r="F139" t="n">
        <x:f>'밸런스 조정'!$C$5+'밸런스 조정'!$D$5*D139</x:f>
        <x:v>85</x:v>
      </x:c>
      <x:c r="G139" t="str">
        <x:v>percent</x:v>
      </x:c>
      <x:c r="H139" t="str">
        <x:v>Coin</x:v>
      </x:c>
      <x:c r="I139" t="n">
        <x:f>ROUND('밸런스 조정'!$E$5+'밸런스 조정'!$F$5*(D139-1),0)</x:f>
        <x:v>365</x:v>
      </x:c>
      <x:c r="J139" t="str">
        <x:v>공격 속도 증가</x:v>
      </x:c>
    </x:row>
    <x:row r="140">
      <x:c r="B140" t="n">
        <x:v>3</x:v>
      </x:c>
      <x:c r="C140" t="str">
        <x:v>ATT_SPEED</x:v>
      </x:c>
      <x:c r="D140" t="n">
        <x:v>18</x:v>
      </x:c>
      <x:c r="E140" t="str">
        <x:v>공속</x:v>
      </x:c>
      <x:c r="F140" t="n">
        <x:f>'밸런스 조정'!$C$5+'밸런스 조정'!$D$5*D140</x:f>
        <x:v>90</x:v>
      </x:c>
      <x:c r="G140" t="str">
        <x:v>percent</x:v>
      </x:c>
      <x:c r="H140" t="str">
        <x:v>Coin</x:v>
      </x:c>
      <x:c r="I140" t="n">
        <x:f>ROUND('밸런스 조정'!$E$5+'밸런스 조정'!$F$5*(D140-1),0)</x:f>
        <x:v>385</x:v>
      </x:c>
      <x:c r="J140" t="str">
        <x:v>공격 속도 증가</x:v>
      </x:c>
    </x:row>
    <x:row r="141">
      <x:c r="B141" t="n">
        <x:v>3</x:v>
      </x:c>
      <x:c r="C141" t="str">
        <x:v>ATT_SPEED</x:v>
      </x:c>
      <x:c r="D141" t="n">
        <x:v>19</x:v>
      </x:c>
      <x:c r="E141" t="str">
        <x:v>공속</x:v>
      </x:c>
      <x:c r="F141" t="n">
        <x:f>'밸런스 조정'!$C$5+'밸런스 조정'!$D$5*D141</x:f>
        <x:v>95</x:v>
      </x:c>
      <x:c r="G141" t="str">
        <x:v>percent</x:v>
      </x:c>
      <x:c r="H141" t="str">
        <x:v>Coin</x:v>
      </x:c>
      <x:c r="I141" t="n">
        <x:f>ROUND('밸런스 조정'!$E$5+'밸런스 조정'!$F$5*(D141-1),0)</x:f>
        <x:v>405</x:v>
      </x:c>
      <x:c r="J141" t="str">
        <x:v>공격 속도 증가</x:v>
      </x:c>
    </x:row>
    <x:row r="142">
      <x:c r="B142" t="n">
        <x:v>3</x:v>
      </x:c>
      <x:c r="C142" t="str">
        <x:v>ATT_SPEED</x:v>
      </x:c>
      <x:c r="D142" t="n">
        <x:v>20</x:v>
      </x:c>
      <x:c r="E142" t="str">
        <x:v>공속</x:v>
      </x:c>
      <x:c r="F142" t="n">
        <x:f>'밸런스 조정'!$C$5+'밸런스 조정'!$D$5*D142</x:f>
        <x:v>100</x:v>
      </x:c>
      <x:c r="G142" t="str">
        <x:v>percent</x:v>
      </x:c>
      <x:c r="H142" t="str">
        <x:v>Coin</x:v>
      </x:c>
      <x:c r="I142" t="n">
        <x:f>ROUND('밸런스 조정'!$E$5+'밸런스 조정'!$F$5*(D142-1),0)</x:f>
        <x:v>425</x:v>
      </x:c>
      <x:c r="J142" t="str">
        <x:v>공격 속도 증가</x:v>
      </x:c>
    </x:row>
    <x:row r="143">
      <x:c r="B143" t="n">
        <x:v>3</x:v>
      </x:c>
      <x:c r="C143" t="str">
        <x:v>ATT_SPEED</x:v>
      </x:c>
      <x:c r="D143" t="n">
        <x:v>21</x:v>
      </x:c>
      <x:c r="E143" t="str">
        <x:v>공속</x:v>
      </x:c>
      <x:c r="F143" t="n">
        <x:f>'밸런스 조정'!$C$5+'밸런스 조정'!$D$5*D143</x:f>
        <x:v>105</x:v>
      </x:c>
      <x:c r="G143" t="str">
        <x:v>percent</x:v>
      </x:c>
      <x:c r="H143" t="str">
        <x:v>Coin</x:v>
      </x:c>
      <x:c r="I143" t="n">
        <x:f>ROUND('밸런스 조정'!$E$5+'밸런스 조정'!$F$5*(D143-1),0)</x:f>
        <x:v>445</x:v>
      </x:c>
      <x:c r="J143" t="str">
        <x:v>공격 속도 증가</x:v>
      </x:c>
    </x:row>
    <x:row r="144">
      <x:c r="B144" t="n">
        <x:v>3</x:v>
      </x:c>
      <x:c r="C144" t="str">
        <x:v>ATT_SPEED</x:v>
      </x:c>
      <x:c r="D144" t="n">
        <x:v>22</x:v>
      </x:c>
      <x:c r="E144" t="str">
        <x:v>공속</x:v>
      </x:c>
      <x:c r="F144" t="n">
        <x:f>'밸런스 조정'!$C$5+'밸런스 조정'!$D$5*D144</x:f>
        <x:v>110</x:v>
      </x:c>
      <x:c r="G144" t="str">
        <x:v>percent</x:v>
      </x:c>
      <x:c r="H144" t="str">
        <x:v>Coin</x:v>
      </x:c>
      <x:c r="I144" t="n">
        <x:f>ROUND('밸런스 조정'!$E$5+'밸런스 조정'!$F$5*(D144-1),0)</x:f>
        <x:v>465</x:v>
      </x:c>
      <x:c r="J144" t="str">
        <x:v>공격 속도 증가</x:v>
      </x:c>
    </x:row>
    <x:row r="145">
      <x:c r="B145" t="n">
        <x:v>3</x:v>
      </x:c>
      <x:c r="C145" t="str">
        <x:v>ATT_SPEED</x:v>
      </x:c>
      <x:c r="D145" t="n">
        <x:v>23</x:v>
      </x:c>
      <x:c r="E145" t="str">
        <x:v>공속</x:v>
      </x:c>
      <x:c r="F145" t="n">
        <x:f>'밸런스 조정'!$C$5+'밸런스 조정'!$D$5*D145</x:f>
        <x:v>115</x:v>
      </x:c>
      <x:c r="G145" t="str">
        <x:v>percent</x:v>
      </x:c>
      <x:c r="H145" t="str">
        <x:v>Coin</x:v>
      </x:c>
      <x:c r="I145" t="n">
        <x:f>ROUND('밸런스 조정'!$E$5+'밸런스 조정'!$F$5*(D145-1),0)</x:f>
        <x:v>485</x:v>
      </x:c>
      <x:c r="J145" t="str">
        <x:v>공격 속도 증가</x:v>
      </x:c>
    </x:row>
    <x:row r="146">
      <x:c r="B146" t="n">
        <x:v>3</x:v>
      </x:c>
      <x:c r="C146" t="str">
        <x:v>ATT_SPEED</x:v>
      </x:c>
      <x:c r="D146" t="n">
        <x:v>24</x:v>
      </x:c>
      <x:c r="E146" t="str">
        <x:v>공속</x:v>
      </x:c>
      <x:c r="F146" t="n">
        <x:f>'밸런스 조정'!$C$5+'밸런스 조정'!$D$5*D146</x:f>
        <x:v>120</x:v>
      </x:c>
      <x:c r="G146" t="str">
        <x:v>percent</x:v>
      </x:c>
      <x:c r="H146" t="str">
        <x:v>Coin</x:v>
      </x:c>
      <x:c r="I146" t="n">
        <x:f>ROUND('밸런스 조정'!$E$5+'밸런스 조정'!$F$5*(D146-1),0)</x:f>
        <x:v>505</x:v>
      </x:c>
      <x:c r="J146" t="str">
        <x:v>공격 속도 증가</x:v>
      </x:c>
    </x:row>
    <x:row r="147">
      <x:c r="B147" t="n">
        <x:v>3</x:v>
      </x:c>
      <x:c r="C147" t="str">
        <x:v>ATT_SPEED</x:v>
      </x:c>
      <x:c r="D147" t="n">
        <x:v>25</x:v>
      </x:c>
      <x:c r="E147" t="str">
        <x:v>공속</x:v>
      </x:c>
      <x:c r="F147" t="n">
        <x:f>'밸런스 조정'!$C$5+'밸런스 조정'!$D$5*D147</x:f>
        <x:v>125</x:v>
      </x:c>
      <x:c r="G147" t="str">
        <x:v>percent</x:v>
      </x:c>
      <x:c r="H147" t="str">
        <x:v>Coin</x:v>
      </x:c>
      <x:c r="I147" t="n">
        <x:f>ROUND('밸런스 조정'!$E$5+'밸런스 조정'!$F$5*(D147-1),0)</x:f>
        <x:v>525</x:v>
      </x:c>
      <x:c r="J147" t="str">
        <x:v>공격 속도 증가</x:v>
      </x:c>
    </x:row>
    <x:row r="148">
      <x:c r="B148" t="n">
        <x:v>3</x:v>
      </x:c>
      <x:c r="C148" t="str">
        <x:v>ATT_SPEED</x:v>
      </x:c>
      <x:c r="D148" t="n">
        <x:v>26</x:v>
      </x:c>
      <x:c r="E148" t="str">
        <x:v>공속</x:v>
      </x:c>
      <x:c r="F148" t="n">
        <x:f>'밸런스 조정'!$C$5+'밸런스 조정'!$D$5*D148</x:f>
        <x:v>130</x:v>
      </x:c>
      <x:c r="G148" t="str">
        <x:v>percent</x:v>
      </x:c>
      <x:c r="H148" t="str">
        <x:v>Coin</x:v>
      </x:c>
      <x:c r="I148" t="n">
        <x:f>ROUND('밸런스 조정'!$E$5+'밸런스 조정'!$F$5*(D148-1),0)</x:f>
        <x:v>545</x:v>
      </x:c>
      <x:c r="J148" t="str">
        <x:v>공격 속도 증가</x:v>
      </x:c>
    </x:row>
    <x:row r="149">
      <x:c r="B149" t="n">
        <x:v>3</x:v>
      </x:c>
      <x:c r="C149" t="str">
        <x:v>ATT_SPEED</x:v>
      </x:c>
      <x:c r="D149" t="n">
        <x:v>27</x:v>
      </x:c>
      <x:c r="E149" t="str">
        <x:v>공속</x:v>
      </x:c>
      <x:c r="F149" t="n">
        <x:f>'밸런스 조정'!$C$5+'밸런스 조정'!$D$5*D149</x:f>
        <x:v>135</x:v>
      </x:c>
      <x:c r="G149" t="str">
        <x:v>percent</x:v>
      </x:c>
      <x:c r="H149" t="str">
        <x:v>Coin</x:v>
      </x:c>
      <x:c r="I149" t="n">
        <x:f>ROUND('밸런스 조정'!$E$5+'밸런스 조정'!$F$5*(D149-1),0)</x:f>
        <x:v>565</x:v>
      </x:c>
      <x:c r="J149" t="str">
        <x:v>공격 속도 증가</x:v>
      </x:c>
    </x:row>
    <x:row r="150">
      <x:c r="B150" t="n">
        <x:v>3</x:v>
      </x:c>
      <x:c r="C150" t="str">
        <x:v>ATT_SPEED</x:v>
      </x:c>
      <x:c r="D150" t="n">
        <x:v>28</x:v>
      </x:c>
      <x:c r="E150" t="str">
        <x:v>공속</x:v>
      </x:c>
      <x:c r="F150" t="n">
        <x:f>'밸런스 조정'!$C$5+'밸런스 조정'!$D$5*D150</x:f>
        <x:v>140</x:v>
      </x:c>
      <x:c r="G150" t="str">
        <x:v>percent</x:v>
      </x:c>
      <x:c r="H150" t="str">
        <x:v>Coin</x:v>
      </x:c>
      <x:c r="I150" t="n">
        <x:f>ROUND('밸런스 조정'!$E$5+'밸런스 조정'!$F$5*(D150-1),0)</x:f>
        <x:v>585</x:v>
      </x:c>
      <x:c r="J150" t="str">
        <x:v>공격 속도 증가</x:v>
      </x:c>
    </x:row>
    <x:row r="151">
      <x:c r="B151" t="n">
        <x:v>3</x:v>
      </x:c>
      <x:c r="C151" t="str">
        <x:v>ATT_SPEED</x:v>
      </x:c>
      <x:c r="D151" t="n">
        <x:v>29</x:v>
      </x:c>
      <x:c r="E151" t="str">
        <x:v>공속</x:v>
      </x:c>
      <x:c r="F151" t="n">
        <x:f>'밸런스 조정'!$C$5+'밸런스 조정'!$D$5*D151</x:f>
        <x:v>145</x:v>
      </x:c>
      <x:c r="G151" t="str">
        <x:v>percent</x:v>
      </x:c>
      <x:c r="H151" t="str">
        <x:v>Coin</x:v>
      </x:c>
      <x:c r="I151" t="n">
        <x:f>ROUND('밸런스 조정'!$E$5+'밸런스 조정'!$F$5*(D151-1),0)</x:f>
        <x:v>605</x:v>
      </x:c>
      <x:c r="J151" t="str">
        <x:v>공격 속도 증가</x:v>
      </x:c>
    </x:row>
    <x:row r="152">
      <x:c r="B152" t="n">
        <x:v>3</x:v>
      </x:c>
      <x:c r="C152" t="str">
        <x:v>ATT_SPEED</x:v>
      </x:c>
      <x:c r="D152" t="n">
        <x:v>30</x:v>
      </x:c>
      <x:c r="E152" t="str">
        <x:v>공속</x:v>
      </x:c>
      <x:c r="F152" t="n">
        <x:f>'밸런스 조정'!$C$5+'밸런스 조정'!$D$5*D152</x:f>
        <x:v>150</x:v>
      </x:c>
      <x:c r="G152" t="str">
        <x:v>percent</x:v>
      </x:c>
      <x:c r="H152" t="str">
        <x:v>Coin</x:v>
      </x:c>
      <x:c r="I152" t="n">
        <x:f>ROUND('밸런스 조정'!$E$5+'밸런스 조정'!$F$5*(D152-1),0)</x:f>
        <x:v>625</x:v>
      </x:c>
      <x:c r="J152" t="str">
        <x:v>공격 속도 증가</x:v>
      </x:c>
    </x:row>
    <x:row r="153">
      <x:c r="B153" t="n">
        <x:v>4</x:v>
      </x:c>
      <x:c r="C153" t="str">
        <x:v>PROJECTILE_SPEED</x:v>
      </x:c>
      <x:c r="D153" t="n">
        <x:v>1</x:v>
      </x:c>
      <x:c r="E153" t="str">
        <x:v>미사일 지속 시간</x:v>
      </x:c>
      <x:c r="F153" t="n">
        <x:f>'밸런스 조정'!$C$6+'밸런스 조정'!$D$6*D153</x:f>
        <x:v>4</x:v>
      </x:c>
      <x:c r="G153" t="str">
        <x:v>percent</x:v>
      </x:c>
      <x:c r="H153" t="str">
        <x:v>Coin</x:v>
      </x:c>
      <x:c r="I153" t="n">
        <x:f>ROUND('밸런스 조정'!$E$6+'밸런스 조정'!$F$6*(D153-1),0)</x:f>
        <x:v>40</x:v>
      </x:c>
      <x:c r="J153" t="str">
        <x:v>미사일 지속 시간 증가</x:v>
      </x:c>
    </x:row>
    <x:row r="154">
      <x:c r="B154" t="n">
        <x:v>4</x:v>
      </x:c>
      <x:c r="C154" t="str">
        <x:v>PROJECTILE_SPEED</x:v>
      </x:c>
      <x:c r="D154" t="n">
        <x:v>2</x:v>
      </x:c>
      <x:c r="E154" t="str">
        <x:v>미사일 지속 시간</x:v>
      </x:c>
      <x:c r="F154" t="n">
        <x:f>'밸런스 조정'!$C$6+'밸런스 조정'!$D$6*D154</x:f>
        <x:v>8</x:v>
      </x:c>
      <x:c r="G154" t="str">
        <x:v>percent</x:v>
      </x:c>
      <x:c r="H154" t="str">
        <x:v>Coin</x:v>
      </x:c>
      <x:c r="I154" t="n">
        <x:f>ROUND('밸런스 조정'!$E$6+'밸런스 조정'!$F$6*(D154-1),0)</x:f>
        <x:v>56</x:v>
      </x:c>
      <x:c r="J154" t="str">
        <x:v>미사일 지속 시간 증가</x:v>
      </x:c>
    </x:row>
    <x:row r="155">
      <x:c r="B155" t="n">
        <x:v>4</x:v>
      </x:c>
      <x:c r="C155" t="str">
        <x:v>PROJECTILE_SPEED</x:v>
      </x:c>
      <x:c r="D155" t="n">
        <x:v>3</x:v>
      </x:c>
      <x:c r="E155" t="str">
        <x:v>미사일 지속 시간</x:v>
      </x:c>
      <x:c r="F155" t="n">
        <x:f>'밸런스 조정'!$C$6+'밸런스 조정'!$D$6*D155</x:f>
        <x:v>12</x:v>
      </x:c>
      <x:c r="G155" t="str">
        <x:v>percent</x:v>
      </x:c>
      <x:c r="H155" t="str">
        <x:v>Coin</x:v>
      </x:c>
      <x:c r="I155" t="n">
        <x:f>ROUND('밸런스 조정'!$E$6+'밸런스 조정'!$F$6*(D155-1),0)</x:f>
        <x:v>72</x:v>
      </x:c>
      <x:c r="J155" t="str">
        <x:v>미사일 지속 시간 증가</x:v>
      </x:c>
    </x:row>
    <x:row r="156">
      <x:c r="B156" t="n">
        <x:v>4</x:v>
      </x:c>
      <x:c r="C156" t="str">
        <x:v>PROJECTILE_SPEED</x:v>
      </x:c>
      <x:c r="D156" t="n">
        <x:v>4</x:v>
      </x:c>
      <x:c r="E156" t="str">
        <x:v>미사일 지속 시간</x:v>
      </x:c>
      <x:c r="F156" t="n">
        <x:f>'밸런스 조정'!$C$6+'밸런스 조정'!$D$6*D156</x:f>
        <x:v>16</x:v>
      </x:c>
      <x:c r="G156" t="str">
        <x:v>percent</x:v>
      </x:c>
      <x:c r="H156" t="str">
        <x:v>Coin</x:v>
      </x:c>
      <x:c r="I156" t="n">
        <x:f>ROUND('밸런스 조정'!$E$6+'밸런스 조정'!$F$6*(D156-1),0)</x:f>
        <x:v>88</x:v>
      </x:c>
      <x:c r="J156" t="str">
        <x:v>미사일 지속 시간 증가</x:v>
      </x:c>
    </x:row>
    <x:row r="157">
      <x:c r="B157" t="n">
        <x:v>4</x:v>
      </x:c>
      <x:c r="C157" t="str">
        <x:v>PROJECTILE_SPEED</x:v>
      </x:c>
      <x:c r="D157" t="n">
        <x:v>5</x:v>
      </x:c>
      <x:c r="E157" t="str">
        <x:v>미사일 지속 시간</x:v>
      </x:c>
      <x:c r="F157" t="n">
        <x:f>'밸런스 조정'!$C$6+'밸런스 조정'!$D$6*D157</x:f>
        <x:v>20</x:v>
      </x:c>
      <x:c r="G157" t="str">
        <x:v>percent</x:v>
      </x:c>
      <x:c r="H157" t="str">
        <x:v>Coin</x:v>
      </x:c>
      <x:c r="I157" t="n">
        <x:f>ROUND('밸런스 조정'!$E$6+'밸런스 조정'!$F$6*(D157-1),0)</x:f>
        <x:v>104</x:v>
      </x:c>
      <x:c r="J157" t="str">
        <x:v>미사일 지속 시간 증가</x:v>
      </x:c>
    </x:row>
    <x:row r="158">
      <x:c r="B158" t="n">
        <x:v>4</x:v>
      </x:c>
      <x:c r="C158" t="str">
        <x:v>PROJECTILE_SPEED</x:v>
      </x:c>
      <x:c r="D158" t="n">
        <x:v>6</x:v>
      </x:c>
      <x:c r="E158" t="str">
        <x:v>미사일 지속 시간</x:v>
      </x:c>
      <x:c r="F158" t="n">
        <x:f>'밸런스 조정'!$C$6+'밸런스 조정'!$D$6*D158</x:f>
        <x:v>24</x:v>
      </x:c>
      <x:c r="G158" t="str">
        <x:v>percent</x:v>
      </x:c>
      <x:c r="H158" t="str">
        <x:v>Coin</x:v>
      </x:c>
      <x:c r="I158" t="n">
        <x:f>ROUND('밸런스 조정'!$E$6+'밸런스 조정'!$F$6*(D158-1),0)</x:f>
        <x:v>120</x:v>
      </x:c>
      <x:c r="J158" t="str">
        <x:v>미사일 지속 시간 증가</x:v>
      </x:c>
    </x:row>
    <x:row r="159">
      <x:c r="B159" t="n">
        <x:v>4</x:v>
      </x:c>
      <x:c r="C159" t="str">
        <x:v>PROJECTILE_SPEED</x:v>
      </x:c>
      <x:c r="D159" t="n">
        <x:v>7</x:v>
      </x:c>
      <x:c r="E159" t="str">
        <x:v>미사일 지속 시간</x:v>
      </x:c>
      <x:c r="F159" t="n">
        <x:f>'밸런스 조정'!$C$6+'밸런스 조정'!$D$6*D159</x:f>
        <x:v>28</x:v>
      </x:c>
      <x:c r="G159" t="str">
        <x:v>percent</x:v>
      </x:c>
      <x:c r="H159" t="str">
        <x:v>Coin</x:v>
      </x:c>
      <x:c r="I159" t="n">
        <x:f>ROUND('밸런스 조정'!$E$6+'밸런스 조정'!$F$6*(D159-1),0)</x:f>
        <x:v>136</x:v>
      </x:c>
      <x:c r="J159" t="str">
        <x:v>미사일 지속 시간 증가</x:v>
      </x:c>
    </x:row>
    <x:row r="160">
      <x:c r="B160" t="n">
        <x:v>4</x:v>
      </x:c>
      <x:c r="C160" t="str">
        <x:v>PROJECTILE_SPEED</x:v>
      </x:c>
      <x:c r="D160" t="n">
        <x:v>8</x:v>
      </x:c>
      <x:c r="E160" t="str">
        <x:v>미사일 지속 시간</x:v>
      </x:c>
      <x:c r="F160" t="n">
        <x:f>'밸런스 조정'!$C$6+'밸런스 조정'!$D$6*D160</x:f>
        <x:v>32</x:v>
      </x:c>
      <x:c r="G160" t="str">
        <x:v>percent</x:v>
      </x:c>
      <x:c r="H160" t="str">
        <x:v>Coin</x:v>
      </x:c>
      <x:c r="I160" t="n">
        <x:f>ROUND('밸런스 조정'!$E$6+'밸런스 조정'!$F$6*(D160-1),0)</x:f>
        <x:v>152</x:v>
      </x:c>
      <x:c r="J160" t="str">
        <x:v>미사일 지속 시간 증가</x:v>
      </x:c>
    </x:row>
    <x:row r="161">
      <x:c r="B161" t="n">
        <x:v>4</x:v>
      </x:c>
      <x:c r="C161" t="str">
        <x:v>PROJECTILE_SPEED</x:v>
      </x:c>
      <x:c r="D161" t="n">
        <x:v>9</x:v>
      </x:c>
      <x:c r="E161" t="str">
        <x:v>미사일 지속 시간</x:v>
      </x:c>
      <x:c r="F161" t="n">
        <x:f>'밸런스 조정'!$C$6+'밸런스 조정'!$D$6*D161</x:f>
        <x:v>36</x:v>
      </x:c>
      <x:c r="G161" t="str">
        <x:v>percent</x:v>
      </x:c>
      <x:c r="H161" t="str">
        <x:v>Coin</x:v>
      </x:c>
      <x:c r="I161" t="n">
        <x:f>ROUND('밸런스 조정'!$E$6+'밸런스 조정'!$F$6*(D161-1),0)</x:f>
        <x:v>168</x:v>
      </x:c>
      <x:c r="J161" t="str">
        <x:v>미사일 지속 시간 증가</x:v>
      </x:c>
    </x:row>
    <x:row r="162">
      <x:c r="B162" t="n">
        <x:v>4</x:v>
      </x:c>
      <x:c r="C162" t="str">
        <x:v>PROJECTILE_SPEED</x:v>
      </x:c>
      <x:c r="D162" t="n">
        <x:v>10</x:v>
      </x:c>
      <x:c r="E162" t="str">
        <x:v>미사일 지속 시간</x:v>
      </x:c>
      <x:c r="F162" t="n">
        <x:f>'밸런스 조정'!$C$6+'밸런스 조정'!$D$6*D162</x:f>
        <x:v>40</x:v>
      </x:c>
      <x:c r="G162" t="str">
        <x:v>percent</x:v>
      </x:c>
      <x:c r="H162" t="str">
        <x:v>Coin</x:v>
      </x:c>
      <x:c r="I162" t="n">
        <x:f>ROUND('밸런스 조정'!$E$6+'밸런스 조정'!$F$6*(D162-1),0)</x:f>
        <x:v>184</x:v>
      </x:c>
      <x:c r="J162" t="str">
        <x:v>미사일 지속 시간 증가</x:v>
      </x:c>
    </x:row>
    <x:row r="163">
      <x:c r="B163" t="n">
        <x:v>4</x:v>
      </x:c>
      <x:c r="C163" t="str">
        <x:v>PROJECTILE_SPEED</x:v>
      </x:c>
      <x:c r="D163" t="n">
        <x:v>11</x:v>
      </x:c>
      <x:c r="E163" t="str">
        <x:v>미사일 지속 시간</x:v>
      </x:c>
      <x:c r="F163" t="n">
        <x:f>'밸런스 조정'!$C$6+'밸런스 조정'!$D$6*D163</x:f>
        <x:v>44</x:v>
      </x:c>
      <x:c r="G163" t="str">
        <x:v>percent</x:v>
      </x:c>
      <x:c r="H163" t="str">
        <x:v>Coin</x:v>
      </x:c>
      <x:c r="I163" t="n">
        <x:f>ROUND('밸런스 조정'!$E$6+'밸런스 조정'!$F$6*(D163-1),0)</x:f>
        <x:v>200</x:v>
      </x:c>
      <x:c r="J163" t="str">
        <x:v>미사일 지속 시간 증가</x:v>
      </x:c>
    </x:row>
    <x:row r="164">
      <x:c r="B164" t="n">
        <x:v>4</x:v>
      </x:c>
      <x:c r="C164" t="str">
        <x:v>PROJECTILE_SPEED</x:v>
      </x:c>
      <x:c r="D164" t="n">
        <x:v>12</x:v>
      </x:c>
      <x:c r="E164" t="str">
        <x:v>미사일 지속 시간</x:v>
      </x:c>
      <x:c r="F164" t="n">
        <x:f>'밸런스 조정'!$C$6+'밸런스 조정'!$D$6*D164</x:f>
        <x:v>48</x:v>
      </x:c>
      <x:c r="G164" t="str">
        <x:v>percent</x:v>
      </x:c>
      <x:c r="H164" t="str">
        <x:v>Coin</x:v>
      </x:c>
      <x:c r="I164" t="n">
        <x:f>ROUND('밸런스 조정'!$E$6+'밸런스 조정'!$F$6*(D164-1),0)</x:f>
        <x:v>216</x:v>
      </x:c>
      <x:c r="J164" t="str">
        <x:v>미사일 지속 시간 증가</x:v>
      </x:c>
    </x:row>
    <x:row r="165">
      <x:c r="B165" t="n">
        <x:v>4</x:v>
      </x:c>
      <x:c r="C165" t="str">
        <x:v>PROJECTILE_SPEED</x:v>
      </x:c>
      <x:c r="D165" t="n">
        <x:v>13</x:v>
      </x:c>
      <x:c r="E165" t="str">
        <x:v>미사일 지속 시간</x:v>
      </x:c>
      <x:c r="F165" t="n">
        <x:f>'밸런스 조정'!$C$6+'밸런스 조정'!$D$6*D165</x:f>
        <x:v>52</x:v>
      </x:c>
      <x:c r="G165" t="str">
        <x:v>percent</x:v>
      </x:c>
      <x:c r="H165" t="str">
        <x:v>Coin</x:v>
      </x:c>
      <x:c r="I165" t="n">
        <x:f>ROUND('밸런스 조정'!$E$6+'밸런스 조정'!$F$6*(D165-1),0)</x:f>
        <x:v>232</x:v>
      </x:c>
      <x:c r="J165" t="str">
        <x:v>미사일 지속 시간 증가</x:v>
      </x:c>
    </x:row>
    <x:row r="166">
      <x:c r="B166" t="n">
        <x:v>4</x:v>
      </x:c>
      <x:c r="C166" t="str">
        <x:v>PROJECTILE_SPEED</x:v>
      </x:c>
      <x:c r="D166" t="n">
        <x:v>14</x:v>
      </x:c>
      <x:c r="E166" t="str">
        <x:v>미사일 지속 시간</x:v>
      </x:c>
      <x:c r="F166" t="n">
        <x:f>'밸런스 조정'!$C$6+'밸런스 조정'!$D$6*D166</x:f>
        <x:v>56</x:v>
      </x:c>
      <x:c r="G166" t="str">
        <x:v>percent</x:v>
      </x:c>
      <x:c r="H166" t="str">
        <x:v>Coin</x:v>
      </x:c>
      <x:c r="I166" t="n">
        <x:f>ROUND('밸런스 조정'!$E$6+'밸런스 조정'!$F$6*(D166-1),0)</x:f>
        <x:v>248</x:v>
      </x:c>
      <x:c r="J166" t="str">
        <x:v>미사일 지속 시간 증가</x:v>
      </x:c>
    </x:row>
    <x:row r="167">
      <x:c r="B167" t="n">
        <x:v>4</x:v>
      </x:c>
      <x:c r="C167" t="str">
        <x:v>PROJECTILE_SPEED</x:v>
      </x:c>
      <x:c r="D167" t="n">
        <x:v>15</x:v>
      </x:c>
      <x:c r="E167" t="str">
        <x:v>미사일 지속 시간</x:v>
      </x:c>
      <x:c r="F167" t="n">
        <x:f>'밸런스 조정'!$C$6+'밸런스 조정'!$D$6*D167</x:f>
        <x:v>60</x:v>
      </x:c>
      <x:c r="G167" t="str">
        <x:v>percent</x:v>
      </x:c>
      <x:c r="H167" t="str">
        <x:v>Coin</x:v>
      </x:c>
      <x:c r="I167" t="n">
        <x:f>ROUND('밸런스 조정'!$E$6+'밸런스 조정'!$F$6*(D167-1),0)</x:f>
        <x:v>264</x:v>
      </x:c>
      <x:c r="J167" t="str">
        <x:v>미사일 지속 시간 증가</x:v>
      </x:c>
    </x:row>
    <x:row r="168">
      <x:c r="B168" t="n">
        <x:v>4</x:v>
      </x:c>
      <x:c r="C168" t="str">
        <x:v>PROJECTILE_SPEED</x:v>
      </x:c>
      <x:c r="D168" t="n">
        <x:v>16</x:v>
      </x:c>
      <x:c r="E168" t="str">
        <x:v>미사일 지속 시간</x:v>
      </x:c>
      <x:c r="F168" t="n">
        <x:f>'밸런스 조정'!$C$6+'밸런스 조정'!$D$6*D168</x:f>
        <x:v>64</x:v>
      </x:c>
      <x:c r="G168" t="str">
        <x:v>percent</x:v>
      </x:c>
      <x:c r="H168" t="str">
        <x:v>Coin</x:v>
      </x:c>
      <x:c r="I168" t="n">
        <x:f>ROUND('밸런스 조정'!$E$6+'밸런스 조정'!$F$6*(D168-1),0)</x:f>
        <x:v>280</x:v>
      </x:c>
      <x:c r="J168" t="str">
        <x:v>미사일 지속 시간 증가</x:v>
      </x:c>
    </x:row>
    <x:row r="169">
      <x:c r="B169" t="n">
        <x:v>4</x:v>
      </x:c>
      <x:c r="C169" t="str">
        <x:v>PROJECTILE_SPEED</x:v>
      </x:c>
      <x:c r="D169" t="n">
        <x:v>17</x:v>
      </x:c>
      <x:c r="E169" t="str">
        <x:v>미사일 지속 시간</x:v>
      </x:c>
      <x:c r="F169" t="n">
        <x:f>'밸런스 조정'!$C$6+'밸런스 조정'!$D$6*D169</x:f>
        <x:v>68</x:v>
      </x:c>
      <x:c r="G169" t="str">
        <x:v>percent</x:v>
      </x:c>
      <x:c r="H169" t="str">
        <x:v>Coin</x:v>
      </x:c>
      <x:c r="I169" t="n">
        <x:f>ROUND('밸런스 조정'!$E$6+'밸런스 조정'!$F$6*(D169-1),0)</x:f>
        <x:v>296</x:v>
      </x:c>
      <x:c r="J169" t="str">
        <x:v>미사일 지속 시간 증가</x:v>
      </x:c>
    </x:row>
    <x:row r="170">
      <x:c r="B170" t="n">
        <x:v>4</x:v>
      </x:c>
      <x:c r="C170" t="str">
        <x:v>PROJECTILE_SPEED</x:v>
      </x:c>
      <x:c r="D170" t="n">
        <x:v>18</x:v>
      </x:c>
      <x:c r="E170" t="str">
        <x:v>미사일 지속 시간</x:v>
      </x:c>
      <x:c r="F170" t="n">
        <x:f>'밸런스 조정'!$C$6+'밸런스 조정'!$D$6*D170</x:f>
        <x:v>72</x:v>
      </x:c>
      <x:c r="G170" t="str">
        <x:v>percent</x:v>
      </x:c>
      <x:c r="H170" t="str">
        <x:v>Coin</x:v>
      </x:c>
      <x:c r="I170" t="n">
        <x:f>ROUND('밸런스 조정'!$E$6+'밸런스 조정'!$F$6*(D170-1),0)</x:f>
        <x:v>312</x:v>
      </x:c>
      <x:c r="J170" t="str">
        <x:v>미사일 지속 시간 증가</x:v>
      </x:c>
    </x:row>
    <x:row r="171">
      <x:c r="B171" t="n">
        <x:v>4</x:v>
      </x:c>
      <x:c r="C171" t="str">
        <x:v>PROJECTILE_SPEED</x:v>
      </x:c>
      <x:c r="D171" t="n">
        <x:v>19</x:v>
      </x:c>
      <x:c r="E171" t="str">
        <x:v>미사일 지속 시간</x:v>
      </x:c>
      <x:c r="F171" t="n">
        <x:f>'밸런스 조정'!$C$6+'밸런스 조정'!$D$6*D171</x:f>
        <x:v>76</x:v>
      </x:c>
      <x:c r="G171" t="str">
        <x:v>percent</x:v>
      </x:c>
      <x:c r="H171" t="str">
        <x:v>Coin</x:v>
      </x:c>
      <x:c r="I171" t="n">
        <x:f>ROUND('밸런스 조정'!$E$6+'밸런스 조정'!$F$6*(D171-1),0)</x:f>
        <x:v>328</x:v>
      </x:c>
      <x:c r="J171" t="str">
        <x:v>미사일 지속 시간 증가</x:v>
      </x:c>
    </x:row>
    <x:row r="172">
      <x:c r="B172" t="n">
        <x:v>4</x:v>
      </x:c>
      <x:c r="C172" t="str">
        <x:v>PROJECTILE_SPEED</x:v>
      </x:c>
      <x:c r="D172" t="n">
        <x:v>20</x:v>
      </x:c>
      <x:c r="E172" t="str">
        <x:v>미사일 지속 시간</x:v>
      </x:c>
      <x:c r="F172" t="n">
        <x:f>'밸런스 조정'!$C$6+'밸런스 조정'!$D$6*D172</x:f>
        <x:v>80</x:v>
      </x:c>
      <x:c r="G172" t="str">
        <x:v>percent</x:v>
      </x:c>
      <x:c r="H172" t="str">
        <x:v>Coin</x:v>
      </x:c>
      <x:c r="I172" t="n">
        <x:f>ROUND('밸런스 조정'!$E$6+'밸런스 조정'!$F$6*(D172-1),0)</x:f>
        <x:v>344</x:v>
      </x:c>
      <x:c r="J172" t="str">
        <x:v>미사일 지속 시간 증가</x:v>
      </x:c>
    </x:row>
    <x:row r="173">
      <x:c r="B173" t="n">
        <x:v>4</x:v>
      </x:c>
      <x:c r="C173" t="str">
        <x:v>PROJECTILE_SPEED</x:v>
      </x:c>
      <x:c r="D173" t="n">
        <x:v>21</x:v>
      </x:c>
      <x:c r="E173" t="str">
        <x:v>미사일 지속 시간</x:v>
      </x:c>
      <x:c r="F173" t="n">
        <x:f>'밸런스 조정'!$C$6+'밸런스 조정'!$D$6*D173</x:f>
        <x:v>84</x:v>
      </x:c>
      <x:c r="G173" t="str">
        <x:v>percent</x:v>
      </x:c>
      <x:c r="H173" t="str">
        <x:v>Coin</x:v>
      </x:c>
      <x:c r="I173" t="n">
        <x:f>ROUND('밸런스 조정'!$E$6+'밸런스 조정'!$F$6*(D173-1),0)</x:f>
        <x:v>360</x:v>
      </x:c>
      <x:c r="J173" t="str">
        <x:v>미사일 지속 시간 증가</x:v>
      </x:c>
    </x:row>
    <x:row r="174">
      <x:c r="B174" t="n">
        <x:v>4</x:v>
      </x:c>
      <x:c r="C174" t="str">
        <x:v>PROJECTILE_SPEED</x:v>
      </x:c>
      <x:c r="D174" t="n">
        <x:v>22</x:v>
      </x:c>
      <x:c r="E174" t="str">
        <x:v>미사일 지속 시간</x:v>
      </x:c>
      <x:c r="F174" t="n">
        <x:f>'밸런스 조정'!$C$6+'밸런스 조정'!$D$6*D174</x:f>
        <x:v>88</x:v>
      </x:c>
      <x:c r="G174" t="str">
        <x:v>percent</x:v>
      </x:c>
      <x:c r="H174" t="str">
        <x:v>Coin</x:v>
      </x:c>
      <x:c r="I174" t="n">
        <x:f>ROUND('밸런스 조정'!$E$6+'밸런스 조정'!$F$6*(D174-1),0)</x:f>
        <x:v>376</x:v>
      </x:c>
      <x:c r="J174" t="str">
        <x:v>미사일 지속 시간 증가</x:v>
      </x:c>
    </x:row>
    <x:row r="175">
      <x:c r="B175" t="n">
        <x:v>4</x:v>
      </x:c>
      <x:c r="C175" t="str">
        <x:v>PROJECTILE_SPEED</x:v>
      </x:c>
      <x:c r="D175" t="n">
        <x:v>23</x:v>
      </x:c>
      <x:c r="E175" t="str">
        <x:v>미사일 지속 시간</x:v>
      </x:c>
      <x:c r="F175" t="n">
        <x:f>'밸런스 조정'!$C$6+'밸런스 조정'!$D$6*D175</x:f>
        <x:v>92</x:v>
      </x:c>
      <x:c r="G175" t="str">
        <x:v>percent</x:v>
      </x:c>
      <x:c r="H175" t="str">
        <x:v>Coin</x:v>
      </x:c>
      <x:c r="I175" t="n">
        <x:f>ROUND('밸런스 조정'!$E$6+'밸런스 조정'!$F$6*(D175-1),0)</x:f>
        <x:v>392</x:v>
      </x:c>
      <x:c r="J175" t="str">
        <x:v>미사일 지속 시간 증가</x:v>
      </x:c>
    </x:row>
    <x:row r="176">
      <x:c r="B176" t="n">
        <x:v>4</x:v>
      </x:c>
      <x:c r="C176" t="str">
        <x:v>PROJECTILE_SPEED</x:v>
      </x:c>
      <x:c r="D176" t="n">
        <x:v>24</x:v>
      </x:c>
      <x:c r="E176" t="str">
        <x:v>미사일 지속 시간</x:v>
      </x:c>
      <x:c r="F176" t="n">
        <x:f>'밸런스 조정'!$C$6+'밸런스 조정'!$D$6*D176</x:f>
        <x:v>96</x:v>
      </x:c>
      <x:c r="G176" t="str">
        <x:v>percent</x:v>
      </x:c>
      <x:c r="H176" t="str">
        <x:v>Coin</x:v>
      </x:c>
      <x:c r="I176" t="n">
        <x:f>ROUND('밸런스 조정'!$E$6+'밸런스 조정'!$F$6*(D176-1),0)</x:f>
        <x:v>408</x:v>
      </x:c>
      <x:c r="J176" t="str">
        <x:v>미사일 지속 시간 증가</x:v>
      </x:c>
    </x:row>
    <x:row r="177">
      <x:c r="B177" t="n">
        <x:v>4</x:v>
      </x:c>
      <x:c r="C177" t="str">
        <x:v>PROJECTILE_SPEED</x:v>
      </x:c>
      <x:c r="D177" t="n">
        <x:v>25</x:v>
      </x:c>
      <x:c r="E177" t="str">
        <x:v>미사일 지속 시간</x:v>
      </x:c>
      <x:c r="F177" t="n">
        <x:f>'밸런스 조정'!$C$6+'밸런스 조정'!$D$6*D177</x:f>
        <x:v>100</x:v>
      </x:c>
      <x:c r="G177" t="str">
        <x:v>percent</x:v>
      </x:c>
      <x:c r="H177" t="str">
        <x:v>Coin</x:v>
      </x:c>
      <x:c r="I177" t="n">
        <x:f>ROUND('밸런스 조정'!$E$6+'밸런스 조정'!$F$6*(D177-1),0)</x:f>
        <x:v>424</x:v>
      </x:c>
      <x:c r="J177" t="str">
        <x:v>미사일 지속 시간 증가</x:v>
      </x:c>
    </x:row>
    <x:row r="178">
      <x:c r="B178" t="n">
        <x:v>4</x:v>
      </x:c>
      <x:c r="C178" t="str">
        <x:v>PROJECTILE_SPEED</x:v>
      </x:c>
      <x:c r="D178" t="n">
        <x:v>26</x:v>
      </x:c>
      <x:c r="E178" t="str">
        <x:v>미사일 지속 시간</x:v>
      </x:c>
      <x:c r="F178" t="n">
        <x:f>'밸런스 조정'!$C$6+'밸런스 조정'!$D$6*D178</x:f>
        <x:v>104</x:v>
      </x:c>
      <x:c r="G178" t="str">
        <x:v>percent</x:v>
      </x:c>
      <x:c r="H178" t="str">
        <x:v>Coin</x:v>
      </x:c>
      <x:c r="I178" t="n">
        <x:f>ROUND('밸런스 조정'!$E$6+'밸런스 조정'!$F$6*(D178-1),0)</x:f>
        <x:v>440</x:v>
      </x:c>
      <x:c r="J178" t="str">
        <x:v>미사일 지속 시간 증가</x:v>
      </x:c>
    </x:row>
    <x:row r="179">
      <x:c r="B179" t="n">
        <x:v>4</x:v>
      </x:c>
      <x:c r="C179" t="str">
        <x:v>PROJECTILE_SPEED</x:v>
      </x:c>
      <x:c r="D179" t="n">
        <x:v>27</x:v>
      </x:c>
      <x:c r="E179" t="str">
        <x:v>미사일 지속 시간</x:v>
      </x:c>
      <x:c r="F179" t="n">
        <x:f>'밸런스 조정'!$C$6+'밸런스 조정'!$D$6*D179</x:f>
        <x:v>108</x:v>
      </x:c>
      <x:c r="G179" t="str">
        <x:v>percent</x:v>
      </x:c>
      <x:c r="H179" t="str">
        <x:v>Coin</x:v>
      </x:c>
      <x:c r="I179" t="n">
        <x:f>ROUND('밸런스 조정'!$E$6+'밸런스 조정'!$F$6*(D179-1),0)</x:f>
        <x:v>456</x:v>
      </x:c>
      <x:c r="J179" t="str">
        <x:v>미사일 지속 시간 증가</x:v>
      </x:c>
    </x:row>
    <x:row r="180">
      <x:c r="B180" t="n">
        <x:v>4</x:v>
      </x:c>
      <x:c r="C180" t="str">
        <x:v>PROJECTILE_SPEED</x:v>
      </x:c>
      <x:c r="D180" t="n">
        <x:v>28</x:v>
      </x:c>
      <x:c r="E180" t="str">
        <x:v>미사일 지속 시간</x:v>
      </x:c>
      <x:c r="F180" t="n">
        <x:f>'밸런스 조정'!$C$6+'밸런스 조정'!$D$6*D180</x:f>
        <x:v>112</x:v>
      </x:c>
      <x:c r="G180" t="str">
        <x:v>percent</x:v>
      </x:c>
      <x:c r="H180" t="str">
        <x:v>Coin</x:v>
      </x:c>
      <x:c r="I180" t="n">
        <x:f>ROUND('밸런스 조정'!$E$6+'밸런스 조정'!$F$6*(D180-1),0)</x:f>
        <x:v>472</x:v>
      </x:c>
      <x:c r="J180" t="str">
        <x:v>미사일 지속 시간 증가</x:v>
      </x:c>
    </x:row>
    <x:row r="181">
      <x:c r="B181" t="n">
        <x:v>4</x:v>
      </x:c>
      <x:c r="C181" t="str">
        <x:v>PROJECTILE_SPEED</x:v>
      </x:c>
      <x:c r="D181" t="n">
        <x:v>29</x:v>
      </x:c>
      <x:c r="E181" t="str">
        <x:v>미사일 지속 시간</x:v>
      </x:c>
      <x:c r="F181" t="n">
        <x:f>'밸런스 조정'!$C$6+'밸런스 조정'!$D$6*D181</x:f>
        <x:v>116</x:v>
      </x:c>
      <x:c r="G181" t="str">
        <x:v>percent</x:v>
      </x:c>
      <x:c r="H181" t="str">
        <x:v>Coin</x:v>
      </x:c>
      <x:c r="I181" t="n">
        <x:f>ROUND('밸런스 조정'!$E$6+'밸런스 조정'!$F$6*(D181-1),0)</x:f>
        <x:v>488</x:v>
      </x:c>
      <x:c r="J181" t="str">
        <x:v>미사일 지속 시간 증가</x:v>
      </x:c>
    </x:row>
    <x:row r="182">
      <x:c r="B182" t="n">
        <x:v>4</x:v>
      </x:c>
      <x:c r="C182" t="str">
        <x:v>PROJECTILE_SPEED</x:v>
      </x:c>
      <x:c r="D182" t="n">
        <x:v>30</x:v>
      </x:c>
      <x:c r="E182" t="str">
        <x:v>미사일 지속 시간</x:v>
      </x:c>
      <x:c r="F182" t="n">
        <x:f>'밸런스 조정'!$C$6+'밸런스 조정'!$D$6*D182</x:f>
        <x:v>120</x:v>
      </x:c>
      <x:c r="G182" t="str">
        <x:v>percent</x:v>
      </x:c>
      <x:c r="H182" t="str">
        <x:v>Coin</x:v>
      </x:c>
      <x:c r="I182" t="n">
        <x:f>ROUND('밸런스 조정'!$E$6+'밸런스 조정'!$F$6*(D182-1),0)</x:f>
        <x:v>504</x:v>
      </x:c>
      <x:c r="J182" t="str">
        <x:v>미사일 지속 시간 증가</x:v>
      </x:c>
    </x:row>
    <x:row r="183">
      <x:c r="B183" t="n">
        <x:v>5</x:v>
      </x:c>
      <x:c r="C183" t="str">
        <x:v>BOSS_DAMAGE</x:v>
      </x:c>
      <x:c r="D183" t="n">
        <x:v>1</x:v>
      </x:c>
      <x:c r="E183" t="str">
        <x:v>보스 데미지</x:v>
      </x:c>
      <x:c r="F183" s="33" t="n">
        <x:f>'밸런스 조정'!$C$7+'밸런스 조정'!$D$7*D183</x:f>
        <x:v>8</x:v>
      </x:c>
      <x:c r="G183" t="str">
        <x:v>percent</x:v>
      </x:c>
      <x:c r="H183" t="str">
        <x:v>Coin</x:v>
      </x:c>
      <x:c r="I183" t="n">
        <x:f>ROUND('밸런스 조정'!$E$7+'밸런스 조정'!$F$7*(D183-1),0)</x:f>
        <x:v>60</x:v>
      </x:c>
      <x:c r="J183" t="str">
        <x:v>보스에게 주는 피해 증가</x:v>
      </x:c>
    </x:row>
    <x:row r="184">
      <x:c r="B184" t="n">
        <x:v>5</x:v>
      </x:c>
      <x:c r="C184" t="str">
        <x:v>BOSS_DAMAGE</x:v>
      </x:c>
      <x:c r="D184" t="n">
        <x:v>2</x:v>
      </x:c>
      <x:c r="E184" s="1" t="str">
        <x:v>보스 데미지</x:v>
      </x:c>
      <x:c r="F184" s="33" t="n">
        <x:f>'밸런스 조정'!$C$7+'밸런스 조정'!$D$7*D184</x:f>
        <x:v>16</x:v>
      </x:c>
      <x:c r="G184" t="str">
        <x:v>percent</x:v>
      </x:c>
      <x:c r="H184" t="str">
        <x:v>Coin</x:v>
      </x:c>
      <x:c r="I184" t="n">
        <x:f>ROUND('밸런스 조정'!$E$7+'밸런스 조정'!$F$7*(D184-1),0)</x:f>
        <x:v>85</x:v>
      </x:c>
      <x:c r="J184" t="str">
        <x:v>보스에게 주는 피해 증가</x:v>
      </x:c>
    </x:row>
    <x:row r="185">
      <x:c r="B185" t="n">
        <x:v>5</x:v>
      </x:c>
      <x:c r="C185" t="str">
        <x:v>BOSS_DAMAGE</x:v>
      </x:c>
      <x:c r="D185" t="n">
        <x:v>3</x:v>
      </x:c>
      <x:c r="E185" s="1" t="str">
        <x:v>보스 데미지</x:v>
      </x:c>
      <x:c r="F185" s="33" t="n">
        <x:f>'밸런스 조정'!$C$7+'밸런스 조정'!$D$7*D185</x:f>
        <x:v>24</x:v>
      </x:c>
      <x:c r="G185" t="str">
        <x:v>percent</x:v>
      </x:c>
      <x:c r="H185" t="str">
        <x:v>Coin</x:v>
      </x:c>
      <x:c r="I185" t="n">
        <x:f>ROUND('밸런스 조정'!$E$7+'밸런스 조정'!$F$7*(D185-1),0)</x:f>
        <x:v>110</x:v>
      </x:c>
      <x:c r="J185" t="str">
        <x:v>보스에게 주는 피해 증가</x:v>
      </x:c>
    </x:row>
    <x:row r="186">
      <x:c r="B186" t="n">
        <x:v>5</x:v>
      </x:c>
      <x:c r="C186" t="str">
        <x:v>BOSS_DAMAGE</x:v>
      </x:c>
      <x:c r="D186" t="n">
        <x:v>4</x:v>
      </x:c>
      <x:c r="E186" s="1" t="str">
        <x:v>보스 데미지</x:v>
      </x:c>
      <x:c r="F186" s="33" t="n">
        <x:f>'밸런스 조정'!$C$7+'밸런스 조정'!$D$7*D186</x:f>
        <x:v>32</x:v>
      </x:c>
      <x:c r="G186" t="str">
        <x:v>percent</x:v>
      </x:c>
      <x:c r="H186" t="str">
        <x:v>Coin</x:v>
      </x:c>
      <x:c r="I186" t="n">
        <x:f>ROUND('밸런스 조정'!$E$7+'밸런스 조정'!$F$7*(D186-1),0)</x:f>
        <x:v>135</x:v>
      </x:c>
      <x:c r="J186" t="str">
        <x:v>보스에게 주는 피해 증가</x:v>
      </x:c>
    </x:row>
    <x:row r="187">
      <x:c r="B187" t="n">
        <x:v>5</x:v>
      </x:c>
      <x:c r="C187" t="str">
        <x:v>BOSS_DAMAGE</x:v>
      </x:c>
      <x:c r="D187" t="n">
        <x:v>5</x:v>
      </x:c>
      <x:c r="E187" s="1" t="str">
        <x:v>보스 데미지</x:v>
      </x:c>
      <x:c r="F187" s="33" t="n">
        <x:f>'밸런스 조정'!$C$7+'밸런스 조정'!$D$7*D187</x:f>
        <x:v>40</x:v>
      </x:c>
      <x:c r="G187" t="str">
        <x:v>percent</x:v>
      </x:c>
      <x:c r="H187" t="str">
        <x:v>Coin</x:v>
      </x:c>
      <x:c r="I187" t="n">
        <x:f>ROUND('밸런스 조정'!$E$7+'밸런스 조정'!$F$7*(D187-1),0)</x:f>
        <x:v>160</x:v>
      </x:c>
      <x:c r="J187" t="str">
        <x:v>보스에게 주는 피해 증가</x:v>
      </x:c>
    </x:row>
    <x:row r="188">
      <x:c r="B188" t="n">
        <x:v>5</x:v>
      </x:c>
      <x:c r="C188" t="str">
        <x:v>BOSS_DAMAGE</x:v>
      </x:c>
      <x:c r="D188" t="n">
        <x:v>6</x:v>
      </x:c>
      <x:c r="E188" s="1" t="str">
        <x:v>보스 데미지</x:v>
      </x:c>
      <x:c r="F188" s="33" t="n">
        <x:f>'밸런스 조정'!$C$7+'밸런스 조정'!$D$7*D188</x:f>
        <x:v>48</x:v>
      </x:c>
      <x:c r="G188" t="str">
        <x:v>percent</x:v>
      </x:c>
      <x:c r="H188" t="str">
        <x:v>Coin</x:v>
      </x:c>
      <x:c r="I188" t="n">
        <x:f>ROUND('밸런스 조정'!$E$7+'밸런스 조정'!$F$7*(D188-1),0)</x:f>
        <x:v>185</x:v>
      </x:c>
      <x:c r="J188" t="str">
        <x:v>보스에게 주는 피해 증가</x:v>
      </x:c>
    </x:row>
    <x:row r="189">
      <x:c r="B189" t="n">
        <x:v>5</x:v>
      </x:c>
      <x:c r="C189" t="str">
        <x:v>BOSS_DAMAGE</x:v>
      </x:c>
      <x:c r="D189" t="n">
        <x:v>7</x:v>
      </x:c>
      <x:c r="E189" s="1" t="str">
        <x:v>보스 데미지</x:v>
      </x:c>
      <x:c r="F189" s="33" t="n">
        <x:f>'밸런스 조정'!$C$7+'밸런스 조정'!$D$7*D189</x:f>
        <x:v>56</x:v>
      </x:c>
      <x:c r="G189" t="str">
        <x:v>percent</x:v>
      </x:c>
      <x:c r="H189" t="str">
        <x:v>Coin</x:v>
      </x:c>
      <x:c r="I189" t="n">
        <x:f>ROUND('밸런스 조정'!$E$7+'밸런스 조정'!$F$7*(D189-1),0)</x:f>
        <x:v>210</x:v>
      </x:c>
      <x:c r="J189" t="str">
        <x:v>보스에게 주는 피해 증가</x:v>
      </x:c>
    </x:row>
    <x:row r="190">
      <x:c r="B190" t="n">
        <x:v>5</x:v>
      </x:c>
      <x:c r="C190" t="str">
        <x:v>BOSS_DAMAGE</x:v>
      </x:c>
      <x:c r="D190" t="n">
        <x:v>8</x:v>
      </x:c>
      <x:c r="E190" s="1" t="str">
        <x:v>보스 데미지</x:v>
      </x:c>
      <x:c r="F190" s="33" t="n">
        <x:f>'밸런스 조정'!$C$7+'밸런스 조정'!$D$7*D190</x:f>
        <x:v>64</x:v>
      </x:c>
      <x:c r="G190" t="str">
        <x:v>percent</x:v>
      </x:c>
      <x:c r="H190" t="str">
        <x:v>Coin</x:v>
      </x:c>
      <x:c r="I190" t="n">
        <x:f>ROUND('밸런스 조정'!$E$7+'밸런스 조정'!$F$7*(D190-1),0)</x:f>
        <x:v>235</x:v>
      </x:c>
      <x:c r="J190" t="str">
        <x:v>보스에게 주는 피해 증가</x:v>
      </x:c>
    </x:row>
    <x:row r="191">
      <x:c r="B191" t="n">
        <x:v>5</x:v>
      </x:c>
      <x:c r="C191" t="str">
        <x:v>BOSS_DAMAGE</x:v>
      </x:c>
      <x:c r="D191" t="n">
        <x:v>9</x:v>
      </x:c>
      <x:c r="E191" s="1" t="str">
        <x:v>보스 데미지</x:v>
      </x:c>
      <x:c r="F191" s="33" t="n">
        <x:f>'밸런스 조정'!$C$7+'밸런스 조정'!$D$7*D191</x:f>
        <x:v>72</x:v>
      </x:c>
      <x:c r="G191" t="str">
        <x:v>percent</x:v>
      </x:c>
      <x:c r="H191" t="str">
        <x:v>Coin</x:v>
      </x:c>
      <x:c r="I191" t="n">
        <x:f>ROUND('밸런스 조정'!$E$7+'밸런스 조정'!$F$7*(D191-1),0)</x:f>
        <x:v>260</x:v>
      </x:c>
      <x:c r="J191" t="str">
        <x:v>보스에게 주는 피해 증가</x:v>
      </x:c>
    </x:row>
    <x:row r="192">
      <x:c r="B192" t="n">
        <x:v>5</x:v>
      </x:c>
      <x:c r="C192" t="str">
        <x:v>BOSS_DAMAGE</x:v>
      </x:c>
      <x:c r="D192" t="n">
        <x:v>10</x:v>
      </x:c>
      <x:c r="E192" s="1" t="str">
        <x:v>보스 데미지</x:v>
      </x:c>
      <x:c r="F192" s="33" t="n">
        <x:f>'밸런스 조정'!$C$7+'밸런스 조정'!$D$7*D192</x:f>
        <x:v>80</x:v>
      </x:c>
      <x:c r="G192" t="str">
        <x:v>percent</x:v>
      </x:c>
      <x:c r="H192" t="str">
        <x:v>Coin</x:v>
      </x:c>
      <x:c r="I192" t="n">
        <x:f>ROUND('밸런스 조정'!$E$7+'밸런스 조정'!$F$7*(D192-1),0)</x:f>
        <x:v>285</x:v>
      </x:c>
      <x:c r="J192" t="str">
        <x:v>보스에게 주는 피해 증가</x:v>
      </x:c>
    </x:row>
    <x:row r="193">
      <x:c r="B193" t="n">
        <x:v>5</x:v>
      </x:c>
      <x:c r="C193" t="str">
        <x:v>BOSS_DAMAGE</x:v>
      </x:c>
      <x:c r="D193" t="n">
        <x:v>11</x:v>
      </x:c>
      <x:c r="E193" s="1" t="str">
        <x:v>보스 데미지</x:v>
      </x:c>
      <x:c r="F193" s="33" t="n">
        <x:f>'밸런스 조정'!$C$7+'밸런스 조정'!$D$7*D193</x:f>
        <x:v>88</x:v>
      </x:c>
      <x:c r="G193" t="str">
        <x:v>percent</x:v>
      </x:c>
      <x:c r="H193" t="str">
        <x:v>Coin</x:v>
      </x:c>
      <x:c r="I193" t="n">
        <x:f>ROUND('밸런스 조정'!$E$7+'밸런스 조정'!$F$7*(D193-1),0)</x:f>
        <x:v>310</x:v>
      </x:c>
      <x:c r="J193" t="str">
        <x:v>보스에게 주는 피해 증가</x:v>
      </x:c>
    </x:row>
    <x:row r="194">
      <x:c r="B194" t="n">
        <x:v>5</x:v>
      </x:c>
      <x:c r="C194" t="str">
        <x:v>BOSS_DAMAGE</x:v>
      </x:c>
      <x:c r="D194" t="n">
        <x:v>12</x:v>
      </x:c>
      <x:c r="E194" s="1" t="str">
        <x:v>보스 데미지</x:v>
      </x:c>
      <x:c r="F194" s="33" t="n">
        <x:f>'밸런스 조정'!$C$7+'밸런스 조정'!$D$7*D194</x:f>
        <x:v>96</x:v>
      </x:c>
      <x:c r="G194" t="str">
        <x:v>percent</x:v>
      </x:c>
      <x:c r="H194" t="str">
        <x:v>Coin</x:v>
      </x:c>
      <x:c r="I194" t="n">
        <x:f>ROUND('밸런스 조정'!$E$7+'밸런스 조정'!$F$7*(D194-1),0)</x:f>
        <x:v>335</x:v>
      </x:c>
      <x:c r="J194" t="str">
        <x:v>보스에게 주는 피해 증가</x:v>
      </x:c>
    </x:row>
    <x:row r="195">
      <x:c r="B195" t="n">
        <x:v>5</x:v>
      </x:c>
      <x:c r="C195" t="str">
        <x:v>BOSS_DAMAGE</x:v>
      </x:c>
      <x:c r="D195" t="n">
        <x:v>13</x:v>
      </x:c>
      <x:c r="E195" s="1" t="str">
        <x:v>보스 데미지</x:v>
      </x:c>
      <x:c r="F195" s="33" t="n">
        <x:f>'밸런스 조정'!$C$7+'밸런스 조정'!$D$7*D195</x:f>
        <x:v>104</x:v>
      </x:c>
      <x:c r="G195" t="str">
        <x:v>percent</x:v>
      </x:c>
      <x:c r="H195" t="str">
        <x:v>Coin</x:v>
      </x:c>
      <x:c r="I195" t="n">
        <x:f>ROUND('밸런스 조정'!$E$7+'밸런스 조정'!$F$7*(D195-1),0)</x:f>
        <x:v>360</x:v>
      </x:c>
      <x:c r="J195" t="str">
        <x:v>보스에게 주는 피해 증가</x:v>
      </x:c>
    </x:row>
    <x:row r="196">
      <x:c r="B196" t="n">
        <x:v>5</x:v>
      </x:c>
      <x:c r="C196" t="str">
        <x:v>BOSS_DAMAGE</x:v>
      </x:c>
      <x:c r="D196" t="n">
        <x:v>14</x:v>
      </x:c>
      <x:c r="E196" s="1" t="str">
        <x:v>보스 데미지</x:v>
      </x:c>
      <x:c r="F196" s="33" t="n">
        <x:f>'밸런스 조정'!$C$7+'밸런스 조정'!$D$7*D196</x:f>
        <x:v>112</x:v>
      </x:c>
      <x:c r="G196" t="str">
        <x:v>percent</x:v>
      </x:c>
      <x:c r="H196" t="str">
        <x:v>Coin</x:v>
      </x:c>
      <x:c r="I196" t="n">
        <x:f>ROUND('밸런스 조정'!$E$7+'밸런스 조정'!$F$7*(D196-1),0)</x:f>
        <x:v>385</x:v>
      </x:c>
      <x:c r="J196" t="str">
        <x:v>보스에게 주는 피해 증가</x:v>
      </x:c>
    </x:row>
    <x:row r="197">
      <x:c r="B197" t="n">
        <x:v>5</x:v>
      </x:c>
      <x:c r="C197" t="str">
        <x:v>BOSS_DAMAGE</x:v>
      </x:c>
      <x:c r="D197" t="n">
        <x:v>15</x:v>
      </x:c>
      <x:c r="E197" s="1" t="str">
        <x:v>보스 데미지</x:v>
      </x:c>
      <x:c r="F197" s="33" t="n">
        <x:f>'밸런스 조정'!$C$7+'밸런스 조정'!$D$7*D197</x:f>
        <x:v>120</x:v>
      </x:c>
      <x:c r="G197" t="str">
        <x:v>percent</x:v>
      </x:c>
      <x:c r="H197" t="str">
        <x:v>Coin</x:v>
      </x:c>
      <x:c r="I197" t="n">
        <x:f>ROUND('밸런스 조정'!$E$7+'밸런스 조정'!$F$7*(D197-1),0)</x:f>
        <x:v>410</x:v>
      </x:c>
      <x:c r="J197" t="str">
        <x:v>보스에게 주는 피해 증가</x:v>
      </x:c>
    </x:row>
    <x:row r="198">
      <x:c r="B198" t="n">
        <x:v>5</x:v>
      </x:c>
      <x:c r="C198" t="str">
        <x:v>BOSS_DAMAGE</x:v>
      </x:c>
      <x:c r="D198" t="n">
        <x:v>16</x:v>
      </x:c>
      <x:c r="E198" s="1" t="str">
        <x:v>보스 데미지</x:v>
      </x:c>
      <x:c r="F198" s="33" t="n">
        <x:f>'밸런스 조정'!$C$7+'밸런스 조정'!$D$7*D198</x:f>
        <x:v>128</x:v>
      </x:c>
      <x:c r="G198" t="str">
        <x:v>percent</x:v>
      </x:c>
      <x:c r="H198" t="str">
        <x:v>Coin</x:v>
      </x:c>
      <x:c r="I198" t="n">
        <x:f>ROUND('밸런스 조정'!$E$7+'밸런스 조정'!$F$7*(D198-1),0)</x:f>
        <x:v>435</x:v>
      </x:c>
      <x:c r="J198" t="str">
        <x:v>보스에게 주는 피해 증가</x:v>
      </x:c>
    </x:row>
    <x:row r="199">
      <x:c r="B199" t="n">
        <x:v>5</x:v>
      </x:c>
      <x:c r="C199" t="str">
        <x:v>BOSS_DAMAGE</x:v>
      </x:c>
      <x:c r="D199" t="n">
        <x:v>17</x:v>
      </x:c>
      <x:c r="E199" s="1" t="str">
        <x:v>보스 데미지</x:v>
      </x:c>
      <x:c r="F199" s="33" t="n">
        <x:f>'밸런스 조정'!$C$7+'밸런스 조정'!$D$7*D199</x:f>
        <x:v>136</x:v>
      </x:c>
      <x:c r="G199" t="str">
        <x:v>percent</x:v>
      </x:c>
      <x:c r="H199" t="str">
        <x:v>Coin</x:v>
      </x:c>
      <x:c r="I199" t="n">
        <x:f>ROUND('밸런스 조정'!$E$7+'밸런스 조정'!$F$7*(D199-1),0)</x:f>
        <x:v>460</x:v>
      </x:c>
      <x:c r="J199" t="str">
        <x:v>보스에게 주는 피해 증가</x:v>
      </x:c>
    </x:row>
    <x:row r="200">
      <x:c r="B200" t="n">
        <x:v>5</x:v>
      </x:c>
      <x:c r="C200" t="str">
        <x:v>BOSS_DAMAGE</x:v>
      </x:c>
      <x:c r="D200" t="n">
        <x:v>18</x:v>
      </x:c>
      <x:c r="E200" s="1" t="str">
        <x:v>보스 데미지</x:v>
      </x:c>
      <x:c r="F200" s="33" t="n">
        <x:f>'밸런스 조정'!$C$7+'밸런스 조정'!$D$7*D200</x:f>
        <x:v>144</x:v>
      </x:c>
      <x:c r="G200" t="str">
        <x:v>percent</x:v>
      </x:c>
      <x:c r="H200" t="str">
        <x:v>Coin</x:v>
      </x:c>
      <x:c r="I200" t="n">
        <x:f>ROUND('밸런스 조정'!$E$7+'밸런스 조정'!$F$7*(D200-1),0)</x:f>
        <x:v>485</x:v>
      </x:c>
      <x:c r="J200" t="str">
        <x:v>보스에게 주는 피해 증가</x:v>
      </x:c>
    </x:row>
    <x:row r="201">
      <x:c r="B201" t="n">
        <x:v>5</x:v>
      </x:c>
      <x:c r="C201" t="str">
        <x:v>BOSS_DAMAGE</x:v>
      </x:c>
      <x:c r="D201" t="n">
        <x:v>19</x:v>
      </x:c>
      <x:c r="E201" s="1" t="str">
        <x:v>보스 데미지</x:v>
      </x:c>
      <x:c r="F201" s="33" t="n">
        <x:f>'밸런스 조정'!$C$7+'밸런스 조정'!$D$7*D201</x:f>
        <x:v>152</x:v>
      </x:c>
      <x:c r="G201" t="str">
        <x:v>percent</x:v>
      </x:c>
      <x:c r="H201" t="str">
        <x:v>Coin</x:v>
      </x:c>
      <x:c r="I201" t="n">
        <x:f>ROUND('밸런스 조정'!$E$7+'밸런스 조정'!$F$7*(D201-1),0)</x:f>
        <x:v>510</x:v>
      </x:c>
      <x:c r="J201" t="str">
        <x:v>보스에게 주는 피해 증가</x:v>
      </x:c>
    </x:row>
    <x:row r="202">
      <x:c r="B202" t="n">
        <x:v>5</x:v>
      </x:c>
      <x:c r="C202" t="str">
        <x:v>BOSS_DAMAGE</x:v>
      </x:c>
      <x:c r="D202" t="n">
        <x:v>20</x:v>
      </x:c>
      <x:c r="E202" s="1" t="str">
        <x:v>보스 데미지</x:v>
      </x:c>
      <x:c r="F202" s="33" t="n">
        <x:f>'밸런스 조정'!$C$7+'밸런스 조정'!$D$7*D202</x:f>
        <x:v>160</x:v>
      </x:c>
      <x:c r="G202" t="str">
        <x:v>percent</x:v>
      </x:c>
      <x:c r="H202" t="str">
        <x:v>Coin</x:v>
      </x:c>
      <x:c r="I202" t="n">
        <x:f>ROUND('밸런스 조정'!$E$7+'밸런스 조정'!$F$7*(D202-1),0)</x:f>
        <x:v>535</x:v>
      </x:c>
      <x:c r="J202" t="str">
        <x:v>보스에게 주는 피해 증가</x:v>
      </x:c>
    </x:row>
    <x:row r="203">
      <x:c r="B203" t="n">
        <x:v>5</x:v>
      </x:c>
      <x:c r="C203" t="str">
        <x:v>BOSS_DAMAGE</x:v>
      </x:c>
      <x:c r="D203" t="n">
        <x:v>21</x:v>
      </x:c>
      <x:c r="E203" t="str">
        <x:v>보스 데미지</x:v>
      </x:c>
      <x:c r="F203" t="n">
        <x:f>'밸런스 조정'!$C$7+'밸런스 조정'!$D$7*D203</x:f>
        <x:v>168</x:v>
      </x:c>
      <x:c r="G203" t="str">
        <x:v>percent</x:v>
      </x:c>
      <x:c r="H203" t="str">
        <x:v>Coin</x:v>
      </x:c>
      <x:c r="I203" t="n">
        <x:f>ROUND('밸런스 조정'!$E$7+'밸런스 조정'!$F$7*(D203-1),0)</x:f>
        <x:v>560</x:v>
      </x:c>
      <x:c r="J203" t="str">
        <x:v>보스에게 주는 피해 증가</x:v>
      </x:c>
    </x:row>
    <x:row r="204">
      <x:c r="B204" t="n">
        <x:v>5</x:v>
      </x:c>
      <x:c r="C204" t="str">
        <x:v>BOSS_DAMAGE</x:v>
      </x:c>
      <x:c r="D204" t="n">
        <x:v>22</x:v>
      </x:c>
      <x:c r="E204" t="str">
        <x:v>보스 데미지</x:v>
      </x:c>
      <x:c r="F204" t="n">
        <x:f>'밸런스 조정'!$C$7+'밸런스 조정'!$D$7*D204</x:f>
        <x:v>176</x:v>
      </x:c>
      <x:c r="G204" t="str">
        <x:v>percent</x:v>
      </x:c>
      <x:c r="H204" t="str">
        <x:v>Coin</x:v>
      </x:c>
      <x:c r="I204" t="n">
        <x:f>ROUND('밸런스 조정'!$E$7+'밸런스 조정'!$F$7*(D204-1),0)</x:f>
        <x:v>585</x:v>
      </x:c>
      <x:c r="J204" t="str">
        <x:v>보스에게 주는 피해 증가</x:v>
      </x:c>
    </x:row>
    <x:row r="205">
      <x:c r="B205" t="n">
        <x:v>5</x:v>
      </x:c>
      <x:c r="C205" t="str">
        <x:v>BOSS_DAMAGE</x:v>
      </x:c>
      <x:c r="D205" t="n">
        <x:v>23</x:v>
      </x:c>
      <x:c r="E205" t="str">
        <x:v>보스 데미지</x:v>
      </x:c>
      <x:c r="F205" t="n">
        <x:f>'밸런스 조정'!$C$7+'밸런스 조정'!$D$7*D205</x:f>
        <x:v>184</x:v>
      </x:c>
      <x:c r="G205" t="str">
        <x:v>percent</x:v>
      </x:c>
      <x:c r="H205" t="str">
        <x:v>Coin</x:v>
      </x:c>
      <x:c r="I205" t="n">
        <x:f>ROUND('밸런스 조정'!$E$7+'밸런스 조정'!$F$7*(D205-1),0)</x:f>
        <x:v>610</x:v>
      </x:c>
      <x:c r="J205" t="str">
        <x:v>보스에게 주는 피해 증가</x:v>
      </x:c>
    </x:row>
    <x:row r="206">
      <x:c r="B206" t="n">
        <x:v>5</x:v>
      </x:c>
      <x:c r="C206" t="str">
        <x:v>BOSS_DAMAGE</x:v>
      </x:c>
      <x:c r="D206" t="n">
        <x:v>24</x:v>
      </x:c>
      <x:c r="E206" t="str">
        <x:v>보스 데미지</x:v>
      </x:c>
      <x:c r="F206" t="n">
        <x:f>'밸런스 조정'!$C$7+'밸런스 조정'!$D$7*D206</x:f>
        <x:v>192</x:v>
      </x:c>
      <x:c r="G206" t="str">
        <x:v>percent</x:v>
      </x:c>
      <x:c r="H206" t="str">
        <x:v>Coin</x:v>
      </x:c>
      <x:c r="I206" t="n">
        <x:f>ROUND('밸런스 조정'!$E$7+'밸런스 조정'!$F$7*(D206-1),0)</x:f>
        <x:v>635</x:v>
      </x:c>
      <x:c r="J206" t="str">
        <x:v>보스에게 주는 피해 증가</x:v>
      </x:c>
    </x:row>
    <x:row r="207">
      <x:c r="B207" t="n">
        <x:v>5</x:v>
      </x:c>
      <x:c r="C207" t="str">
        <x:v>BOSS_DAMAGE</x:v>
      </x:c>
      <x:c r="D207" t="n">
        <x:v>25</x:v>
      </x:c>
      <x:c r="E207" t="str">
        <x:v>보스 데미지</x:v>
      </x:c>
      <x:c r="F207" t="n">
        <x:f>'밸런스 조정'!$C$7+'밸런스 조정'!$D$7*D207</x:f>
        <x:v>200</x:v>
      </x:c>
      <x:c r="G207" t="str">
        <x:v>percent</x:v>
      </x:c>
      <x:c r="H207" t="str">
        <x:v>Coin</x:v>
      </x:c>
      <x:c r="I207" t="n">
        <x:f>ROUND('밸런스 조정'!$E$7+'밸런스 조정'!$F$7*(D207-1),0)</x:f>
        <x:v>660</x:v>
      </x:c>
      <x:c r="J207" t="str">
        <x:v>보스에게 주는 피해 증가</x:v>
      </x:c>
    </x:row>
    <x:row r="208">
      <x:c r="B208" t="n">
        <x:v>5</x:v>
      </x:c>
      <x:c r="C208" t="str">
        <x:v>BOSS_DAMAGE</x:v>
      </x:c>
      <x:c r="D208" t="n">
        <x:v>26</x:v>
      </x:c>
      <x:c r="E208" t="str">
        <x:v>보스 데미지</x:v>
      </x:c>
      <x:c r="F208" t="n">
        <x:f>'밸런스 조정'!$C$7+'밸런스 조정'!$D$7*D208</x:f>
        <x:v>208</x:v>
      </x:c>
      <x:c r="G208" t="str">
        <x:v>percent</x:v>
      </x:c>
      <x:c r="H208" t="str">
        <x:v>Coin</x:v>
      </x:c>
      <x:c r="I208" t="n">
        <x:f>ROUND('밸런스 조정'!$E$7+'밸런스 조정'!$F$7*(D208-1),0)</x:f>
        <x:v>685</x:v>
      </x:c>
      <x:c r="J208" t="str">
        <x:v>보스에게 주는 피해 증가</x:v>
      </x:c>
    </x:row>
    <x:row r="209">
      <x:c r="B209" t="n">
        <x:v>5</x:v>
      </x:c>
      <x:c r="C209" t="str">
        <x:v>BOSS_DAMAGE</x:v>
      </x:c>
      <x:c r="D209" t="n">
        <x:v>27</x:v>
      </x:c>
      <x:c r="E209" t="str">
        <x:v>보스 데미지</x:v>
      </x:c>
      <x:c r="F209" t="n">
        <x:f>'밸런스 조정'!$C$7+'밸런스 조정'!$D$7*D209</x:f>
        <x:v>216</x:v>
      </x:c>
      <x:c r="G209" t="str">
        <x:v>percent</x:v>
      </x:c>
      <x:c r="H209" t="str">
        <x:v>Coin</x:v>
      </x:c>
      <x:c r="I209" t="n">
        <x:f>ROUND('밸런스 조정'!$E$7+'밸런스 조정'!$F$7*(D209-1),0)</x:f>
        <x:v>710</x:v>
      </x:c>
      <x:c r="J209" t="str">
        <x:v>보스에게 주는 피해 증가</x:v>
      </x:c>
    </x:row>
    <x:row r="210">
      <x:c r="B210" t="n">
        <x:v>5</x:v>
      </x:c>
      <x:c r="C210" t="str">
        <x:v>BOSS_DAMAGE</x:v>
      </x:c>
      <x:c r="D210" t="n">
        <x:v>28</x:v>
      </x:c>
      <x:c r="E210" t="str">
        <x:v>보스 데미지</x:v>
      </x:c>
      <x:c r="F210" t="n">
        <x:f>'밸런스 조정'!$C$7+'밸런스 조정'!$D$7*D210</x:f>
        <x:v>224</x:v>
      </x:c>
      <x:c r="G210" t="str">
        <x:v>percent</x:v>
      </x:c>
      <x:c r="H210" t="str">
        <x:v>Coin</x:v>
      </x:c>
      <x:c r="I210" t="n">
        <x:f>ROUND('밸런스 조정'!$E$7+'밸런스 조정'!$F$7*(D210-1),0)</x:f>
        <x:v>735</x:v>
      </x:c>
      <x:c r="J210" t="str">
        <x:v>보스에게 주는 피해 증가</x:v>
      </x:c>
    </x:row>
    <x:row r="211">
      <x:c r="B211" t="n">
        <x:v>5</x:v>
      </x:c>
      <x:c r="C211" t="str">
        <x:v>BOSS_DAMAGE</x:v>
      </x:c>
      <x:c r="D211" t="n">
        <x:v>29</x:v>
      </x:c>
      <x:c r="E211" t="str">
        <x:v>보스 데미지</x:v>
      </x:c>
      <x:c r="F211" t="n">
        <x:f>'밸런스 조정'!$C$7+'밸런스 조정'!$D$7*D211</x:f>
        <x:v>232</x:v>
      </x:c>
      <x:c r="G211" t="str">
        <x:v>percent</x:v>
      </x:c>
      <x:c r="H211" t="str">
        <x:v>Coin</x:v>
      </x:c>
      <x:c r="I211" t="n">
        <x:f>ROUND('밸런스 조정'!$E$7+'밸런스 조정'!$F$7*(D211-1),0)</x:f>
        <x:v>760</x:v>
      </x:c>
      <x:c r="J211" t="str">
        <x:v>보스에게 주는 피해 증가</x:v>
      </x:c>
    </x:row>
    <x:row r="212">
      <x:c r="B212" t="n">
        <x:v>5</x:v>
      </x:c>
      <x:c r="C212" t="str">
        <x:v>BOSS_DAMAGE</x:v>
      </x:c>
      <x:c r="D212" t="n">
        <x:v>30</x:v>
      </x:c>
      <x:c r="E212" t="str">
        <x:v>보스 데미지</x:v>
      </x:c>
      <x:c r="F212" t="n">
        <x:f>'밸런스 조정'!$C$7+'밸런스 조정'!$D$7*D212</x:f>
        <x:v>240</x:v>
      </x:c>
      <x:c r="G212" t="str">
        <x:v>percent</x:v>
      </x:c>
      <x:c r="H212" t="str">
        <x:v>Coin</x:v>
      </x:c>
      <x:c r="I212" t="n">
        <x:f>ROUND('밸런스 조정'!$E$7+'밸런스 조정'!$F$7*(D212-1),0)</x:f>
        <x:v>785</x:v>
      </x:c>
      <x:c r="J212" t="str">
        <x:v>보스에게 주는 피해 증가</x:v>
      </x:c>
    </x:row>
    <x:row r="213">
      <x:c r="B213" t="n">
        <x:v>6</x:v>
      </x:c>
      <x:c r="C213" t="str">
        <x:v>COIN_BONUS</x:v>
      </x:c>
      <x:c r="D213" t="n">
        <x:v>1</x:v>
      </x:c>
      <x:c r="E213" t="str">
        <x:v>코인 보너스</x:v>
      </x:c>
      <x:c r="F213" t="n">
        <x:f>'밸런스 조정'!$C$8+'밸런스 조정'!$D$8*D213</x:f>
        <x:v>8</x:v>
      </x:c>
      <x:c r="G213" t="str">
        <x:v>percent</x:v>
      </x:c>
      <x:c r="H213" t="str">
        <x:v>Coin</x:v>
      </x:c>
      <x:c r="I213" t="n">
        <x:f>ROUND('밸런스 조정'!$E$8+'밸런스 조정'!$F$8*(D213-1),0)</x:f>
        <x:v>70</x:v>
      </x:c>
      <x:c r="J213" t="str">
        <x:v>획득 코인 증가</x:v>
      </x:c>
    </x:row>
    <x:row r="214">
      <x:c r="B214" t="n">
        <x:v>6</x:v>
      </x:c>
      <x:c r="C214" t="str">
        <x:v>COIN_BONUS</x:v>
      </x:c>
      <x:c r="D214" t="n">
        <x:v>2</x:v>
      </x:c>
      <x:c r="E214" t="str">
        <x:v>코인 보너스</x:v>
      </x:c>
      <x:c r="F214" t="n">
        <x:f>'밸런스 조정'!$C$8+'밸런스 조정'!$D$8*D214</x:f>
        <x:v>16</x:v>
      </x:c>
      <x:c r="G214" t="str">
        <x:v>percent</x:v>
      </x:c>
      <x:c r="H214" t="str">
        <x:v>Coin</x:v>
      </x:c>
      <x:c r="I214" t="n">
        <x:f>ROUND('밸런스 조정'!$E$8+'밸런스 조정'!$F$8*(D214-1),0)</x:f>
        <x:v>105</x:v>
      </x:c>
      <x:c r="J214" t="str">
        <x:v>획득 코인 증가</x:v>
      </x:c>
    </x:row>
    <x:row r="215">
      <x:c r="B215" t="n">
        <x:v>6</x:v>
      </x:c>
      <x:c r="C215" t="str">
        <x:v>COIN_BONUS</x:v>
      </x:c>
      <x:c r="D215" t="n">
        <x:v>3</x:v>
      </x:c>
      <x:c r="E215" t="str">
        <x:v>코인 보너스</x:v>
      </x:c>
      <x:c r="F215" t="n">
        <x:f>'밸런스 조정'!$C$8+'밸런스 조정'!$D$8*D215</x:f>
        <x:v>24</x:v>
      </x:c>
      <x:c r="G215" t="str">
        <x:v>percent</x:v>
      </x:c>
      <x:c r="H215" t="str">
        <x:v>Coin</x:v>
      </x:c>
      <x:c r="I215" t="n">
        <x:f>ROUND('밸런스 조정'!$E$8+'밸런스 조정'!$F$8*(D215-1),0)</x:f>
        <x:v>140</x:v>
      </x:c>
      <x:c r="J215" t="str">
        <x:v>획득 코인 증가</x:v>
      </x:c>
    </x:row>
    <x:row r="216">
      <x:c r="B216" t="n">
        <x:v>6</x:v>
      </x:c>
      <x:c r="C216" t="str">
        <x:v>COIN_BONUS</x:v>
      </x:c>
      <x:c r="D216" t="n">
        <x:v>4</x:v>
      </x:c>
      <x:c r="E216" t="str">
        <x:v>코인 보너스</x:v>
      </x:c>
      <x:c r="F216" t="n">
        <x:f>'밸런스 조정'!$C$8+'밸런스 조정'!$D$8*D216</x:f>
        <x:v>32</x:v>
      </x:c>
      <x:c r="G216" t="str">
        <x:v>percent</x:v>
      </x:c>
      <x:c r="H216" t="str">
        <x:v>Coin</x:v>
      </x:c>
      <x:c r="I216" t="n">
        <x:f>ROUND('밸런스 조정'!$E$8+'밸런스 조정'!$F$8*(D216-1),0)</x:f>
        <x:v>175</x:v>
      </x:c>
      <x:c r="J216" t="str">
        <x:v>획득 코인 증가</x:v>
      </x:c>
    </x:row>
    <x:row r="217">
      <x:c r="B217" t="n">
        <x:v>6</x:v>
      </x:c>
      <x:c r="C217" t="str">
        <x:v>COIN_BONUS</x:v>
      </x:c>
      <x:c r="D217" t="n">
        <x:v>5</x:v>
      </x:c>
      <x:c r="E217" t="str">
        <x:v>코인 보너스</x:v>
      </x:c>
      <x:c r="F217" t="n">
        <x:f>'밸런스 조정'!$C$8+'밸런스 조정'!$D$8*D217</x:f>
        <x:v>40</x:v>
      </x:c>
      <x:c r="G217" t="str">
        <x:v>percent</x:v>
      </x:c>
      <x:c r="H217" t="str">
        <x:v>Coin</x:v>
      </x:c>
      <x:c r="I217" t="n">
        <x:f>ROUND('밸런스 조정'!$E$8+'밸런스 조정'!$F$8*(D217-1),0)</x:f>
        <x:v>210</x:v>
      </x:c>
      <x:c r="J217" t="str">
        <x:v>획득 코인 증가</x:v>
      </x:c>
    </x:row>
    <x:row r="218">
      <x:c r="B218" t="n">
        <x:v>6</x:v>
      </x:c>
      <x:c r="C218" t="str">
        <x:v>COIN_BONUS</x:v>
      </x:c>
      <x:c r="D218" t="n">
        <x:v>6</x:v>
      </x:c>
      <x:c r="E218" t="str">
        <x:v>코인 보너스</x:v>
      </x:c>
      <x:c r="F218" t="n">
        <x:f>'밸런스 조정'!$C$8+'밸런스 조정'!$D$8*D218</x:f>
        <x:v>48</x:v>
      </x:c>
      <x:c r="G218" t="str">
        <x:v>percent</x:v>
      </x:c>
      <x:c r="H218" t="str">
        <x:v>Coin</x:v>
      </x:c>
      <x:c r="I218" t="n">
        <x:f>ROUND('밸런스 조정'!$E$8+'밸런스 조정'!$F$8*(D218-1),0)</x:f>
        <x:v>245</x:v>
      </x:c>
      <x:c r="J218" t="str">
        <x:v>획득 코인 증가</x:v>
      </x:c>
    </x:row>
    <x:row r="219">
      <x:c r="B219" t="n">
        <x:v>6</x:v>
      </x:c>
      <x:c r="C219" t="str">
        <x:v>COIN_BONUS</x:v>
      </x:c>
      <x:c r="D219" t="n">
        <x:v>7</x:v>
      </x:c>
      <x:c r="E219" t="str">
        <x:v>코인 보너스</x:v>
      </x:c>
      <x:c r="F219" t="n">
        <x:f>'밸런스 조정'!$C$8+'밸런스 조정'!$D$8*D219</x:f>
        <x:v>56</x:v>
      </x:c>
      <x:c r="G219" t="str">
        <x:v>percent</x:v>
      </x:c>
      <x:c r="H219" t="str">
        <x:v>Coin</x:v>
      </x:c>
      <x:c r="I219" t="n">
        <x:f>ROUND('밸런스 조정'!$E$8+'밸런스 조정'!$F$8*(D219-1),0)</x:f>
        <x:v>280</x:v>
      </x:c>
      <x:c r="J219" t="str">
        <x:v>획득 코인 증가</x:v>
      </x:c>
    </x:row>
    <x:row r="220">
      <x:c r="B220" t="n">
        <x:v>6</x:v>
      </x:c>
      <x:c r="C220" t="str">
        <x:v>COIN_BONUS</x:v>
      </x:c>
      <x:c r="D220" t="n">
        <x:v>8</x:v>
      </x:c>
      <x:c r="E220" t="str">
        <x:v>코인 보너스</x:v>
      </x:c>
      <x:c r="F220" t="n">
        <x:f>'밸런스 조정'!$C$8+'밸런스 조정'!$D$8*D220</x:f>
        <x:v>64</x:v>
      </x:c>
      <x:c r="G220" t="str">
        <x:v>percent</x:v>
      </x:c>
      <x:c r="H220" t="str">
        <x:v>Coin</x:v>
      </x:c>
      <x:c r="I220" t="n">
        <x:f>ROUND('밸런스 조정'!$E$8+'밸런스 조정'!$F$8*(D220-1),0)</x:f>
        <x:v>315</x:v>
      </x:c>
      <x:c r="J220" t="str">
        <x:v>획득 코인 증가</x:v>
      </x:c>
    </x:row>
    <x:row r="221">
      <x:c r="B221" t="n">
        <x:v>6</x:v>
      </x:c>
      <x:c r="C221" t="str">
        <x:v>COIN_BONUS</x:v>
      </x:c>
      <x:c r="D221" t="n">
        <x:v>9</x:v>
      </x:c>
      <x:c r="E221" t="str">
        <x:v>코인 보너스</x:v>
      </x:c>
      <x:c r="F221" t="n">
        <x:f>'밸런스 조정'!$C$8+'밸런스 조정'!$D$8*D221</x:f>
        <x:v>72</x:v>
      </x:c>
      <x:c r="G221" t="str">
        <x:v>percent</x:v>
      </x:c>
      <x:c r="H221" t="str">
        <x:v>Coin</x:v>
      </x:c>
      <x:c r="I221" t="n">
        <x:f>ROUND('밸런스 조정'!$E$8+'밸런스 조정'!$F$8*(D221-1),0)</x:f>
        <x:v>350</x:v>
      </x:c>
      <x:c r="J221" t="str">
        <x:v>획득 코인 증가</x:v>
      </x:c>
    </x:row>
    <x:row r="222">
      <x:c r="B222" t="n">
        <x:v>6</x:v>
      </x:c>
      <x:c r="C222" t="str">
        <x:v>COIN_BONUS</x:v>
      </x:c>
      <x:c r="D222" t="n">
        <x:v>10</x:v>
      </x:c>
      <x:c r="E222" t="str">
        <x:v>코인 보너스</x:v>
      </x:c>
      <x:c r="F222" t="n">
        <x:f>'밸런스 조정'!$C$8+'밸런스 조정'!$D$8*D222</x:f>
        <x:v>80</x:v>
      </x:c>
      <x:c r="G222" t="str">
        <x:v>percent</x:v>
      </x:c>
      <x:c r="H222" t="str">
        <x:v>Coin</x:v>
      </x:c>
      <x:c r="I222" t="n">
        <x:f>ROUND('밸런스 조정'!$E$8+'밸런스 조정'!$F$8*(D222-1),0)</x:f>
        <x:v>385</x:v>
      </x:c>
      <x:c r="J222" t="str">
        <x:v>획득 코인 증가</x:v>
      </x:c>
    </x:row>
    <x:row r="223">
      <x:c r="B223" t="n">
        <x:v>6</x:v>
      </x:c>
      <x:c r="C223" t="str">
        <x:v>COIN_BONUS</x:v>
      </x:c>
      <x:c r="D223" t="n">
        <x:v>11</x:v>
      </x:c>
      <x:c r="E223" t="str">
        <x:v>코인 보너스</x:v>
      </x:c>
      <x:c r="F223" t="n">
        <x:f>'밸런스 조정'!$C$8+'밸런스 조정'!$D$8*D223</x:f>
        <x:v>88</x:v>
      </x:c>
      <x:c r="G223" t="str">
        <x:v>percent</x:v>
      </x:c>
      <x:c r="H223" t="str">
        <x:v>Coin</x:v>
      </x:c>
      <x:c r="I223" t="n">
        <x:f>ROUND('밸런스 조정'!$E$8+'밸런스 조정'!$F$8*(D223-1),0)</x:f>
        <x:v>420</x:v>
      </x:c>
      <x:c r="J223" t="str">
        <x:v>획득 코인 증가</x:v>
      </x:c>
    </x:row>
    <x:row r="224">
      <x:c r="B224" t="n">
        <x:v>6</x:v>
      </x:c>
      <x:c r="C224" t="str">
        <x:v>COIN_BONUS</x:v>
      </x:c>
      <x:c r="D224" t="n">
        <x:v>12</x:v>
      </x:c>
      <x:c r="E224" t="str">
        <x:v>코인 보너스</x:v>
      </x:c>
      <x:c r="F224" t="n">
        <x:f>'밸런스 조정'!$C$8+'밸런스 조정'!$D$8*D224</x:f>
        <x:v>96</x:v>
      </x:c>
      <x:c r="G224" t="str">
        <x:v>percent</x:v>
      </x:c>
      <x:c r="H224" t="str">
        <x:v>Coin</x:v>
      </x:c>
      <x:c r="I224" t="n">
        <x:f>ROUND('밸런스 조정'!$E$8+'밸런스 조정'!$F$8*(D224-1),0)</x:f>
        <x:v>455</x:v>
      </x:c>
      <x:c r="J224" t="str">
        <x:v>획득 코인 증가</x:v>
      </x:c>
    </x:row>
    <x:row r="225">
      <x:c r="B225" t="n">
        <x:v>6</x:v>
      </x:c>
      <x:c r="C225" t="str">
        <x:v>COIN_BONUS</x:v>
      </x:c>
      <x:c r="D225" t="n">
        <x:v>13</x:v>
      </x:c>
      <x:c r="E225" t="str">
        <x:v>코인 보너스</x:v>
      </x:c>
      <x:c r="F225" t="n">
        <x:f>'밸런스 조정'!$C$8+'밸런스 조정'!$D$8*D225</x:f>
        <x:v>104</x:v>
      </x:c>
      <x:c r="G225" t="str">
        <x:v>percent</x:v>
      </x:c>
      <x:c r="H225" t="str">
        <x:v>Coin</x:v>
      </x:c>
      <x:c r="I225" t="n">
        <x:f>ROUND('밸런스 조정'!$E$8+'밸런스 조정'!$F$8*(D225-1),0)</x:f>
        <x:v>490</x:v>
      </x:c>
      <x:c r="J225" t="str">
        <x:v>획득 코인 증가</x:v>
      </x:c>
    </x:row>
    <x:row r="226">
      <x:c r="B226" t="n">
        <x:v>6</x:v>
      </x:c>
      <x:c r="C226" t="str">
        <x:v>COIN_BONUS</x:v>
      </x:c>
      <x:c r="D226" t="n">
        <x:v>14</x:v>
      </x:c>
      <x:c r="E226" t="str">
        <x:v>코인 보너스</x:v>
      </x:c>
      <x:c r="F226" t="n">
        <x:f>'밸런스 조정'!$C$8+'밸런스 조정'!$D$8*D226</x:f>
        <x:v>112</x:v>
      </x:c>
      <x:c r="G226" t="str">
        <x:v>percent</x:v>
      </x:c>
      <x:c r="H226" t="str">
        <x:v>Coin</x:v>
      </x:c>
      <x:c r="I226" t="n">
        <x:f>ROUND('밸런스 조정'!$E$8+'밸런스 조정'!$F$8*(D226-1),0)</x:f>
        <x:v>525</x:v>
      </x:c>
      <x:c r="J226" t="str">
        <x:v>획득 코인 증가</x:v>
      </x:c>
    </x:row>
    <x:row r="227">
      <x:c r="B227" t="n">
        <x:v>6</x:v>
      </x:c>
      <x:c r="C227" t="str">
        <x:v>COIN_BONUS</x:v>
      </x:c>
      <x:c r="D227" t="n">
        <x:v>15</x:v>
      </x:c>
      <x:c r="E227" t="str">
        <x:v>코인 보너스</x:v>
      </x:c>
      <x:c r="F227" t="n">
        <x:f>'밸런스 조정'!$C$8+'밸런스 조정'!$D$8*D227</x:f>
        <x:v>120</x:v>
      </x:c>
      <x:c r="G227" t="str">
        <x:v>percent</x:v>
      </x:c>
      <x:c r="H227" t="str">
        <x:v>Coin</x:v>
      </x:c>
      <x:c r="I227" t="n">
        <x:f>ROUND('밸런스 조정'!$E$8+'밸런스 조정'!$F$8*(D227-1),0)</x:f>
        <x:v>560</x:v>
      </x:c>
      <x:c r="J227" t="str">
        <x:v>획득 코인 증가</x:v>
      </x:c>
    </x:row>
    <x:row r="228">
      <x:c r="B228" t="n">
        <x:v>6</x:v>
      </x:c>
      <x:c r="C228" t="str">
        <x:v>COIN_BONUS</x:v>
      </x:c>
      <x:c r="D228" t="n">
        <x:v>16</x:v>
      </x:c>
      <x:c r="E228" t="str">
        <x:v>코인 보너스</x:v>
      </x:c>
      <x:c r="F228" t="n">
        <x:f>'밸런스 조정'!$C$8+'밸런스 조정'!$D$8*D228</x:f>
        <x:v>128</x:v>
      </x:c>
      <x:c r="G228" t="str">
        <x:v>percent</x:v>
      </x:c>
      <x:c r="H228" t="str">
        <x:v>Coin</x:v>
      </x:c>
      <x:c r="I228" t="n">
        <x:f>ROUND('밸런스 조정'!$E$8+'밸런스 조정'!$F$8*(D228-1),0)</x:f>
        <x:v>595</x:v>
      </x:c>
      <x:c r="J228" t="str">
        <x:v>획득 코인 증가</x:v>
      </x:c>
    </x:row>
    <x:row r="229">
      <x:c r="B229" t="n">
        <x:v>6</x:v>
      </x:c>
      <x:c r="C229" t="str">
        <x:v>COIN_BONUS</x:v>
      </x:c>
      <x:c r="D229" t="n">
        <x:v>17</x:v>
      </x:c>
      <x:c r="E229" t="str">
        <x:v>코인 보너스</x:v>
      </x:c>
      <x:c r="F229" t="n">
        <x:f>'밸런스 조정'!$C$8+'밸런스 조정'!$D$8*D229</x:f>
        <x:v>136</x:v>
      </x:c>
      <x:c r="G229" t="str">
        <x:v>percent</x:v>
      </x:c>
      <x:c r="H229" t="str">
        <x:v>Coin</x:v>
      </x:c>
      <x:c r="I229" t="n">
        <x:f>ROUND('밸런스 조정'!$E$8+'밸런스 조정'!$F$8*(D229-1),0)</x:f>
        <x:v>630</x:v>
      </x:c>
      <x:c r="J229" t="str">
        <x:v>획득 코인 증가</x:v>
      </x:c>
    </x:row>
    <x:row r="230">
      <x:c r="B230" t="n">
        <x:v>6</x:v>
      </x:c>
      <x:c r="C230" t="str">
        <x:v>COIN_BONUS</x:v>
      </x:c>
      <x:c r="D230" t="n">
        <x:v>18</x:v>
      </x:c>
      <x:c r="E230" t="str">
        <x:v>코인 보너스</x:v>
      </x:c>
      <x:c r="F230" t="n">
        <x:f>'밸런스 조정'!$C$8+'밸런스 조정'!$D$8*D230</x:f>
        <x:v>144</x:v>
      </x:c>
      <x:c r="G230" t="str">
        <x:v>percent</x:v>
      </x:c>
      <x:c r="H230" t="str">
        <x:v>Coin</x:v>
      </x:c>
      <x:c r="I230" t="n">
        <x:f>ROUND('밸런스 조정'!$E$8+'밸런스 조정'!$F$8*(D230-1),0)</x:f>
        <x:v>665</x:v>
      </x:c>
      <x:c r="J230" t="str">
        <x:v>획득 코인 증가</x:v>
      </x:c>
    </x:row>
    <x:row r="231">
      <x:c r="B231" t="n">
        <x:v>6</x:v>
      </x:c>
      <x:c r="C231" t="str">
        <x:v>COIN_BONUS</x:v>
      </x:c>
      <x:c r="D231" t="n">
        <x:v>19</x:v>
      </x:c>
      <x:c r="E231" t="str">
        <x:v>코인 보너스</x:v>
      </x:c>
      <x:c r="F231" t="n">
        <x:f>'밸런스 조정'!$C$8+'밸런스 조정'!$D$8*D231</x:f>
        <x:v>152</x:v>
      </x:c>
      <x:c r="G231" t="str">
        <x:v>percent</x:v>
      </x:c>
      <x:c r="H231" t="str">
        <x:v>Coin</x:v>
      </x:c>
      <x:c r="I231" t="n">
        <x:f>ROUND('밸런스 조정'!$E$8+'밸런스 조정'!$F$8*(D231-1),0)</x:f>
        <x:v>700</x:v>
      </x:c>
      <x:c r="J231" t="str">
        <x:v>획득 코인 증가</x:v>
      </x:c>
    </x:row>
    <x:row r="232">
      <x:c r="B232" t="n">
        <x:v>6</x:v>
      </x:c>
      <x:c r="C232" t="str">
        <x:v>COIN_BONUS</x:v>
      </x:c>
      <x:c r="D232" t="n">
        <x:v>20</x:v>
      </x:c>
      <x:c r="E232" t="str">
        <x:v>코인 보너스</x:v>
      </x:c>
      <x:c r="F232" t="n">
        <x:f>'밸런스 조정'!$C$8+'밸런스 조정'!$D$8*D232</x:f>
        <x:v>160</x:v>
      </x:c>
      <x:c r="G232" t="str">
        <x:v>percent</x:v>
      </x:c>
      <x:c r="H232" t="str">
        <x:v>Coin</x:v>
      </x:c>
      <x:c r="I232" t="n">
        <x:f>ROUND('밸런스 조정'!$E$8+'밸런스 조정'!$F$8*(D232-1),0)</x:f>
        <x:v>735</x:v>
      </x:c>
      <x:c r="J232" t="str">
        <x:v>획득 코인 증가</x:v>
      </x:c>
    </x:row>
    <x:row r="233">
      <x:c r="B233" t="n">
        <x:v>6</x:v>
      </x:c>
      <x:c r="C233" t="str">
        <x:v>COIN_BONUS</x:v>
      </x:c>
      <x:c r="D233" t="n">
        <x:v>21</x:v>
      </x:c>
      <x:c r="E233" t="str">
        <x:v>코인 보너스</x:v>
      </x:c>
      <x:c r="F233" t="n">
        <x:f>'밸런스 조정'!$C$8+'밸런스 조정'!$D$8*D233</x:f>
        <x:v>168</x:v>
      </x:c>
      <x:c r="G233" t="str">
        <x:v>percent</x:v>
      </x:c>
      <x:c r="H233" t="str">
        <x:v>Coin</x:v>
      </x:c>
      <x:c r="I233" t="n">
        <x:f>ROUND('밸런스 조정'!$E$8+'밸런스 조정'!$F$8*(D233-1),0)</x:f>
        <x:v>770</x:v>
      </x:c>
      <x:c r="J233" t="str">
        <x:v>획득 코인 증가</x:v>
      </x:c>
    </x:row>
    <x:row r="234">
      <x:c r="B234" t="n">
        <x:v>6</x:v>
      </x:c>
      <x:c r="C234" t="str">
        <x:v>COIN_BONUS</x:v>
      </x:c>
      <x:c r="D234" t="n">
        <x:v>22</x:v>
      </x:c>
      <x:c r="E234" t="str">
        <x:v>코인 보너스</x:v>
      </x:c>
      <x:c r="F234" t="n">
        <x:f>'밸런스 조정'!$C$8+'밸런스 조정'!$D$8*D234</x:f>
        <x:v>176</x:v>
      </x:c>
      <x:c r="G234" t="str">
        <x:v>percent</x:v>
      </x:c>
      <x:c r="H234" t="str">
        <x:v>Coin</x:v>
      </x:c>
      <x:c r="I234" t="n">
        <x:f>ROUND('밸런스 조정'!$E$8+'밸런스 조정'!$F$8*(D234-1),0)</x:f>
        <x:v>805</x:v>
      </x:c>
      <x:c r="J234" t="str">
        <x:v>획득 코인 증가</x:v>
      </x:c>
    </x:row>
    <x:row r="235">
      <x:c r="B235" t="n">
        <x:v>6</x:v>
      </x:c>
      <x:c r="C235" t="str">
        <x:v>COIN_BONUS</x:v>
      </x:c>
      <x:c r="D235" t="n">
        <x:v>23</x:v>
      </x:c>
      <x:c r="E235" t="str">
        <x:v>코인 보너스</x:v>
      </x:c>
      <x:c r="F235" t="n">
        <x:f>'밸런스 조정'!$C$8+'밸런스 조정'!$D$8*D235</x:f>
        <x:v>184</x:v>
      </x:c>
      <x:c r="G235" t="str">
        <x:v>percent</x:v>
      </x:c>
      <x:c r="H235" t="str">
        <x:v>Coin</x:v>
      </x:c>
      <x:c r="I235" t="n">
        <x:f>ROUND('밸런스 조정'!$E$8+'밸런스 조정'!$F$8*(D235-1),0)</x:f>
        <x:v>840</x:v>
      </x:c>
      <x:c r="J235" t="str">
        <x:v>획득 코인 증가</x:v>
      </x:c>
    </x:row>
    <x:row r="236">
      <x:c r="B236" t="n">
        <x:v>6</x:v>
      </x:c>
      <x:c r="C236" t="str">
        <x:v>COIN_BONUS</x:v>
      </x:c>
      <x:c r="D236" t="n">
        <x:v>24</x:v>
      </x:c>
      <x:c r="E236" t="str">
        <x:v>코인 보너스</x:v>
      </x:c>
      <x:c r="F236" t="n">
        <x:f>'밸런스 조정'!$C$8+'밸런스 조정'!$D$8*D236</x:f>
        <x:v>192</x:v>
      </x:c>
      <x:c r="G236" t="str">
        <x:v>percent</x:v>
      </x:c>
      <x:c r="H236" t="str">
        <x:v>Coin</x:v>
      </x:c>
      <x:c r="I236" t="n">
        <x:f>ROUND('밸런스 조정'!$E$8+'밸런스 조정'!$F$8*(D236-1),0)</x:f>
        <x:v>875</x:v>
      </x:c>
      <x:c r="J236" t="str">
        <x:v>획득 코인 증가</x:v>
      </x:c>
    </x:row>
    <x:row r="237">
      <x:c r="B237" t="n">
        <x:v>6</x:v>
      </x:c>
      <x:c r="C237" t="str">
        <x:v>COIN_BONUS</x:v>
      </x:c>
      <x:c r="D237" t="n">
        <x:v>25</x:v>
      </x:c>
      <x:c r="E237" t="str">
        <x:v>코인 보너스</x:v>
      </x:c>
      <x:c r="F237" t="n">
        <x:f>'밸런스 조정'!$C$8+'밸런스 조정'!$D$8*D237</x:f>
        <x:v>200</x:v>
      </x:c>
      <x:c r="G237" t="str">
        <x:v>percent</x:v>
      </x:c>
      <x:c r="H237" t="str">
        <x:v>Coin</x:v>
      </x:c>
      <x:c r="I237" t="n">
        <x:f>ROUND('밸런스 조정'!$E$8+'밸런스 조정'!$F$8*(D237-1),0)</x:f>
        <x:v>910</x:v>
      </x:c>
      <x:c r="J237" t="str">
        <x:v>획득 코인 증가</x:v>
      </x:c>
    </x:row>
    <x:row r="238">
      <x:c r="B238" t="n">
        <x:v>6</x:v>
      </x:c>
      <x:c r="C238" t="str">
        <x:v>COIN_BONUS</x:v>
      </x:c>
      <x:c r="D238" t="n">
        <x:v>26</x:v>
      </x:c>
      <x:c r="E238" t="str">
        <x:v>코인 보너스</x:v>
      </x:c>
      <x:c r="F238" t="n">
        <x:f>'밸런스 조정'!$C$8+'밸런스 조정'!$D$8*D238</x:f>
        <x:v>208</x:v>
      </x:c>
      <x:c r="G238" t="str">
        <x:v>percent</x:v>
      </x:c>
      <x:c r="H238" t="str">
        <x:v>Coin</x:v>
      </x:c>
      <x:c r="I238" t="n">
        <x:f>ROUND('밸런스 조정'!$E$8+'밸런스 조정'!$F$8*(D238-1),0)</x:f>
        <x:v>945</x:v>
      </x:c>
      <x:c r="J238" t="str">
        <x:v>획득 코인 증가</x:v>
      </x:c>
    </x:row>
    <x:row r="239">
      <x:c r="B239" t="n">
        <x:v>6</x:v>
      </x:c>
      <x:c r="C239" t="str">
        <x:v>COIN_BONUS</x:v>
      </x:c>
      <x:c r="D239" t="n">
        <x:v>27</x:v>
      </x:c>
      <x:c r="E239" t="str">
        <x:v>코인 보너스</x:v>
      </x:c>
      <x:c r="F239" t="n">
        <x:f>'밸런스 조정'!$C$8+'밸런스 조정'!$D$8*D239</x:f>
        <x:v>216</x:v>
      </x:c>
      <x:c r="G239" t="str">
        <x:v>percent</x:v>
      </x:c>
      <x:c r="H239" t="str">
        <x:v>Coin</x:v>
      </x:c>
      <x:c r="I239" t="n">
        <x:f>ROUND('밸런스 조정'!$E$8+'밸런스 조정'!$F$8*(D239-1),0)</x:f>
        <x:v>980</x:v>
      </x:c>
      <x:c r="J239" t="str">
        <x:v>획득 코인 증가</x:v>
      </x:c>
    </x:row>
    <x:row r="240">
      <x:c r="B240" t="n">
        <x:v>6</x:v>
      </x:c>
      <x:c r="C240" t="str">
        <x:v>COIN_BONUS</x:v>
      </x:c>
      <x:c r="D240" t="n">
        <x:v>28</x:v>
      </x:c>
      <x:c r="E240" t="str">
        <x:v>코인 보너스</x:v>
      </x:c>
      <x:c r="F240" t="n">
        <x:f>'밸런스 조정'!$C$8+'밸런스 조정'!$D$8*D240</x:f>
        <x:v>224</x:v>
      </x:c>
      <x:c r="G240" t="str">
        <x:v>percent</x:v>
      </x:c>
      <x:c r="H240" t="str">
        <x:v>Coin</x:v>
      </x:c>
      <x:c r="I240" t="n">
        <x:f>ROUND('밸런스 조정'!$E$8+'밸런스 조정'!$F$8*(D240-1),0)</x:f>
        <x:v>1015</x:v>
      </x:c>
      <x:c r="J240" t="str">
        <x:v>획득 코인 증가</x:v>
      </x:c>
    </x:row>
    <x:row r="241">
      <x:c r="B241" t="n">
        <x:v>6</x:v>
      </x:c>
      <x:c r="C241" t="str">
        <x:v>COIN_BONUS</x:v>
      </x:c>
      <x:c r="D241" t="n">
        <x:v>29</x:v>
      </x:c>
      <x:c r="E241" t="str">
        <x:v>코인 보너스</x:v>
      </x:c>
      <x:c r="F241" t="n">
        <x:f>'밸런스 조정'!$C$8+'밸런스 조정'!$D$8*D241</x:f>
        <x:v>232</x:v>
      </x:c>
      <x:c r="G241" t="str">
        <x:v>percent</x:v>
      </x:c>
      <x:c r="H241" t="str">
        <x:v>Coin</x:v>
      </x:c>
      <x:c r="I241" t="n">
        <x:f>ROUND('밸런스 조정'!$E$8+'밸런스 조정'!$F$8*(D241-1),0)</x:f>
        <x:v>1050</x:v>
      </x:c>
      <x:c r="J241" t="str">
        <x:v>획득 코인 증가</x:v>
      </x:c>
    </x:row>
    <x:row r="242">
      <x:c r="B242" t="n">
        <x:v>6</x:v>
      </x:c>
      <x:c r="C242" t="str">
        <x:v>COIN_BONUS</x:v>
      </x:c>
      <x:c r="D242" t="n">
        <x:v>30</x:v>
      </x:c>
      <x:c r="E242" t="str">
        <x:v>코인 보너스</x:v>
      </x:c>
      <x:c r="F242" t="n">
        <x:f>'밸런스 조정'!$C$8+'밸런스 조정'!$D$8*D242</x:f>
        <x:v>240</x:v>
      </x:c>
      <x:c r="G242" t="str">
        <x:v>percent</x:v>
      </x:c>
      <x:c r="H242" t="str">
        <x:v>Coin</x:v>
      </x:c>
      <x:c r="I242" t="n">
        <x:f>ROUND('밸런스 조정'!$E$8+'밸런스 조정'!$F$8*(D242-1),0)</x:f>
        <x:v>1085</x:v>
      </x:c>
      <x:c r="J242" t="str">
        <x:v>획득 코인 증가</x:v>
      </x:c>
    </x:row>
    <x:row r="243">
      <x:c r="B243" t="n">
        <x:v>7</x:v>
      </x:c>
      <x:c r="C243" t="str">
        <x:v>HP_REGEN</x:v>
      </x:c>
      <x:c r="D243" t="n">
        <x:v>1</x:v>
      </x:c>
      <x:c r="E243" t="str">
        <x:v>체력 회복</x:v>
      </x:c>
      <x:c r="F243" t="n">
        <x:f>'밸런스 조정'!$C$9+'밸런스 조정'!$D$9*D243+'밸런스 조정'!$C$94*D243*(D243-1)</x:f>
        <x:v>0.1</x:v>
      </x:c>
      <x:c r="G243" t="str">
        <x:v>value</x:v>
      </x:c>
      <x:c r="H243" t="str">
        <x:v>Coin</x:v>
      </x:c>
      <x:c r="I243" t="n">
        <x:f>ROUND('밸런스 조정'!$E$9+'밸런스 조정'!$F$9*(D243-1),0)</x:f>
        <x:v>80</x:v>
      </x:c>
      <x:c r="J243" t="str">
        <x:v>초당 체력 회복</x:v>
      </x:c>
    </x:row>
    <x:row r="244">
      <x:c r="B244" t="n">
        <x:v>7</x:v>
      </x:c>
      <x:c r="C244" t="str">
        <x:v>HP_REGEN</x:v>
      </x:c>
      <x:c r="D244" t="n">
        <x:v>2</x:v>
      </x:c>
      <x:c r="E244" t="str">
        <x:v>체력 회복</x:v>
      </x:c>
      <x:c r="F244" t="n">
        <x:f>'밸런스 조정'!$C$9+'밸런스 조정'!$D$9*D244+'밸런스 조정'!$C$94*D244*(D244-1)</x:f>
        <x:v>0.24000000000000002</x:v>
      </x:c>
      <x:c r="G244" t="str">
        <x:v>value</x:v>
      </x:c>
      <x:c r="H244" t="str">
        <x:v>Coin</x:v>
      </x:c>
      <x:c r="I244" t="n">
        <x:f>ROUND('밸런스 조정'!$E$9+'밸런스 조정'!$F$9*(D244-1),0)</x:f>
        <x:v>115</x:v>
      </x:c>
      <x:c r="J244" t="str">
        <x:v>초당 체력 회복</x:v>
      </x:c>
    </x:row>
    <x:row r="245">
      <x:c r="B245" t="n">
        <x:v>7</x:v>
      </x:c>
      <x:c r="C245" t="str">
        <x:v>HP_REGEN</x:v>
      </x:c>
      <x:c r="D245" t="n">
        <x:v>3</x:v>
      </x:c>
      <x:c r="E245" t="str">
        <x:v>체력 회복</x:v>
      </x:c>
      <x:c r="F245" t="n">
        <x:f>'밸런스 조정'!$C$9+'밸런스 조정'!$D$9*D245+'밸런스 조정'!$C$94*D245*(D245-1)</x:f>
        <x:v>0.42000000000000004</x:v>
      </x:c>
      <x:c r="G245" t="str">
        <x:v>value</x:v>
      </x:c>
      <x:c r="H245" t="str">
        <x:v>Coin</x:v>
      </x:c>
      <x:c r="I245" t="n">
        <x:f>ROUND('밸런스 조정'!$E$9+'밸런스 조정'!$F$9*(D245-1),0)</x:f>
        <x:v>150</x:v>
      </x:c>
      <x:c r="J245" t="str">
        <x:v>초당 체력 회복</x:v>
      </x:c>
    </x:row>
    <x:row r="246">
      <x:c r="B246" t="n">
        <x:v>7</x:v>
      </x:c>
      <x:c r="C246" t="str">
        <x:v>HP_REGEN</x:v>
      </x:c>
      <x:c r="D246" t="n">
        <x:v>4</x:v>
      </x:c>
      <x:c r="E246" t="str">
        <x:v>체력 회복</x:v>
      </x:c>
      <x:c r="F246" t="n">
        <x:f>'밸런스 조정'!$C$9+'밸런스 조정'!$D$9*D246+'밸런스 조정'!$C$94*D246*(D246-1)</x:f>
        <x:v>0.64</x:v>
      </x:c>
      <x:c r="G246" t="str">
        <x:v>value</x:v>
      </x:c>
      <x:c r="H246" t="str">
        <x:v>Coin</x:v>
      </x:c>
      <x:c r="I246" t="n">
        <x:f>ROUND('밸런스 조정'!$E$9+'밸런스 조정'!$F$9*(D246-1),0)</x:f>
        <x:v>185</x:v>
      </x:c>
      <x:c r="J246" t="str">
        <x:v>초당 체력 회복</x:v>
      </x:c>
    </x:row>
    <x:row r="247">
      <x:c r="B247" t="n">
        <x:v>7</x:v>
      </x:c>
      <x:c r="C247" t="str">
        <x:v>HP_REGEN</x:v>
      </x:c>
      <x:c r="D247" t="n">
        <x:v>5</x:v>
      </x:c>
      <x:c r="E247" t="str">
        <x:v>체력 회복</x:v>
      </x:c>
      <x:c r="F247" t="n">
        <x:f>'밸런스 조정'!$C$9+'밸런스 조정'!$D$9*D247+'밸런스 조정'!$C$94*D247*(D247-1)</x:f>
        <x:v>0.9</x:v>
      </x:c>
      <x:c r="G247" t="str">
        <x:v>value</x:v>
      </x:c>
      <x:c r="H247" t="str">
        <x:v>Coin</x:v>
      </x:c>
      <x:c r="I247" t="n">
        <x:f>ROUND('밸런스 조정'!$E$9+'밸런스 조정'!$F$9*(D247-1),0)</x:f>
        <x:v>220</x:v>
      </x:c>
      <x:c r="J247" t="str">
        <x:v>초당 체력 회복</x:v>
      </x:c>
    </x:row>
    <x:row r="248">
      <x:c r="B248" t="n">
        <x:v>7</x:v>
      </x:c>
      <x:c r="C248" t="str">
        <x:v>HP_REGEN</x:v>
      </x:c>
      <x:c r="D248" t="n">
        <x:v>6</x:v>
      </x:c>
      <x:c r="E248" t="str">
        <x:v>체력 회복</x:v>
      </x:c>
      <x:c r="F248" t="n">
        <x:f>'밸런스 조정'!$C$9+'밸런스 조정'!$D$9*D248+'밸런스 조정'!$C$94*D248*(D248-1)</x:f>
        <x:v>1.2000000000000002</x:v>
      </x:c>
      <x:c r="G248" t="str">
        <x:v>value</x:v>
      </x:c>
      <x:c r="H248" t="str">
        <x:v>Coin</x:v>
      </x:c>
      <x:c r="I248" t="n">
        <x:f>ROUND('밸런스 조정'!$E$9+'밸런스 조정'!$F$9*(D248-1),0)</x:f>
        <x:v>255</x:v>
      </x:c>
      <x:c r="J248" t="str">
        <x:v>초당 체력 회복</x:v>
      </x:c>
    </x:row>
    <x:row r="249">
      <x:c r="B249" t="n">
        <x:v>7</x:v>
      </x:c>
      <x:c r="C249" t="str">
        <x:v>HP_REGEN</x:v>
      </x:c>
      <x:c r="D249" t="n">
        <x:v>7</x:v>
      </x:c>
      <x:c r="E249" t="str">
        <x:v>체력 회복</x:v>
      </x:c>
      <x:c r="F249" t="n">
        <x:f>'밸런스 조정'!$C$9+'밸런스 조정'!$D$9*D249+'밸런스 조정'!$C$94*D249*(D249-1)</x:f>
        <x:v>1.54</x:v>
      </x:c>
      <x:c r="G249" t="str">
        <x:v>value</x:v>
      </x:c>
      <x:c r="H249" t="str">
        <x:v>Coin</x:v>
      </x:c>
      <x:c r="I249" t="n">
        <x:f>ROUND('밸런스 조정'!$E$9+'밸런스 조정'!$F$9*(D249-1),0)</x:f>
        <x:v>290</x:v>
      </x:c>
      <x:c r="J249" t="str">
        <x:v>초당 체력 회복</x:v>
      </x:c>
    </x:row>
    <x:row r="250">
      <x:c r="B250" t="n">
        <x:v>7</x:v>
      </x:c>
      <x:c r="C250" t="str">
        <x:v>HP_REGEN</x:v>
      </x:c>
      <x:c r="D250" t="n">
        <x:v>8</x:v>
      </x:c>
      <x:c r="E250" t="str">
        <x:v>체력 회복</x:v>
      </x:c>
      <x:c r="F250" t="n">
        <x:f>'밸런스 조정'!$C$9+'밸런스 조정'!$D$9*D250+'밸런스 조정'!$C$94*D250*(D250-1)</x:f>
        <x:v>1.9200000000000002</x:v>
      </x:c>
      <x:c r="G250" t="str">
        <x:v>value</x:v>
      </x:c>
      <x:c r="H250" t="str">
        <x:v>Coin</x:v>
      </x:c>
      <x:c r="I250" t="n">
        <x:f>ROUND('밸런스 조정'!$E$9+'밸런스 조정'!$F$9*(D250-1),0)</x:f>
        <x:v>325</x:v>
      </x:c>
      <x:c r="J250" t="str">
        <x:v>초당 체력 회복</x:v>
      </x:c>
    </x:row>
    <x:row r="251">
      <x:c r="B251" t="n">
        <x:v>7</x:v>
      </x:c>
      <x:c r="C251" t="str">
        <x:v>HP_REGEN</x:v>
      </x:c>
      <x:c r="D251" t="n">
        <x:v>9</x:v>
      </x:c>
      <x:c r="E251" t="str">
        <x:v>체력 회복</x:v>
      </x:c>
      <x:c r="F251" t="n">
        <x:f>'밸런스 조정'!$C$9+'밸런스 조정'!$D$9*D251+'밸런스 조정'!$C$94*D251*(D251-1)</x:f>
        <x:v>2.34</x:v>
      </x:c>
      <x:c r="G251" t="str">
        <x:v>value</x:v>
      </x:c>
      <x:c r="H251" t="str">
        <x:v>Coin</x:v>
      </x:c>
      <x:c r="I251" t="n">
        <x:f>ROUND('밸런스 조정'!$E$9+'밸런스 조정'!$F$9*(D251-1),0)</x:f>
        <x:v>360</x:v>
      </x:c>
      <x:c r="J251" t="str">
        <x:v>초당 체력 회복</x:v>
      </x:c>
    </x:row>
    <x:row r="252">
      <x:c r="B252" t="n">
        <x:v>7</x:v>
      </x:c>
      <x:c r="C252" t="str">
        <x:v>HP_REGEN</x:v>
      </x:c>
      <x:c r="D252" t="n">
        <x:v>10</x:v>
      </x:c>
      <x:c r="E252" t="str">
        <x:v>체력 회복</x:v>
      </x:c>
      <x:c r="F252" t="n">
        <x:f>'밸런스 조정'!$C$9+'밸런스 조정'!$D$9*D252+'밸런스 조정'!$C$94*D252*(D252-1)</x:f>
        <x:v>2.8</x:v>
      </x:c>
      <x:c r="G252" t="str">
        <x:v>value</x:v>
      </x:c>
      <x:c r="H252" t="str">
        <x:v>Coin</x:v>
      </x:c>
      <x:c r="I252" t="n">
        <x:f>ROUND('밸런스 조정'!$E$9+'밸런스 조정'!$F$9*(D252-1),0)</x:f>
        <x:v>395</x:v>
      </x:c>
      <x:c r="J252" t="str">
        <x:v>초당 체력 회복</x:v>
      </x:c>
    </x:row>
    <x:row r="253">
      <x:c r="B253" t="n">
        <x:v>7</x:v>
      </x:c>
      <x:c r="C253" t="str">
        <x:v>HP_REGEN</x:v>
      </x:c>
      <x:c r="D253" t="n">
        <x:v>11</x:v>
      </x:c>
      <x:c r="E253" t="str">
        <x:v>체력 회복</x:v>
      </x:c>
      <x:c r="F253" t="n">
        <x:f>'밸런스 조정'!$C$9+'밸런스 조정'!$D$9*D253+'밸런스 조정'!$C$94*D253*(D253-1)</x:f>
        <x:v>3.3000000000000003</x:v>
      </x:c>
      <x:c r="G253" t="str">
        <x:v>value</x:v>
      </x:c>
      <x:c r="H253" t="str">
        <x:v>Coin</x:v>
      </x:c>
      <x:c r="I253" t="n">
        <x:f>ROUND('밸런스 조정'!$E$9+'밸런스 조정'!$F$9*(D253-1),0)</x:f>
        <x:v>430</x:v>
      </x:c>
      <x:c r="J253" t="str">
        <x:v>초당 체력 회복</x:v>
      </x:c>
    </x:row>
    <x:row r="254">
      <x:c r="B254" t="n">
        <x:v>7</x:v>
      </x:c>
      <x:c r="C254" t="str">
        <x:v>HP_REGEN</x:v>
      </x:c>
      <x:c r="D254" t="n">
        <x:v>12</x:v>
      </x:c>
      <x:c r="E254" t="str">
        <x:v>체력 회복</x:v>
      </x:c>
      <x:c r="F254" t="n">
        <x:f>'밸런스 조정'!$C$9+'밸런스 조정'!$D$9*D254+'밸런스 조정'!$C$94*D254*(D254-1)</x:f>
        <x:v>3.84</x:v>
      </x:c>
      <x:c r="G254" t="str">
        <x:v>value</x:v>
      </x:c>
      <x:c r="H254" t="str">
        <x:v>Coin</x:v>
      </x:c>
      <x:c r="I254" t="n">
        <x:f>ROUND('밸런스 조정'!$E$9+'밸런스 조정'!$F$9*(D254-1),0)</x:f>
        <x:v>465</x:v>
      </x:c>
      <x:c r="J254" t="str">
        <x:v>초당 체력 회복</x:v>
      </x:c>
    </x:row>
    <x:row r="255">
      <x:c r="B255" t="n">
        <x:v>7</x:v>
      </x:c>
      <x:c r="C255" t="str">
        <x:v>HP_REGEN</x:v>
      </x:c>
      <x:c r="D255" t="n">
        <x:v>13</x:v>
      </x:c>
      <x:c r="E255" t="str">
        <x:v>체력 회복</x:v>
      </x:c>
      <x:c r="F255" t="n">
        <x:f>'밸런스 조정'!$C$9+'밸런스 조정'!$D$9*D255+'밸런스 조정'!$C$94*D255*(D255-1)</x:f>
        <x:v>4.42</x:v>
      </x:c>
      <x:c r="G255" t="str">
        <x:v>value</x:v>
      </x:c>
      <x:c r="H255" t="str">
        <x:v>Coin</x:v>
      </x:c>
      <x:c r="I255" t="n">
        <x:f>ROUND('밸런스 조정'!$E$9+'밸런스 조정'!$F$9*(D255-1),0)</x:f>
        <x:v>500</x:v>
      </x:c>
      <x:c r="J255" t="str">
        <x:v>초당 체력 회복</x:v>
      </x:c>
    </x:row>
    <x:row r="256">
      <x:c r="B256" t="n">
        <x:v>7</x:v>
      </x:c>
      <x:c r="C256" t="str">
        <x:v>HP_REGEN</x:v>
      </x:c>
      <x:c r="D256" t="n">
        <x:v>14</x:v>
      </x:c>
      <x:c r="E256" t="str">
        <x:v>체력 회복</x:v>
      </x:c>
      <x:c r="F256" t="n">
        <x:f>'밸런스 조정'!$C$9+'밸런스 조정'!$D$9*D256+'밸런스 조정'!$C$94*D256*(D256-1)</x:f>
        <x:v>5.040000000000001</x:v>
      </x:c>
      <x:c r="G256" t="str">
        <x:v>value</x:v>
      </x:c>
      <x:c r="H256" t="str">
        <x:v>Coin</x:v>
      </x:c>
      <x:c r="I256" t="n">
        <x:f>ROUND('밸런스 조정'!$E$9+'밸런스 조정'!$F$9*(D256-1),0)</x:f>
        <x:v>535</x:v>
      </x:c>
      <x:c r="J256" t="str">
        <x:v>초당 체력 회복</x:v>
      </x:c>
    </x:row>
    <x:row r="257">
      <x:c r="B257" t="n">
        <x:v>7</x:v>
      </x:c>
      <x:c r="C257" t="str">
        <x:v>HP_REGEN</x:v>
      </x:c>
      <x:c r="D257" t="n">
        <x:v>15</x:v>
      </x:c>
      <x:c r="E257" t="str">
        <x:v>체력 회복</x:v>
      </x:c>
      <x:c r="F257" t="n">
        <x:f>'밸런스 조정'!$C$9+'밸런스 조정'!$D$9*D257+'밸런스 조정'!$C$94*D257*(D257-1)</x:f>
        <x:v>5.7</x:v>
      </x:c>
      <x:c r="G257" t="str">
        <x:v>value</x:v>
      </x:c>
      <x:c r="H257" t="str">
        <x:v>Coin</x:v>
      </x:c>
      <x:c r="I257" t="n">
        <x:f>ROUND('밸런스 조정'!$E$9+'밸런스 조정'!$F$9*(D257-1),0)</x:f>
        <x:v>570</x:v>
      </x:c>
      <x:c r="J257" t="str">
        <x:v>초당 체력 회복</x:v>
      </x:c>
    </x:row>
    <x:row r="258">
      <x:c r="B258" t="n">
        <x:v>7</x:v>
      </x:c>
      <x:c r="C258" t="str">
        <x:v>HP_REGEN</x:v>
      </x:c>
      <x:c r="D258" t="n">
        <x:v>16</x:v>
      </x:c>
      <x:c r="E258" t="str">
        <x:v>체력 회복</x:v>
      </x:c>
      <x:c r="F258" t="n">
        <x:f>'밸런스 조정'!$C$9+'밸런스 조정'!$D$9*D258+'밸런스 조정'!$C$94*D258*(D258-1)</x:f>
        <x:v>6.4</x:v>
      </x:c>
      <x:c r="G258" t="str">
        <x:v>value</x:v>
      </x:c>
      <x:c r="H258" t="str">
        <x:v>Coin</x:v>
      </x:c>
      <x:c r="I258" t="n">
        <x:f>ROUND('밸런스 조정'!$E$9+'밸런스 조정'!$F$9*(D258-1),0)</x:f>
        <x:v>605</x:v>
      </x:c>
      <x:c r="J258" t="str">
        <x:v>초당 체력 회복</x:v>
      </x:c>
    </x:row>
    <x:row r="259">
      <x:c r="B259" t="n">
        <x:v>7</x:v>
      </x:c>
      <x:c r="C259" t="str">
        <x:v>HP_REGEN</x:v>
      </x:c>
      <x:c r="D259" t="n">
        <x:v>17</x:v>
      </x:c>
      <x:c r="E259" t="str">
        <x:v>체력 회복</x:v>
      </x:c>
      <x:c r="F259" t="n">
        <x:f>'밸런스 조정'!$C$9+'밸런스 조정'!$D$9*D259+'밸런스 조정'!$C$94*D259*(D259-1)</x:f>
        <x:v>7.140000000000001</x:v>
      </x:c>
      <x:c r="G259" t="str">
        <x:v>value</x:v>
      </x:c>
      <x:c r="H259" t="str">
        <x:v>Coin</x:v>
      </x:c>
      <x:c r="I259" t="n">
        <x:f>ROUND('밸런스 조정'!$E$9+'밸런스 조정'!$F$9*(D259-1),0)</x:f>
        <x:v>640</x:v>
      </x:c>
      <x:c r="J259" t="str">
        <x:v>초당 체력 회복</x:v>
      </x:c>
    </x:row>
    <x:row r="260">
      <x:c r="B260" t="n">
        <x:v>7</x:v>
      </x:c>
      <x:c r="C260" t="str">
        <x:v>HP_REGEN</x:v>
      </x:c>
      <x:c r="D260" t="n">
        <x:v>18</x:v>
      </x:c>
      <x:c r="E260" t="str">
        <x:v>체력 회복</x:v>
      </x:c>
      <x:c r="F260" t="n">
        <x:f>'밸런스 조정'!$C$9+'밸런스 조정'!$D$9*D260+'밸런스 조정'!$C$94*D260*(D260-1)</x:f>
        <x:v>7.92</x:v>
      </x:c>
      <x:c r="G260" t="str">
        <x:v>value</x:v>
      </x:c>
      <x:c r="H260" t="str">
        <x:v>Coin</x:v>
      </x:c>
      <x:c r="I260" t="n">
        <x:f>ROUND('밸런스 조정'!$E$9+'밸런스 조정'!$F$9*(D260-1),0)</x:f>
        <x:v>675</x:v>
      </x:c>
      <x:c r="J260" t="str">
        <x:v>초당 체력 회복</x:v>
      </x:c>
    </x:row>
    <x:row r="261">
      <x:c r="B261" t="n">
        <x:v>7</x:v>
      </x:c>
      <x:c r="C261" t="str">
        <x:v>HP_REGEN</x:v>
      </x:c>
      <x:c r="D261" t="n">
        <x:v>19</x:v>
      </x:c>
      <x:c r="E261" t="str">
        <x:v>체력 회복</x:v>
      </x:c>
      <x:c r="F261" t="n">
        <x:f>'밸런스 조정'!$C$9+'밸런스 조정'!$D$9*D261+'밸런스 조정'!$C$94*D261*(D261-1)</x:f>
        <x:v>8.74</x:v>
      </x:c>
      <x:c r="G261" t="str">
        <x:v>value</x:v>
      </x:c>
      <x:c r="H261" t="str">
        <x:v>Coin</x:v>
      </x:c>
      <x:c r="I261" t="n">
        <x:f>ROUND('밸런스 조정'!$E$9+'밸런스 조정'!$F$9*(D261-1),0)</x:f>
        <x:v>710</x:v>
      </x:c>
      <x:c r="J261" t="str">
        <x:v>초당 체력 회복</x:v>
      </x:c>
    </x:row>
    <x:row r="262">
      <x:c r="B262" t="n">
        <x:v>7</x:v>
      </x:c>
      <x:c r="C262" t="str">
        <x:v>HP_REGEN</x:v>
      </x:c>
      <x:c r="D262" t="n">
        <x:v>20</x:v>
      </x:c>
      <x:c r="E262" t="str">
        <x:v>체력 회복</x:v>
      </x:c>
      <x:c r="F262" t="n">
        <x:f>'밸런스 조정'!$C$9+'밸런스 조정'!$D$9*D262+'밸런스 조정'!$C$94*D262*(D262-1)</x:f>
        <x:v>9.600000000000001</x:v>
      </x:c>
      <x:c r="G262" t="str">
        <x:v>value</x:v>
      </x:c>
      <x:c r="H262" t="str">
        <x:v>Coin</x:v>
      </x:c>
      <x:c r="I262" t="n">
        <x:f>ROUND('밸런스 조정'!$E$9+'밸런스 조정'!$F$9*(D262-1),0)</x:f>
        <x:v>745</x:v>
      </x:c>
      <x:c r="J262" t="str">
        <x:v>초당 체력 회복</x:v>
      </x:c>
    </x:row>
    <x:row r="263">
      <x:c r="B263" t="n">
        <x:v>8</x:v>
      </x:c>
      <x:c r="C263" t="str">
        <x:v>TUNGTUNGTUNG</x:v>
      </x:c>
      <x:c r="D263" t="n">
        <x:v>1</x:v>
      </x:c>
      <x:c r="E263" t="str">
        <x:v>퉁퉁퉁 사후르</x:v>
      </x:c>
      <x:c r="F263" t="n">
        <x:f>'밸런스 조정'!$C$10+'밸런스 조정'!$D$10*D263</x:f>
        <x:v>100</x:v>
      </x:c>
      <x:c r="G263" t="str">
        <x:v>percent</x:v>
      </x:c>
      <x:c r="H263" t="str">
        <x:v>Coin</x:v>
      </x:c>
      <x:c r="I263" t="n">
        <x:f>ROUND('밸런스 조정'!$E$10+'밸런스 조정'!$F$10*(D263-1),0)</x:f>
        <x:v>450</x:v>
      </x:c>
      <x:c r="J263" t="str">
        <x:v>퉁퉁퉁 한 명 · 플레이어 체력 비율</x:v>
      </x:c>
    </x:row>
    <x:row r="264">
      <x:c r="B264" t="n">
        <x:v>8</x:v>
      </x:c>
      <x:c r="C264" t="str">
        <x:v>TUNGTUNGTUNG</x:v>
      </x:c>
      <x:c r="D264" t="n">
        <x:v>2</x:v>
      </x:c>
      <x:c r="E264" t="str">
        <x:v>퉁퉁퉁 사후르</x:v>
      </x:c>
      <x:c r="F264" t="n">
        <x:f>'밸런스 조정'!$C$10+'밸런스 조정'!$D$10*D264</x:f>
        <x:v>105</x:v>
      </x:c>
      <x:c r="G264" t="str">
        <x:v>percent</x:v>
      </x:c>
      <x:c r="H264" t="str">
        <x:v>Coin</x:v>
      </x:c>
      <x:c r="I264" t="n">
        <x:f>ROUND('밸런스 조정'!$E$10+'밸런스 조정'!$F$10*(D264-1),0)</x:f>
        <x:v>570</x:v>
      </x:c>
      <x:c r="J264" t="str">
        <x:v>퉁퉁퉁 한 명 · 플레이어 체력 비율</x:v>
      </x:c>
    </x:row>
    <x:row r="265">
      <x:c r="B265" t="n">
        <x:v>8</x:v>
      </x:c>
      <x:c r="C265" t="str">
        <x:v>TUNGTUNGTUNG</x:v>
      </x:c>
      <x:c r="D265" t="n">
        <x:v>3</x:v>
      </x:c>
      <x:c r="E265" t="str">
        <x:v>퉁퉁퉁 사후르</x:v>
      </x:c>
      <x:c r="F265" t="n">
        <x:f>'밸런스 조정'!$C$10+'밸런스 조정'!$D$10*D265</x:f>
        <x:v>110</x:v>
      </x:c>
      <x:c r="G265" t="str">
        <x:v>percent</x:v>
      </x:c>
      <x:c r="H265" t="str">
        <x:v>Coin</x:v>
      </x:c>
      <x:c r="I265" t="n">
        <x:f>ROUND('밸런스 조정'!$E$10+'밸런스 조정'!$F$10*(D265-1),0)</x:f>
        <x:v>690</x:v>
      </x:c>
      <x:c r="J265" t="str">
        <x:v>퉁퉁퉁 한 명 · 플레이어 체력 비율</x:v>
      </x:c>
    </x:row>
    <x:row r="266">
      <x:c r="B266" t="n">
        <x:v>8</x:v>
      </x:c>
      <x:c r="C266" t="str">
        <x:v>TUNGTUNGTUNG</x:v>
      </x:c>
      <x:c r="D266" t="n">
        <x:v>4</x:v>
      </x:c>
      <x:c r="E266" t="str">
        <x:v>퉁퉁퉁 사후르</x:v>
      </x:c>
      <x:c r="F266" t="n">
        <x:f>'밸런스 조정'!$C$10+'밸런스 조정'!$D$10*D266</x:f>
        <x:v>115</x:v>
      </x:c>
      <x:c r="G266" t="str">
        <x:v>percent</x:v>
      </x:c>
      <x:c r="H266" t="str">
        <x:v>Coin</x:v>
      </x:c>
      <x:c r="I266" t="n">
        <x:f>ROUND('밸런스 조정'!$E$10+'밸런스 조정'!$F$10*(D266-1),0)</x:f>
        <x:v>810</x:v>
      </x:c>
      <x:c r="J266" t="str">
        <x:v>퉁퉁퉁 한 명 · 플레이어 체력 비율</x:v>
      </x:c>
    </x:row>
    <x:row r="267">
      <x:c r="B267" t="n">
        <x:v>8</x:v>
      </x:c>
      <x:c r="C267" t="str">
        <x:v>TUNGTUNGTUNG</x:v>
      </x:c>
      <x:c r="D267" t="n">
        <x:v>5</x:v>
      </x:c>
      <x:c r="E267" t="str">
        <x:v>퉁퉁퉁 사후르</x:v>
      </x:c>
      <x:c r="F267" t="n">
        <x:f>'밸런스 조정'!$C$10+'밸런스 조정'!$D$10*D267</x:f>
        <x:v>120</x:v>
      </x:c>
      <x:c r="G267" t="str">
        <x:v>percent</x:v>
      </x:c>
      <x:c r="H267" t="str">
        <x:v>Coin</x:v>
      </x:c>
      <x:c r="I267" t="n">
        <x:f>ROUND('밸런스 조정'!$E$10+'밸런스 조정'!$F$10*(D267-1),0)</x:f>
        <x:v>930</x:v>
      </x:c>
      <x:c r="J267" t="str">
        <x:v>퉁퉁퉁 한 명 · 플레이어 체력 비율</x:v>
      </x:c>
    </x:row>
    <x:row r="268">
      <x:c r="B268" t="n">
        <x:v>8</x:v>
      </x:c>
      <x:c r="C268" t="str">
        <x:v>TUNGTUNGTUNG</x:v>
      </x:c>
      <x:c r="D268" t="n">
        <x:v>6</x:v>
      </x:c>
      <x:c r="E268" t="str">
        <x:v>퉁퉁퉁 사후르</x:v>
      </x:c>
      <x:c r="F268" t="n">
        <x:f>'밸런스 조정'!$C$10+'밸런스 조정'!$D$10*D268</x:f>
        <x:v>125</x:v>
      </x:c>
      <x:c r="G268" t="str">
        <x:v>percent</x:v>
      </x:c>
      <x:c r="H268" t="str">
        <x:v>Coin</x:v>
      </x:c>
      <x:c r="I268" t="n">
        <x:f>ROUND('밸런스 조정'!$E$10+'밸런스 조정'!$F$10*(D268-1),0)</x:f>
        <x:v>1050</x:v>
      </x:c>
      <x:c r="J268" t="str">
        <x:v>퉁퉁퉁 한 명 · 플레이어 체력 비율</x:v>
      </x:c>
    </x:row>
    <x:row r="269">
      <x:c r="B269" t="n">
        <x:v>8</x:v>
      </x:c>
      <x:c r="C269" t="str">
        <x:v>TUNGTUNGTUNG</x:v>
      </x:c>
      <x:c r="D269" t="n">
        <x:v>7</x:v>
      </x:c>
      <x:c r="E269" t="str">
        <x:v>퉁퉁퉁 사후르</x:v>
      </x:c>
      <x:c r="F269" t="n">
        <x:f>'밸런스 조정'!$C$10+'밸런스 조정'!$D$10*D269</x:f>
        <x:v>130</x:v>
      </x:c>
      <x:c r="G269" t="str">
        <x:v>percent</x:v>
      </x:c>
      <x:c r="H269" t="str">
        <x:v>Coin</x:v>
      </x:c>
      <x:c r="I269" t="n">
        <x:f>ROUND('밸런스 조정'!$E$10+'밸런스 조정'!$F$10*(D269-1),0)</x:f>
        <x:v>1170</x:v>
      </x:c>
      <x:c r="J269" t="str">
        <x:v>퉁퉁퉁 한 명 · 플레이어 체력 비율</x:v>
      </x:c>
    </x:row>
    <x:row r="270">
      <x:c r="B270" t="n">
        <x:v>8</x:v>
      </x:c>
      <x:c r="C270" t="str">
        <x:v>TUNGTUNGTUNG</x:v>
      </x:c>
      <x:c r="D270" t="n">
        <x:v>8</x:v>
      </x:c>
      <x:c r="E270" t="str">
        <x:v>퉁퉁퉁 사후르</x:v>
      </x:c>
      <x:c r="F270" t="n">
        <x:f>'밸런스 조정'!$C$10+'밸런스 조정'!$D$10*D270</x:f>
        <x:v>135</x:v>
      </x:c>
      <x:c r="G270" t="str">
        <x:v>percent</x:v>
      </x:c>
      <x:c r="H270" t="str">
        <x:v>Coin</x:v>
      </x:c>
      <x:c r="I270" t="n">
        <x:f>ROUND('밸런스 조정'!$E$10+'밸런스 조정'!$F$10*(D270-1),0)</x:f>
        <x:v>1290</x:v>
      </x:c>
      <x:c r="J270" t="str">
        <x:v>퉁퉁퉁 한 명 · 플레이어 체력 비율</x:v>
      </x:c>
    </x:row>
    <x:row r="271">
      <x:c r="B271" t="n">
        <x:v>8</x:v>
      </x:c>
      <x:c r="C271" t="str">
        <x:v>TUNGTUNGTUNG</x:v>
      </x:c>
      <x:c r="D271" t="n">
        <x:v>9</x:v>
      </x:c>
      <x:c r="E271" t="str">
        <x:v>퉁퉁퉁 사후르</x:v>
      </x:c>
      <x:c r="F271" t="n">
        <x:f>'밸런스 조정'!$C$10+'밸런스 조정'!$D$10*D271</x:f>
        <x:v>140</x:v>
      </x:c>
      <x:c r="G271" t="str">
        <x:v>percent</x:v>
      </x:c>
      <x:c r="H271" t="str">
        <x:v>Coin</x:v>
      </x:c>
      <x:c r="I271" t="n">
        <x:f>ROUND('밸런스 조정'!$E$10+'밸런스 조정'!$F$10*(D271-1),0)</x:f>
        <x:v>1410</x:v>
      </x:c>
      <x:c r="J271" t="str">
        <x:v>퉁퉁퉁 한 명 · 플레이어 체력 비율</x:v>
      </x:c>
    </x:row>
    <x:row r="272">
      <x:c r="B272" t="n">
        <x:v>8</x:v>
      </x:c>
      <x:c r="C272" t="str">
        <x:v>TUNGTUNGTUNG</x:v>
      </x:c>
      <x:c r="D272" t="n">
        <x:v>10</x:v>
      </x:c>
      <x:c r="E272" t="str">
        <x:v>퉁퉁퉁 사후르</x:v>
      </x:c>
      <x:c r="F272" t="n">
        <x:f>'밸런스 조정'!$C$10+'밸런스 조정'!$D$10*D272</x:f>
        <x:v>145</x:v>
      </x:c>
      <x:c r="G272" t="str">
        <x:v>percent</x:v>
      </x:c>
      <x:c r="H272" t="str">
        <x:v>Coin</x:v>
      </x:c>
      <x:c r="I272" t="n">
        <x:f>ROUND('밸런스 조정'!$E$10+'밸런스 조정'!$F$10*(D272-1),0)</x:f>
        <x:v>1530</x:v>
      </x:c>
      <x:c r="J272" t="str">
        <x:v>퉁퉁퉁 한 명 · 플레이어 체력 비율</x:v>
      </x:c>
    </x:row>
    <x:row r="273">
      <x:c r="B273" t="n">
        <x:v>8</x:v>
      </x:c>
      <x:c r="C273" t="str">
        <x:v>TUNGTUNGTUNG</x:v>
      </x:c>
      <x:c r="D273" t="n">
        <x:v>11</x:v>
      </x:c>
      <x:c r="E273" t="str">
        <x:v>퉁퉁퉁 사후르</x:v>
      </x:c>
      <x:c r="F273" t="n">
        <x:f>'밸런스 조정'!$C$10+'밸런스 조정'!$D$10*D273</x:f>
        <x:v>150</x:v>
      </x:c>
      <x:c r="G273" t="str">
        <x:v>percent</x:v>
      </x:c>
      <x:c r="H273" t="str">
        <x:v>Coin</x:v>
      </x:c>
      <x:c r="I273" t="n">
        <x:f>ROUND('밸런스 조정'!$E$10+'밸런스 조정'!$F$10*(D273-1),0)</x:f>
        <x:v>1650</x:v>
      </x:c>
      <x:c r="J273" t="str">
        <x:v>퉁퉁퉁 한 명 · 플레이어 체력 비율</x:v>
      </x:c>
    </x:row>
    <x:row r="274">
      <x:c r="B274" t="n">
        <x:v>8</x:v>
      </x:c>
      <x:c r="C274" t="str">
        <x:v>TUNGTUNGTUNG</x:v>
      </x:c>
      <x:c r="D274" t="n">
        <x:v>12</x:v>
      </x:c>
      <x:c r="E274" t="str">
        <x:v>퉁퉁퉁 사후르</x:v>
      </x:c>
      <x:c r="F274" t="n">
        <x:f>'밸런스 조정'!$C$10+'밸런스 조정'!$D$10*D274</x:f>
        <x:v>155</x:v>
      </x:c>
      <x:c r="G274" t="str">
        <x:v>percent</x:v>
      </x:c>
      <x:c r="H274" t="str">
        <x:v>Coin</x:v>
      </x:c>
      <x:c r="I274" t="n">
        <x:f>ROUND('밸런스 조정'!$E$10+'밸런스 조정'!$F$10*(D274-1),0)</x:f>
        <x:v>1770</x:v>
      </x:c>
      <x:c r="J274" t="str">
        <x:v>퉁퉁퉁 한 명 · 플레이어 체력 비율</x:v>
      </x:c>
    </x:row>
    <x:row r="275">
      <x:c r="B275" t="n">
        <x:v>8</x:v>
      </x:c>
      <x:c r="C275" t="str">
        <x:v>TUNGTUNGTUNG</x:v>
      </x:c>
      <x:c r="D275" t="n">
        <x:v>13</x:v>
      </x:c>
      <x:c r="E275" t="str">
        <x:v>퉁퉁퉁 사후르</x:v>
      </x:c>
      <x:c r="F275" t="n">
        <x:f>'밸런스 조정'!$C$10+'밸런스 조정'!$D$10*D275</x:f>
        <x:v>160</x:v>
      </x:c>
      <x:c r="G275" t="str">
        <x:v>percent</x:v>
      </x:c>
      <x:c r="H275" t="str">
        <x:v>Coin</x:v>
      </x:c>
      <x:c r="I275" t="n">
        <x:f>ROUND('밸런스 조정'!$E$10+'밸런스 조정'!$F$10*(D275-1),0)</x:f>
        <x:v>1890</x:v>
      </x:c>
      <x:c r="J275" t="str">
        <x:v>퉁퉁퉁 한 명 · 플레이어 체력 비율</x:v>
      </x:c>
    </x:row>
    <x:row r="276">
      <x:c r="B276" t="n">
        <x:v>8</x:v>
      </x:c>
      <x:c r="C276" t="str">
        <x:v>TUNGTUNGTUNG</x:v>
      </x:c>
      <x:c r="D276" t="n">
        <x:v>14</x:v>
      </x:c>
      <x:c r="E276" t="str">
        <x:v>퉁퉁퉁 사후르</x:v>
      </x:c>
      <x:c r="F276" t="n">
        <x:f>'밸런스 조정'!$C$10+'밸런스 조정'!$D$10*D276</x:f>
        <x:v>165</x:v>
      </x:c>
      <x:c r="G276" t="str">
        <x:v>percent</x:v>
      </x:c>
      <x:c r="H276" t="str">
        <x:v>Coin</x:v>
      </x:c>
      <x:c r="I276" t="n">
        <x:f>ROUND('밸런스 조정'!$E$10+'밸런스 조정'!$F$10*(D276-1),0)</x:f>
        <x:v>2010</x:v>
      </x:c>
      <x:c r="J276" t="str">
        <x:v>퉁퉁퉁 한 명 · 플레이어 체력 비율</x:v>
      </x:c>
    </x:row>
    <x:row r="277">
      <x:c r="B277" t="n">
        <x:v>8</x:v>
      </x:c>
      <x:c r="C277" t="str">
        <x:v>TUNGTUNGTUNG</x:v>
      </x:c>
      <x:c r="D277" t="n">
        <x:v>15</x:v>
      </x:c>
      <x:c r="E277" t="str">
        <x:v>퉁퉁퉁 사후르</x:v>
      </x:c>
      <x:c r="F277" t="n">
        <x:f>'밸런스 조정'!$C$10+'밸런스 조정'!$D$10*D277</x:f>
        <x:v>170</x:v>
      </x:c>
      <x:c r="G277" t="str">
        <x:v>percent</x:v>
      </x:c>
      <x:c r="H277" t="str">
        <x:v>Coin</x:v>
      </x:c>
      <x:c r="I277" t="n">
        <x:f>ROUND('밸런스 조정'!$E$10+'밸런스 조정'!$F$10*(D277-1),0)</x:f>
        <x:v>2130</x:v>
      </x:c>
      <x:c r="J277" t="str">
        <x:v>퉁퉁퉁 한 명 · 플레이어 체력 비율</x:v>
      </x:c>
    </x:row>
    <x:row r="278">
      <x:c r="B278" t="n">
        <x:v>8</x:v>
      </x:c>
      <x:c r="C278" t="str">
        <x:v>TUNGTUNGTUNG</x:v>
      </x:c>
      <x:c r="D278" t="n">
        <x:v>16</x:v>
      </x:c>
      <x:c r="E278" t="str">
        <x:v>퉁퉁퉁 사후르</x:v>
      </x:c>
      <x:c r="F278" t="n">
        <x:f>'밸런스 조정'!$C$10+'밸런스 조정'!$D$10*D278</x:f>
        <x:v>175</x:v>
      </x:c>
      <x:c r="G278" t="str">
        <x:v>percent</x:v>
      </x:c>
      <x:c r="H278" t="str">
        <x:v>Coin</x:v>
      </x:c>
      <x:c r="I278" t="n">
        <x:f>ROUND('밸런스 조정'!$E$10+'밸런스 조정'!$F$10*(D278-1),0)</x:f>
        <x:v>2250</x:v>
      </x:c>
      <x:c r="J278" t="str">
        <x:v>퉁퉁퉁 한 명 · 플레이어 체력 비율</x:v>
      </x:c>
    </x:row>
    <x:row r="279">
      <x:c r="B279" t="n">
        <x:v>8</x:v>
      </x:c>
      <x:c r="C279" t="str">
        <x:v>TUNGTUNGTUNG</x:v>
      </x:c>
      <x:c r="D279" t="n">
        <x:v>17</x:v>
      </x:c>
      <x:c r="E279" t="str">
        <x:v>퉁퉁퉁 사후르</x:v>
      </x:c>
      <x:c r="F279" t="n">
        <x:f>'밸런스 조정'!$C$10+'밸런스 조정'!$D$10*D279</x:f>
        <x:v>180</x:v>
      </x:c>
      <x:c r="G279" t="str">
        <x:v>percent</x:v>
      </x:c>
      <x:c r="H279" t="str">
        <x:v>Coin</x:v>
      </x:c>
      <x:c r="I279" t="n">
        <x:f>ROUND('밸런스 조정'!$E$10+'밸런스 조정'!$F$10*(D279-1),0)</x:f>
        <x:v>2370</x:v>
      </x:c>
      <x:c r="J279" t="str">
        <x:v>퉁퉁퉁 한 명 · 플레이어 체력 비율</x:v>
      </x:c>
    </x:row>
    <x:row r="280">
      <x:c r="B280" t="n">
        <x:v>8</x:v>
      </x:c>
      <x:c r="C280" t="str">
        <x:v>TUNGTUNGTUNG</x:v>
      </x:c>
      <x:c r="D280" t="n">
        <x:v>18</x:v>
      </x:c>
      <x:c r="E280" t="str">
        <x:v>퉁퉁퉁 사후르</x:v>
      </x:c>
      <x:c r="F280" t="n">
        <x:f>'밸런스 조정'!$C$10+'밸런스 조정'!$D$10*D280</x:f>
        <x:v>185</x:v>
      </x:c>
      <x:c r="G280" t="str">
        <x:v>percent</x:v>
      </x:c>
      <x:c r="H280" t="str">
        <x:v>Coin</x:v>
      </x:c>
      <x:c r="I280" t="n">
        <x:f>ROUND('밸런스 조정'!$E$10+'밸런스 조정'!$F$10*(D280-1),0)</x:f>
        <x:v>2490</x:v>
      </x:c>
      <x:c r="J280" t="str">
        <x:v>퉁퉁퉁 한 명 · 플레이어 체력 비율</x:v>
      </x:c>
    </x:row>
    <x:row r="281">
      <x:c r="B281" t="n">
        <x:v>8</x:v>
      </x:c>
      <x:c r="C281" t="str">
        <x:v>TUNGTUNGTUNG</x:v>
      </x:c>
      <x:c r="D281" t="n">
        <x:v>19</x:v>
      </x:c>
      <x:c r="E281" t="str">
        <x:v>퉁퉁퉁 사후르</x:v>
      </x:c>
      <x:c r="F281" t="n">
        <x:f>'밸런스 조정'!$C$10+'밸런스 조정'!$D$10*D281</x:f>
        <x:v>190</x:v>
      </x:c>
      <x:c r="G281" t="str">
        <x:v>percent</x:v>
      </x:c>
      <x:c r="H281" t="str">
        <x:v>Coin</x:v>
      </x:c>
      <x:c r="I281" t="n">
        <x:f>ROUND('밸런스 조정'!$E$10+'밸런스 조정'!$F$10*(D281-1),0)</x:f>
        <x:v>2610</x:v>
      </x:c>
      <x:c r="J281" t="str">
        <x:v>퉁퉁퉁 한 명 · 플레이어 체력 비율</x:v>
      </x:c>
    </x:row>
    <x:row r="282">
      <x:c r="B282" t="n">
        <x:v>8</x:v>
      </x:c>
      <x:c r="C282" t="str">
        <x:v>TUNGTUNGTUNG</x:v>
      </x:c>
      <x:c r="D282" t="n">
        <x:v>20</x:v>
      </x:c>
      <x:c r="E282" t="str">
        <x:v>퉁퉁퉁 사후르</x:v>
      </x:c>
      <x:c r="F282" t="n">
        <x:f>'밸런스 조정'!$C$10+'밸런스 조정'!$D$10*D282</x:f>
        <x:v>195</x:v>
      </x:c>
      <x:c r="G282" t="str">
        <x:v>percent</x:v>
      </x:c>
      <x:c r="H282" t="str">
        <x:v>Coin</x:v>
      </x:c>
      <x:c r="I282" t="n">
        <x:f>ROUND('밸런스 조정'!$E$10+'밸런스 조정'!$F$10*(D282-1),0)</x:f>
        <x:v>2730</x:v>
      </x:c>
      <x:c r="J282" t="str">
        <x:v>퉁퉁퉁 한 명 · 플레이어 체력 비율</x:v>
      </x:c>
    </x:row>
    <x:row r="283">
      <x:c r="B283" t="n">
        <x:v>9</x:v>
      </x:c>
      <x:c r="C283" t="str">
        <x:v>BOOMBAR</x:v>
      </x:c>
      <x:c r="D283" t="n">
        <x:v>1</x:v>
      </x:c>
      <x:c r="E283" t="str">
        <x:v>붐바르 딜로</x:v>
      </x:c>
      <x:c r="F283" t="n">
        <x:f>'밸런스 조정'!$C$11+'밸런스 조정'!$D$11*D283</x:f>
        <x:v>130</x:v>
      </x:c>
      <x:c r="G283" t="str">
        <x:v>percent</x:v>
      </x:c>
      <x:c r="H283" t="str">
        <x:v>Coin</x:v>
      </x:c>
      <x:c r="I283" t="n">
        <x:f>ROUND('밸런스 조정'!$E$11+'밸런스 조정'!$F$11*(D283-1),0)</x:f>
        <x:v>550</x:v>
      </x:c>
      <x:c r="J283" t="str">
        <x:v>붐바르 한 명 · 플레이어 공격력 비율</x:v>
      </x:c>
    </x:row>
    <x:row r="284">
      <x:c r="B284" t="n">
        <x:v>9</x:v>
      </x:c>
      <x:c r="C284" t="str">
        <x:v>BOOMBAR</x:v>
      </x:c>
      <x:c r="D284" t="n">
        <x:v>2</x:v>
      </x:c>
      <x:c r="E284" t="str">
        <x:v>붐바르 딜로</x:v>
      </x:c>
      <x:c r="F284" t="n">
        <x:f>'밸런스 조정'!$C$11+'밸런스 조정'!$D$11*D284</x:f>
        <x:v>135</x:v>
      </x:c>
      <x:c r="G284" t="str">
        <x:v>percent</x:v>
      </x:c>
      <x:c r="H284" t="str">
        <x:v>Coin</x:v>
      </x:c>
      <x:c r="I284" t="n">
        <x:f>ROUND('밸런스 조정'!$E$11+'밸런스 조정'!$F$11*(D284-1),0)</x:f>
        <x:v>700</x:v>
      </x:c>
      <x:c r="J284" t="str">
        <x:v>붐바르 한 명 · 플레이어 공격력 비율</x:v>
      </x:c>
    </x:row>
    <x:row r="285">
      <x:c r="B285" t="n">
        <x:v>9</x:v>
      </x:c>
      <x:c r="C285" t="str">
        <x:v>BOOMBAR</x:v>
      </x:c>
      <x:c r="D285" t="n">
        <x:v>3</x:v>
      </x:c>
      <x:c r="E285" t="str">
        <x:v>붐바르 딜로</x:v>
      </x:c>
      <x:c r="F285" t="n">
        <x:f>'밸런스 조정'!$C$11+'밸런스 조정'!$D$11*D285</x:f>
        <x:v>140</x:v>
      </x:c>
      <x:c r="G285" t="str">
        <x:v>percent</x:v>
      </x:c>
      <x:c r="H285" t="str">
        <x:v>Coin</x:v>
      </x:c>
      <x:c r="I285" t="n">
        <x:f>ROUND('밸런스 조정'!$E$11+'밸런스 조정'!$F$11*(D285-1),0)</x:f>
        <x:v>850</x:v>
      </x:c>
      <x:c r="J285" t="str">
        <x:v>붐바르 한 명 · 플레이어 공격력 비율</x:v>
      </x:c>
    </x:row>
    <x:row r="286">
      <x:c r="B286" t="n">
        <x:v>9</x:v>
      </x:c>
      <x:c r="C286" t="str">
        <x:v>BOOMBAR</x:v>
      </x:c>
      <x:c r="D286" t="n">
        <x:v>4</x:v>
      </x:c>
      <x:c r="E286" t="str">
        <x:v>붐바르 딜로</x:v>
      </x:c>
      <x:c r="F286" t="n">
        <x:f>'밸런스 조정'!$C$11+'밸런스 조정'!$D$11*D286</x:f>
        <x:v>145</x:v>
      </x:c>
      <x:c r="G286" t="str">
        <x:v>percent</x:v>
      </x:c>
      <x:c r="H286" t="str">
        <x:v>Coin</x:v>
      </x:c>
      <x:c r="I286" t="n">
        <x:f>ROUND('밸런스 조정'!$E$11+'밸런스 조정'!$F$11*(D286-1),0)</x:f>
        <x:v>1000</x:v>
      </x:c>
      <x:c r="J286" t="str">
        <x:v>붐바르 한 명 · 플레이어 공격력 비율</x:v>
      </x:c>
    </x:row>
    <x:row r="287">
      <x:c r="B287" t="n">
        <x:v>9</x:v>
      </x:c>
      <x:c r="C287" t="str">
        <x:v>BOOMBAR</x:v>
      </x:c>
      <x:c r="D287" t="n">
        <x:v>5</x:v>
      </x:c>
      <x:c r="E287" t="str">
        <x:v>붐바르 딜로</x:v>
      </x:c>
      <x:c r="F287" t="n">
        <x:f>'밸런스 조정'!$C$11+'밸런스 조정'!$D$11*D287</x:f>
        <x:v>150</x:v>
      </x:c>
      <x:c r="G287" t="str">
        <x:v>percent</x:v>
      </x:c>
      <x:c r="H287" t="str">
        <x:v>Coin</x:v>
      </x:c>
      <x:c r="I287" t="n">
        <x:f>ROUND('밸런스 조정'!$E$11+'밸런스 조정'!$F$11*(D287-1),0)</x:f>
        <x:v>1150</x:v>
      </x:c>
      <x:c r="J287" t="str">
        <x:v>붐바르 한 명 · 플레이어 공격력 비율</x:v>
      </x:c>
    </x:row>
    <x:row r="288">
      <x:c r="B288" t="n">
        <x:v>9</x:v>
      </x:c>
      <x:c r="C288" t="str">
        <x:v>BOOMBAR</x:v>
      </x:c>
      <x:c r="D288" t="n">
        <x:v>6</x:v>
      </x:c>
      <x:c r="E288" t="str">
        <x:v>붐바르 딜로</x:v>
      </x:c>
      <x:c r="F288" t="n">
        <x:f>'밸런스 조정'!$C$11+'밸런스 조정'!$D$11*D288</x:f>
        <x:v>155</x:v>
      </x:c>
      <x:c r="G288" t="str">
        <x:v>percent</x:v>
      </x:c>
      <x:c r="H288" t="str">
        <x:v>Coin</x:v>
      </x:c>
      <x:c r="I288" t="n">
        <x:f>ROUND('밸런스 조정'!$E$11+'밸런스 조정'!$F$11*(D288-1),0)</x:f>
        <x:v>1300</x:v>
      </x:c>
      <x:c r="J288" t="str">
        <x:v>붐바르 한 명 · 플레이어 공격력 비율</x:v>
      </x:c>
    </x:row>
    <x:row r="289">
      <x:c r="B289" t="n">
        <x:v>9</x:v>
      </x:c>
      <x:c r="C289" t="str">
        <x:v>BOOMBAR</x:v>
      </x:c>
      <x:c r="D289" t="n">
        <x:v>7</x:v>
      </x:c>
      <x:c r="E289" t="str">
        <x:v>붐바르 딜로</x:v>
      </x:c>
      <x:c r="F289" t="n">
        <x:f>'밸런스 조정'!$C$11+'밸런스 조정'!$D$11*D289</x:f>
        <x:v>160</x:v>
      </x:c>
      <x:c r="G289" t="str">
        <x:v>percent</x:v>
      </x:c>
      <x:c r="H289" t="str">
        <x:v>Coin</x:v>
      </x:c>
      <x:c r="I289" t="n">
        <x:f>ROUND('밸런스 조정'!$E$11+'밸런스 조정'!$F$11*(D289-1),0)</x:f>
        <x:v>1450</x:v>
      </x:c>
      <x:c r="J289" t="str">
        <x:v>붐바르 한 명 · 플레이어 공격력 비율</x:v>
      </x:c>
    </x:row>
    <x:row r="290">
      <x:c r="B290" t="n">
        <x:v>9</x:v>
      </x:c>
      <x:c r="C290" t="str">
        <x:v>BOOMBAR</x:v>
      </x:c>
      <x:c r="D290" t="n">
        <x:v>8</x:v>
      </x:c>
      <x:c r="E290" t="str">
        <x:v>붐바르 딜로</x:v>
      </x:c>
      <x:c r="F290" t="n">
        <x:f>'밸런스 조정'!$C$11+'밸런스 조정'!$D$11*D290</x:f>
        <x:v>165</x:v>
      </x:c>
      <x:c r="G290" t="str">
        <x:v>percent</x:v>
      </x:c>
      <x:c r="H290" t="str">
        <x:v>Coin</x:v>
      </x:c>
      <x:c r="I290" t="n">
        <x:f>ROUND('밸런스 조정'!$E$11+'밸런스 조정'!$F$11*(D290-1),0)</x:f>
        <x:v>1600</x:v>
      </x:c>
      <x:c r="J290" t="str">
        <x:v>붐바르 한 명 · 플레이어 공격력 비율</x:v>
      </x:c>
    </x:row>
    <x:row r="291">
      <x:c r="B291" t="n">
        <x:v>9</x:v>
      </x:c>
      <x:c r="C291" t="str">
        <x:v>BOOMBAR</x:v>
      </x:c>
      <x:c r="D291" t="n">
        <x:v>9</x:v>
      </x:c>
      <x:c r="E291" t="str">
        <x:v>붐바르 딜로</x:v>
      </x:c>
      <x:c r="F291" t="n">
        <x:f>'밸런스 조정'!$C$11+'밸런스 조정'!$D$11*D291</x:f>
        <x:v>170</x:v>
      </x:c>
      <x:c r="G291" t="str">
        <x:v>percent</x:v>
      </x:c>
      <x:c r="H291" t="str">
        <x:v>Coin</x:v>
      </x:c>
      <x:c r="I291" t="n">
        <x:f>ROUND('밸런스 조정'!$E$11+'밸런스 조정'!$F$11*(D291-1),0)</x:f>
        <x:v>1750</x:v>
      </x:c>
      <x:c r="J291" t="str">
        <x:v>붐바르 한 명 · 플레이어 공격력 비율</x:v>
      </x:c>
    </x:row>
    <x:row r="292">
      <x:c r="B292" t="n">
        <x:v>9</x:v>
      </x:c>
      <x:c r="C292" t="str">
        <x:v>BOOMBAR</x:v>
      </x:c>
      <x:c r="D292" t="n">
        <x:v>10</x:v>
      </x:c>
      <x:c r="E292" t="str">
        <x:v>붐바르 딜로</x:v>
      </x:c>
      <x:c r="F292" t="n">
        <x:f>'밸런스 조정'!$C$11+'밸런스 조정'!$D$11*D292</x:f>
        <x:v>175</x:v>
      </x:c>
      <x:c r="G292" t="str">
        <x:v>percent</x:v>
      </x:c>
      <x:c r="H292" t="str">
        <x:v>Coin</x:v>
      </x:c>
      <x:c r="I292" t="n">
        <x:f>ROUND('밸런스 조정'!$E$11+'밸런스 조정'!$F$11*(D292-1),0)</x:f>
        <x:v>1900</x:v>
      </x:c>
      <x:c r="J292" t="str">
        <x:v>붐바르 한 명 · 플레이어 공격력 비율</x:v>
      </x:c>
    </x:row>
    <x:row r="293">
      <x:c r="B293" t="n">
        <x:v>9</x:v>
      </x:c>
      <x:c r="C293" t="str">
        <x:v>BOOMBAR</x:v>
      </x:c>
      <x:c r="D293" t="n">
        <x:v>11</x:v>
      </x:c>
      <x:c r="E293" t="str">
        <x:v>붐바르 딜로</x:v>
      </x:c>
      <x:c r="F293" t="n">
        <x:f>'밸런스 조정'!$C$11+'밸런스 조정'!$D$11*D293</x:f>
        <x:v>180</x:v>
      </x:c>
      <x:c r="G293" t="str">
        <x:v>percent</x:v>
      </x:c>
      <x:c r="H293" t="str">
        <x:v>Coin</x:v>
      </x:c>
      <x:c r="I293" t="n">
        <x:f>ROUND('밸런스 조정'!$E$11+'밸런스 조정'!$F$11*(D293-1),0)</x:f>
        <x:v>2050</x:v>
      </x:c>
      <x:c r="J293" t="str">
        <x:v>붐바르 한 명 · 플레이어 공격력 비율</x:v>
      </x:c>
    </x:row>
    <x:row r="294">
      <x:c r="B294" t="n">
        <x:v>9</x:v>
      </x:c>
      <x:c r="C294" t="str">
        <x:v>BOOMBAR</x:v>
      </x:c>
      <x:c r="D294" t="n">
        <x:v>12</x:v>
      </x:c>
      <x:c r="E294" t="str">
        <x:v>붐바르 딜로</x:v>
      </x:c>
      <x:c r="F294" t="n">
        <x:f>'밸런스 조정'!$C$11+'밸런스 조정'!$D$11*D294</x:f>
        <x:v>185</x:v>
      </x:c>
      <x:c r="G294" t="str">
        <x:v>percent</x:v>
      </x:c>
      <x:c r="H294" t="str">
        <x:v>Coin</x:v>
      </x:c>
      <x:c r="I294" t="n">
        <x:f>ROUND('밸런스 조정'!$E$11+'밸런스 조정'!$F$11*(D294-1),0)</x:f>
        <x:v>2200</x:v>
      </x:c>
      <x:c r="J294" t="str">
        <x:v>붐바르 한 명 · 플레이어 공격력 비율</x:v>
      </x:c>
    </x:row>
    <x:row r="295">
      <x:c r="B295" t="n">
        <x:v>9</x:v>
      </x:c>
      <x:c r="C295" t="str">
        <x:v>BOOMBAR</x:v>
      </x:c>
      <x:c r="D295" t="n">
        <x:v>13</x:v>
      </x:c>
      <x:c r="E295" t="str">
        <x:v>붐바르 딜로</x:v>
      </x:c>
      <x:c r="F295" t="n">
        <x:f>'밸런스 조정'!$C$11+'밸런스 조정'!$D$11*D295</x:f>
        <x:v>190</x:v>
      </x:c>
      <x:c r="G295" t="str">
        <x:v>percent</x:v>
      </x:c>
      <x:c r="H295" t="str">
        <x:v>Coin</x:v>
      </x:c>
      <x:c r="I295" t="n">
        <x:f>ROUND('밸런스 조정'!$E$11+'밸런스 조정'!$F$11*(D295-1),0)</x:f>
        <x:v>2350</x:v>
      </x:c>
      <x:c r="J295" t="str">
        <x:v>붐바르 한 명 · 플레이어 공격력 비율</x:v>
      </x:c>
    </x:row>
    <x:row r="296">
      <x:c r="B296" t="n">
        <x:v>9</x:v>
      </x:c>
      <x:c r="C296" t="str">
        <x:v>BOOMBAR</x:v>
      </x:c>
      <x:c r="D296" t="n">
        <x:v>14</x:v>
      </x:c>
      <x:c r="E296" t="str">
        <x:v>붐바르 딜로</x:v>
      </x:c>
      <x:c r="F296" t="n">
        <x:f>'밸런스 조정'!$C$11+'밸런스 조정'!$D$11*D296</x:f>
        <x:v>195</x:v>
      </x:c>
      <x:c r="G296" t="str">
        <x:v>percent</x:v>
      </x:c>
      <x:c r="H296" t="str">
        <x:v>Coin</x:v>
      </x:c>
      <x:c r="I296" t="n">
        <x:f>ROUND('밸런스 조정'!$E$11+'밸런스 조정'!$F$11*(D296-1),0)</x:f>
        <x:v>2500</x:v>
      </x:c>
      <x:c r="J296" t="str">
        <x:v>붐바르 한 명 · 플레이어 공격력 비율</x:v>
      </x:c>
    </x:row>
    <x:row r="297">
      <x:c r="B297" t="n">
        <x:v>9</x:v>
      </x:c>
      <x:c r="C297" t="str">
        <x:v>BOOMBAR</x:v>
      </x:c>
      <x:c r="D297" t="n">
        <x:v>15</x:v>
      </x:c>
      <x:c r="E297" t="str">
        <x:v>붐바르 딜로</x:v>
      </x:c>
      <x:c r="F297" t="n">
        <x:f>'밸런스 조정'!$C$11+'밸런스 조정'!$D$11*D297</x:f>
        <x:v>200</x:v>
      </x:c>
      <x:c r="G297" t="str">
        <x:v>percent</x:v>
      </x:c>
      <x:c r="H297" t="str">
        <x:v>Coin</x:v>
      </x:c>
      <x:c r="I297" t="n">
        <x:f>ROUND('밸런스 조정'!$E$11+'밸런스 조정'!$F$11*(D297-1),0)</x:f>
        <x:v>2650</x:v>
      </x:c>
      <x:c r="J297" t="str">
        <x:v>붐바르 한 명 · 플레이어 공격력 비율</x:v>
      </x:c>
    </x:row>
    <x:row r="298">
      <x:c r="B298" t="n">
        <x:v>9</x:v>
      </x:c>
      <x:c r="C298" t="str">
        <x:v>BOOMBAR</x:v>
      </x:c>
      <x:c r="D298" t="n">
        <x:v>16</x:v>
      </x:c>
      <x:c r="E298" t="str">
        <x:v>붐바르 딜로</x:v>
      </x:c>
      <x:c r="F298" t="n">
        <x:f>'밸런스 조정'!$C$11+'밸런스 조정'!$D$11*D298</x:f>
        <x:v>205</x:v>
      </x:c>
      <x:c r="G298" t="str">
        <x:v>percent</x:v>
      </x:c>
      <x:c r="H298" t="str">
        <x:v>Coin</x:v>
      </x:c>
      <x:c r="I298" t="n">
        <x:f>ROUND('밸런스 조정'!$E$11+'밸런스 조정'!$F$11*(D298-1),0)</x:f>
        <x:v>2800</x:v>
      </x:c>
      <x:c r="J298" t="str">
        <x:v>붐바르 한 명 · 플레이어 공격력 비율</x:v>
      </x:c>
    </x:row>
    <x:row r="299">
      <x:c r="B299" t="n">
        <x:v>9</x:v>
      </x:c>
      <x:c r="C299" t="str">
        <x:v>BOOMBAR</x:v>
      </x:c>
      <x:c r="D299" t="n">
        <x:v>17</x:v>
      </x:c>
      <x:c r="E299" t="str">
        <x:v>붐바르 딜로</x:v>
      </x:c>
      <x:c r="F299" t="n">
        <x:f>'밸런스 조정'!$C$11+'밸런스 조정'!$D$11*D299</x:f>
        <x:v>210</x:v>
      </x:c>
      <x:c r="G299" t="str">
        <x:v>percent</x:v>
      </x:c>
      <x:c r="H299" t="str">
        <x:v>Coin</x:v>
      </x:c>
      <x:c r="I299" t="n">
        <x:f>ROUND('밸런스 조정'!$E$11+'밸런스 조정'!$F$11*(D299-1),0)</x:f>
        <x:v>2950</x:v>
      </x:c>
      <x:c r="J299" t="str">
        <x:v>붐바르 한 명 · 플레이어 공격력 비율</x:v>
      </x:c>
    </x:row>
    <x:row r="300">
      <x:c r="B300" t="n">
        <x:v>9</x:v>
      </x:c>
      <x:c r="C300" t="str">
        <x:v>BOOMBAR</x:v>
      </x:c>
      <x:c r="D300" t="n">
        <x:v>18</x:v>
      </x:c>
      <x:c r="E300" t="str">
        <x:v>붐바르 딜로</x:v>
      </x:c>
      <x:c r="F300" t="n">
        <x:f>'밸런스 조정'!$C$11+'밸런스 조정'!$D$11*D300</x:f>
        <x:v>215</x:v>
      </x:c>
      <x:c r="G300" t="str">
        <x:v>percent</x:v>
      </x:c>
      <x:c r="H300" t="str">
        <x:v>Coin</x:v>
      </x:c>
      <x:c r="I300" t="n">
        <x:f>ROUND('밸런스 조정'!$E$11+'밸런스 조정'!$F$11*(D300-1),0)</x:f>
        <x:v>3100</x:v>
      </x:c>
      <x:c r="J300" t="str">
        <x:v>붐바르 한 명 · 플레이어 공격력 비율</x:v>
      </x:c>
    </x:row>
    <x:row r="301">
      <x:c r="B301" t="n">
        <x:v>9</x:v>
      </x:c>
      <x:c r="C301" t="str">
        <x:v>BOOMBAR</x:v>
      </x:c>
      <x:c r="D301" t="n">
        <x:v>19</x:v>
      </x:c>
      <x:c r="E301" t="str">
        <x:v>붐바르 딜로</x:v>
      </x:c>
      <x:c r="F301" t="n">
        <x:f>'밸런스 조정'!$C$11+'밸런스 조정'!$D$11*D301</x:f>
        <x:v>220</x:v>
      </x:c>
      <x:c r="G301" t="str">
        <x:v>percent</x:v>
      </x:c>
      <x:c r="H301" t="str">
        <x:v>Coin</x:v>
      </x:c>
      <x:c r="I301" t="n">
        <x:f>ROUND('밸런스 조정'!$E$11+'밸런스 조정'!$F$11*(D301-1),0)</x:f>
        <x:v>3250</x:v>
      </x:c>
      <x:c r="J301" t="str">
        <x:v>붐바르 한 명 · 플레이어 공격력 비율</x:v>
      </x:c>
    </x:row>
    <x:row r="302">
      <x:c r="B302" t="n">
        <x:v>9</x:v>
      </x:c>
      <x:c r="C302" t="str">
        <x:v>BOOMBAR</x:v>
      </x:c>
      <x:c r="D302" t="n">
        <x:v>20</x:v>
      </x:c>
      <x:c r="E302" t="str">
        <x:v>붐바르 딜로</x:v>
      </x:c>
      <x:c r="F302" t="n">
        <x:f>'밸런스 조정'!$C$11+'밸런스 조정'!$D$11*D302</x:f>
        <x:v>225</x:v>
      </x:c>
      <x:c r="G302" t="str">
        <x:v>percent</x:v>
      </x:c>
      <x:c r="H302" t="str">
        <x:v>Coin</x:v>
      </x:c>
      <x:c r="I302" t="n">
        <x:f>ROUND('밸런스 조정'!$E$11+'밸런스 조정'!$F$11*(D302-1),0)</x:f>
        <x:v>3400</x:v>
      </x:c>
      <x:c r="J302" t="str">
        <x:v>붐바르 한 명 · 플레이어 공격력 비율</x:v>
      </x:c>
    </x:row>
    <x:row r="303" ht="32" customHeight="1">
      <x:c r="B303" t="n">
        <x:v>10</x:v>
      </x:c>
      <x:c r="C303" t="str">
        <x:v>LATERAL_SPEED</x:v>
      </x:c>
      <x:c r="D303" t="n">
        <x:v>1</x:v>
      </x:c>
      <x:c r="E303" s="51" t="str">
        <x:v>좌우 이동 속도 늘리기</x:v>
      </x:c>
      <x:c r="F303" t="n">
        <x:v>5</x:v>
      </x:c>
      <x:c r="G303" t="str">
        <x:v>percent</x:v>
      </x:c>
      <x:c r="H303" t="str">
        <x:v>Coin</x:v>
      </x:c>
      <x:c r="I303" t="n">
        <x:v>70</x:v>
      </x:c>
      <x:c r="J303" s="51" t="str">
        <x:v>좌우 이동 속도 단계마다 +5%, 최대 +50%</x:v>
      </x:c>
    </x:row>
    <x:row r="304" ht="32" customHeight="1">
      <x:c r="B304" t="n">
        <x:v>10</x:v>
      </x:c>
      <x:c r="C304" t="str">
        <x:v>LATERAL_SPEED</x:v>
      </x:c>
      <x:c r="D304" t="n">
        <x:v>2</x:v>
      </x:c>
      <x:c r="E304" s="51" t="str">
        <x:v>좌우 이동 속도 늘리기</x:v>
      </x:c>
      <x:c r="F304" t="n">
        <x:v>10</x:v>
      </x:c>
      <x:c r="G304" t="str">
        <x:v>percent</x:v>
      </x:c>
      <x:c r="H304" t="str">
        <x:v>Coin</x:v>
      </x:c>
      <x:c r="I304" t="n">
        <x:v>105</x:v>
      </x:c>
      <x:c r="J304" s="51" t="str">
        <x:v>좌우 이동 속도 단계마다 +5%, 최대 +50%</x:v>
      </x:c>
    </x:row>
    <x:row r="305" ht="32" customHeight="1">
      <x:c r="B305" t="n">
        <x:v>10</x:v>
      </x:c>
      <x:c r="C305" t="str">
        <x:v>LATERAL_SPEED</x:v>
      </x:c>
      <x:c r="D305" t="n">
        <x:v>3</x:v>
      </x:c>
      <x:c r="E305" s="51" t="str">
        <x:v>좌우 이동 속도 늘리기</x:v>
      </x:c>
      <x:c r="F305" t="n">
        <x:v>15</x:v>
      </x:c>
      <x:c r="G305" t="str">
        <x:v>percent</x:v>
      </x:c>
      <x:c r="H305" t="str">
        <x:v>Coin</x:v>
      </x:c>
      <x:c r="I305" t="n">
        <x:v>140</x:v>
      </x:c>
      <x:c r="J305" s="51" t="str">
        <x:v>좌우 이동 속도 단계마다 +5%, 최대 +50%</x:v>
      </x:c>
    </x:row>
    <x:row r="306" ht="32" customHeight="1">
      <x:c r="B306" t="n">
        <x:v>10</x:v>
      </x:c>
      <x:c r="C306" t="str">
        <x:v>LATERAL_SPEED</x:v>
      </x:c>
      <x:c r="D306" t="n">
        <x:v>4</x:v>
      </x:c>
      <x:c r="E306" s="51" t="str">
        <x:v>좌우 이동 속도 늘리기</x:v>
      </x:c>
      <x:c r="F306" t="n">
        <x:v>20</x:v>
      </x:c>
      <x:c r="G306" t="str">
        <x:v>percent</x:v>
      </x:c>
      <x:c r="H306" t="str">
        <x:v>Coin</x:v>
      </x:c>
      <x:c r="I306" t="n">
        <x:v>175</x:v>
      </x:c>
      <x:c r="J306" s="51" t="str">
        <x:v>좌우 이동 속도 단계마다 +5%, 최대 +50%</x:v>
      </x:c>
    </x:row>
    <x:row r="307" ht="32" customHeight="1">
      <x:c r="B307" t="n">
        <x:v>10</x:v>
      </x:c>
      <x:c r="C307" t="str">
        <x:v>LATERAL_SPEED</x:v>
      </x:c>
      <x:c r="D307" t="n">
        <x:v>5</x:v>
      </x:c>
      <x:c r="E307" s="51" t="str">
        <x:v>좌우 이동 속도 늘리기</x:v>
      </x:c>
      <x:c r="F307" t="n">
        <x:v>25</x:v>
      </x:c>
      <x:c r="G307" t="str">
        <x:v>percent</x:v>
      </x:c>
      <x:c r="H307" t="str">
        <x:v>Coin</x:v>
      </x:c>
      <x:c r="I307" t="n">
        <x:v>210</x:v>
      </x:c>
      <x:c r="J307" s="51" t="str">
        <x:v>좌우 이동 속도 단계마다 +5%, 최대 +50%</x:v>
      </x:c>
    </x:row>
    <x:row r="308" ht="32" customHeight="1">
      <x:c r="B308" t="n">
        <x:v>10</x:v>
      </x:c>
      <x:c r="C308" t="str">
        <x:v>LATERAL_SPEED</x:v>
      </x:c>
      <x:c r="D308" t="n">
        <x:v>6</x:v>
      </x:c>
      <x:c r="E308" s="51" t="str">
        <x:v>좌우 이동 속도 늘리기</x:v>
      </x:c>
      <x:c r="F308" t="n">
        <x:v>30</x:v>
      </x:c>
      <x:c r="G308" t="str">
        <x:v>percent</x:v>
      </x:c>
      <x:c r="H308" t="str">
        <x:v>Coin</x:v>
      </x:c>
      <x:c r="I308" t="n">
        <x:v>245</x:v>
      </x:c>
      <x:c r="J308" s="51" t="str">
        <x:v>좌우 이동 속도 단계마다 +5%, 최대 +50%</x:v>
      </x:c>
    </x:row>
    <x:row r="309" ht="32" customHeight="1">
      <x:c r="B309" t="n">
        <x:v>10</x:v>
      </x:c>
      <x:c r="C309" t="str">
        <x:v>LATERAL_SPEED</x:v>
      </x:c>
      <x:c r="D309" t="n">
        <x:v>7</x:v>
      </x:c>
      <x:c r="E309" s="51" t="str">
        <x:v>좌우 이동 속도 늘리기</x:v>
      </x:c>
      <x:c r="F309" t="n">
        <x:v>35</x:v>
      </x:c>
      <x:c r="G309" t="str">
        <x:v>percent</x:v>
      </x:c>
      <x:c r="H309" t="str">
        <x:v>Coin</x:v>
      </x:c>
      <x:c r="I309" t="n">
        <x:v>280</x:v>
      </x:c>
      <x:c r="J309" s="51" t="str">
        <x:v>좌우 이동 속도 단계마다 +5%, 최대 +50%</x:v>
      </x:c>
    </x:row>
    <x:row r="310" ht="32" customHeight="1">
      <x:c r="B310" t="n">
        <x:v>10</x:v>
      </x:c>
      <x:c r="C310" t="str">
        <x:v>LATERAL_SPEED</x:v>
      </x:c>
      <x:c r="D310" t="n">
        <x:v>8</x:v>
      </x:c>
      <x:c r="E310" s="51" t="str">
        <x:v>좌우 이동 속도 늘리기</x:v>
      </x:c>
      <x:c r="F310" t="n">
        <x:v>40</x:v>
      </x:c>
      <x:c r="G310" t="str">
        <x:v>percent</x:v>
      </x:c>
      <x:c r="H310" t="str">
        <x:v>Coin</x:v>
      </x:c>
      <x:c r="I310" t="n">
        <x:v>315</x:v>
      </x:c>
      <x:c r="J310" s="51" t="str">
        <x:v>좌우 이동 속도 단계마다 +5%, 최대 +50%</x:v>
      </x:c>
    </x:row>
    <x:row r="311" ht="32" customHeight="1">
      <x:c r="B311" t="n">
        <x:v>10</x:v>
      </x:c>
      <x:c r="C311" t="str">
        <x:v>LATERAL_SPEED</x:v>
      </x:c>
      <x:c r="D311" t="n">
        <x:v>9</x:v>
      </x:c>
      <x:c r="E311" s="51" t="str">
        <x:v>좌우 이동 속도 늘리기</x:v>
      </x:c>
      <x:c r="F311" t="n">
        <x:v>45</x:v>
      </x:c>
      <x:c r="G311" t="str">
        <x:v>percent</x:v>
      </x:c>
      <x:c r="H311" t="str">
        <x:v>Coin</x:v>
      </x:c>
      <x:c r="I311" t="n">
        <x:v>350</x:v>
      </x:c>
      <x:c r="J311" s="51" t="str">
        <x:v>좌우 이동 속도 단계마다 +5%, 최대 +50%</x:v>
      </x:c>
    </x:row>
    <x:row r="312" ht="32" customHeight="1">
      <x:c r="B312" t="n">
        <x:v>10</x:v>
      </x:c>
      <x:c r="C312" t="str">
        <x:v>LATERAL_SPEED</x:v>
      </x:c>
      <x:c r="D312" t="n">
        <x:v>10</x:v>
      </x:c>
      <x:c r="E312" s="51" t="str">
        <x:v>좌우 이동 속도 늘리기</x:v>
      </x:c>
      <x:c r="F312" t="n">
        <x:v>50</x:v>
      </x:c>
      <x:c r="G312" t="str">
        <x:v>percent</x:v>
      </x:c>
      <x:c r="H312" t="str">
        <x:v>Coin</x:v>
      </x:c>
      <x:c r="I312" t="n">
        <x:v>385</x:v>
      </x:c>
      <x:c r="J312" s="51" t="str">
        <x:v>좌우 이동 속도 단계마다 +5%, 최대 +50%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2" width="9.625" customWidth="1"/>
    <x:col min="3" max="3" width="10.25" customWidth="1"/>
    <x:col min="4" max="5" width="9.625" customWidth="1"/>
    <x:col min="6" max="6" width="11.625" customWidth="1"/>
    <x:col min="7" max="7" width="18.625" customWidth="1"/>
    <x:col min="8" max="8" width="14.375" customWidth="1"/>
    <x:col min="9" max="9" width="11.625" customWidth="1"/>
  </x:cols>
  <x:sheetData>
    <x:row r="2">
      <x:c r="B2" s="11" t="s">
        <x:v>0</x:v>
      </x:c>
      <x:c r="C2" s="11" t="s">
        <x:v>1</x:v>
      </x:c>
      <x:c r="D2" s="11" t="s">
        <x:v>2</x:v>
      </x:c>
      <x:c r="E2" s="11" t="s">
        <x:v>3</x:v>
      </x:c>
      <x:c r="F2" s="11" t="s">
        <x:v>4</x:v>
      </x:c>
      <x:c r="G2" s="11" t="s">
        <x:v>5</x:v>
      </x:c>
      <x:c r="H2" s="11" t="s">
        <x:v>6</x:v>
      </x:c>
      <x:c r="I2" s="11" t="s">
        <x:v>7</x:v>
      </x:c>
    </x:row>
    <x:row r="3">
      <x:c r="B3" s="12">
        <x:v>1</x:v>
      </x:c>
      <x:c r="C3" s="12" t="s">
        <x:v>8</x:v>
      </x:c>
      <x:c r="D3" s="12" t="s">
        <x:v>9</x:v>
      </x:c>
      <x:c r="E3" s="12"/>
      <x:c r="F3" s="12"/>
      <x:c r="G3" s="12"/>
      <x:c r="H3" s="12"/>
      <x:c r="I3" s="12"/>
    </x:row>
    <x:row r="4">
      <x:c r="B4" s="12">
        <x:v>2</x:v>
      </x:c>
      <x:c r="C4" s="12" t="s">
        <x:v>10</x:v>
      </x:c>
      <x:c r="D4" s="12" t="s">
        <x:v>9</x:v>
      </x:c>
      <x:c r="E4" s="12">
        <x:v>5000</x:v>
      </x:c>
      <x:c r="F4" s="12" t="s">
        <x:v>11</x:v>
      </x:c>
      <x:c r="G4" s="12" t="s">
        <x:v>12</x:v>
      </x:c>
      <x:c r="H4" s="12" t="s">
        <x:v>13</x:v>
      </x:c>
      <x:c r="I4" s="12">
        <x:v>50</x:v>
      </x:c>
    </x:row>
    <x:row r="5">
      <x:c r="B5" s="12">
        <x:v>3</x:v>
      </x:c>
      <x:c r="C5" s="12" t="s">
        <x:v>14</x:v>
      </x:c>
      <x:c r="D5" s="12" t="s">
        <x:v>9</x:v>
      </x:c>
      <x:c r="E5" s="12">
        <x:v>5000</x:v>
      </x:c>
      <x:c r="F5" s="12" t="s">
        <x:v>15</x:v>
      </x:c>
      <x:c r="G5" s="12" t="s">
        <x:v>16</x:v>
      </x:c>
      <x:c r="H5" s="12" t="s">
        <x:v>13</x:v>
      </x:c>
      <x:c r="I5" s="12">
        <x:v>30</x:v>
      </x:c>
    </x:row>
    <x:row r="6">
      <x:c r="B6" s="12">
        <x:v>4</x:v>
      </x:c>
      <x:c r="C6" s="12" t="s">
        <x:v>17</x:v>
      </x:c>
      <x:c r="D6" s="12" t="s">
        <x:v>9</x:v>
      </x:c>
      <x:c r="E6" s="12">
        <x:v>5000</x:v>
      </x:c>
      <x:c r="F6" s="12" t="s">
        <x:v>18</x:v>
      </x:c>
      <x:c r="G6" s="12" t="s">
        <x:v>19</x:v>
      </x:c>
      <x:c r="H6" s="12" t="s">
        <x:v>20</x:v>
      </x:c>
      <x:c r="I6" s="12">
        <x:v>20</x:v>
      </x:c>
    </x:row>
    <x:row r="7">
      <x:c r="B7" s="12">
        <x:v>5</x:v>
      </x:c>
      <x:c r="C7" s="12" t="s">
        <x:v>21</x:v>
      </x:c>
      <x:c r="D7" s="12" t="s">
        <x:v>9</x:v>
      </x:c>
      <x:c r="E7" s="12">
        <x:v>5000</x:v>
      </x:c>
      <x:c r="F7" s="12" t="s">
        <x:v>22</x:v>
      </x:c>
      <x:c r="G7" s="12" t="s">
        <x:v>23</x:v>
      </x:c>
      <x:c r="H7" s="12" t="s">
        <x:v>13</x:v>
      </x:c>
      <x:c r="I7" s="12">
        <x:v>50</x:v>
      </x:c>
    </x:row>
    <x:row r="8">
      <x:c r="B8" s="12">
        <x:v>6</x:v>
      </x:c>
      <x:c r="C8" s="12" t="s">
        <x:v>24</x:v>
      </x:c>
      <x:c r="D8" s="12" t="s">
        <x:v>25</x:v>
      </x:c>
      <x:c r="E8" s="12">
        <x:v>1000</x:v>
      </x:c>
      <x:c r="F8" s="12" t="s">
        <x:v>11</x:v>
      </x:c>
      <x:c r="G8" s="12" t="s">
        <x:v>12</x:v>
      </x:c>
      <x:c r="H8" s="12" t="s">
        <x:v>20</x:v>
      </x:c>
      <x:c r="I8" s="12">
        <x:v>50</x:v>
      </x:c>
    </x:row>
    <x:row r="9">
      <x:c r="B9" s="12">
        <x:v>7</x:v>
      </x:c>
      <x:c r="C9" s="12" t="s">
        <x:v>26</x:v>
      </x:c>
      <x:c r="D9" s="12" t="s">
        <x:v>25</x:v>
      </x:c>
      <x:c r="E9" s="12">
        <x:v>1000</x:v>
      </x:c>
      <x:c r="F9" s="12" t="s">
        <x:v>15</x:v>
      </x:c>
      <x:c r="G9" s="12" t="s">
        <x:v>16</x:v>
      </x:c>
      <x:c r="H9" s="12" t="s">
        <x:v>20</x:v>
      </x:c>
      <x:c r="I9" s="12">
        <x:v>30</x:v>
      </x:c>
    </x:row>
    <x:row r="10">
      <x:c r="B10" s="12">
        <x:v>8</x:v>
      </x:c>
      <x:c r="C10" s="12" t="s">
        <x:v>27</x:v>
      </x:c>
      <x:c r="D10" s="12" t="s">
        <x:v>25</x:v>
      </x:c>
      <x:c r="E10" s="12">
        <x:v>1500</x:v>
      </x:c>
      <x:c r="F10" s="12" t="s">
        <x:v>28</x:v>
      </x:c>
      <x:c r="G10" s="12" t="s">
        <x:v>29</x:v>
      </x:c>
      <x:c r="H10" s="12" t="s">
        <x:v>13</x:v>
      </x:c>
      <x:c r="I10" s="12">
        <x:v>10</x:v>
      </x:c>
    </x:row>
    <x:row r="11">
      <x:c r="B11" s="12">
        <x:v>9</x:v>
      </x:c>
      <x:c r="C11" s="12" t="s">
        <x:v>30</x:v>
      </x:c>
      <x:c r="D11" s="12" t="s">
        <x:v>25</x:v>
      </x:c>
      <x:c r="E11" s="12">
        <x:v>1500</x:v>
      </x:c>
      <x:c r="F11" s="12" t="s">
        <x:v>31</x:v>
      </x:c>
      <x:c r="G11" s="12" t="s">
        <x:v>32</x:v>
      </x:c>
      <x:c r="H11" s="12" t="s">
        <x:v>20</x:v>
      </x:c>
      <x:c r="I11" s="12">
        <x:v>100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3" max="3" width="18.625" customWidth="1"/>
    <x:col min="5" max="5" width="14.25" customWidth="1"/>
    <x:col min="7" max="7" width="13" customWidth="1"/>
    <x:col min="12" max="12" width="25.75" customWidth="1"/>
  </x:cols>
  <x:sheetData>
    <x:row r="2">
      <x:c r="B2" t="s">
        <x:v>33</x:v>
      </x:c>
      <x:c r="C2" t="s">
        <x:v>34</x:v>
      </x:c>
      <x:c r="D2" t="s">
        <x:v>35</x:v>
      </x:c>
      <x:c r="E2" t="s">
        <x:v>36</x:v>
      </x:c>
      <x:c r="F2" t="s">
        <x:v>37</x:v>
      </x:c>
      <x:c r="G2" t="s">
        <x:v>4</x:v>
      </x:c>
      <x:c r="H2" t="s">
        <x:v>38</x:v>
      </x:c>
      <x:c r="I2" t="s">
        <x:v>39</x:v>
      </x:c>
      <x:c r="J2" t="s">
        <x:v>2</x:v>
      </x:c>
      <x:c r="K2" t="s">
        <x:v>3</x:v>
      </x:c>
      <x:c r="L2" t="s">
        <x:v>40</x:v>
      </x:c>
      <x:c r="M2" t="s">
        <x:v>41</x:v>
      </x:c>
      <x:c r="N2" t="s">
        <x:v>42</x:v>
      </x:c>
    </x:row>
    <x:row r="3">
      <x:c r="B3">
        <x:v>1</x:v>
      </x:c>
      <x:c r="C3" t="s">
        <x:v>43</x:v>
      </x:c>
      <x:c r="D3">
        <x:v>1</x:v>
      </x:c>
      <x:c r="E3" t="s">
        <x:v>44</x:v>
      </x:c>
      <x:c r="F3" t="s">
        <x:v>15</x:v>
      </x:c>
      <x:c r="G3" t="s">
        <x:v>45</x:v>
      </x:c>
      <x:c r="I3" t="s">
        <x:v>46</x:v>
      </x:c>
      <x:c r="M3" s="3">
        <x:v>0.12</x:v>
      </x:c>
      <x:c r="N3" s="3">
        <x:v>0.18</x:v>
      </x:c>
    </x:row>
    <x:row r="4">
      <x:c r="B4">
        <x:v>2</x:v>
      </x:c>
      <x:c r="C4" t="s">
        <x:v>43</x:v>
      </x:c>
      <x:c r="D4">
        <x:v>1</x:v>
      </x:c>
      <x:c r="E4" t="s">
        <x:v>47</x:v>
      </x:c>
      <x:c r="F4" t="s">
        <x:v>15</x:v>
      </x:c>
      <x:c r="G4" t="s">
        <x:v>48</x:v>
      </x:c>
      <x:c r="I4" t="s">
        <x:v>49</x:v>
      </x:c>
      <x:c r="M4" s="4">
        <x:v>10</x:v>
      </x:c>
      <x:c r="N4" s="4">
        <x:v>15</x:v>
      </x:c>
    </x:row>
    <x:row r="5">
      <x:c r="B5">
        <x:v>3</x:v>
      </x:c>
      <x:c r="C5" t="s">
        <x:v>43</x:v>
      </x:c>
      <x:c r="D5">
        <x:v>1</x:v>
      </x:c>
      <x:c r="E5" t="s">
        <x:v>50</x:v>
      </x:c>
      <x:c r="F5" t="s">
        <x:v>18</x:v>
      </x:c>
      <x:c r="G5" t="s">
        <x:v>51</x:v>
      </x:c>
      <x:c r="I5" t="s">
        <x:v>49</x:v>
      </x:c>
      <x:c r="M5" s="6">
        <x:v>8</x:v>
      </x:c>
      <x:c r="N5" s="6">
        <x:v>14</x:v>
      </x:c>
    </x:row>
    <x:row r="6">
      <x:c r="B6">
        <x:v>4</x:v>
      </x:c>
      <x:c r="C6" t="s">
        <x:v>43</x:v>
      </x:c>
      <x:c r="D6">
        <x:v>1</x:v>
      </x:c>
      <x:c r="E6" t="s">
        <x:v>52</x:v>
      </x:c>
      <x:c r="F6" t="s">
        <x:v>53</x:v>
      </x:c>
      <x:c r="G6" t="s">
        <x:v>54</x:v>
      </x:c>
      <x:c r="I6" t="s">
        <x:v>49</x:v>
      </x:c>
      <x:c r="M6" s="7">
        <x:v>15</x:v>
      </x:c>
      <x:c r="N6" s="7">
        <x:v>23</x:v>
      </x:c>
    </x:row>
    <x:row r="7">
      <x:c r="B7">
        <x:v>5</x:v>
      </x:c>
      <x:c r="C7" t="s">
        <x:v>43</x:v>
      </x:c>
      <x:c r="D7">
        <x:v>1</x:v>
      </x:c>
      <x:c r="E7" t="s">
        <x:v>55</x:v>
      </x:c>
      <x:c r="F7" t="s">
        <x:v>22</x:v>
      </x:c>
      <x:c r="G7" t="s">
        <x:v>56</x:v>
      </x:c>
      <x:c r="I7" t="s">
        <x:v>46</x:v>
      </x:c>
      <x:c r="L7" t="str">
        <x:v>최대 체력과 현재 체력을 함께 증가</x:v>
      </x:c>
      <x:c r="M7" s="8">
        <x:v>0.12</x:v>
      </x:c>
      <x:c r="N7" s="8">
        <x:v>0.2</x:v>
      </x:c>
    </x:row>
    <x:row r="8">
      <x:c r="B8">
        <x:v>6</x:v>
      </x:c>
      <x:c r="C8" t="s">
        <x:v>43</x:v>
      </x:c>
      <x:c r="D8">
        <x:v>1</x:v>
      </x:c>
      <x:c r="E8" t="s">
        <x:v>57</x:v>
      </x:c>
      <x:c r="F8" t="s">
        <x:v>22</x:v>
      </x:c>
      <x:c r="G8" t="s">
        <x:v>58</x:v>
      </x:c>
      <x:c r="I8" t="s">
        <x:v>49</x:v>
      </x:c>
      <x:c r="L8" t="str">
        <x:v>최대 체력과 현재 체력을 함께 증가</x:v>
      </x:c>
      <x:c r="M8" s="9">
        <x:v>10</x:v>
      </x:c>
      <x:c r="N8" s="9">
        <x:v>17</x:v>
      </x:c>
    </x:row>
    <x:row r="9">
      <x:c r="B9">
        <x:v>7</x:v>
      </x:c>
      <x:c r="C9" t="s">
        <x:v>59</x:v>
      </x:c>
      <x:c r="D9">
        <x:v>1</x:v>
      </x:c>
      <x:c r="E9" t="s">
        <x:v>60</x:v>
      </x:c>
      <x:c r="F9" t="s">
        <x:v>61</x:v>
      </x:c>
      <x:c r="G9" t="s">
        <x:v>62</x:v>
      </x:c>
      <x:c r="I9" t="s">
        <x:v>63</x:v>
      </x:c>
      <x:c r="M9">
        <x:v>1</x:v>
      </x:c>
      <x:c r="N9">
        <x:v>1</x:v>
      </x:c>
    </x:row>
    <x:row r="10">
      <x:c r="B10">
        <x:v>8</x:v>
      </x:c>
      <x:c r="C10" t="s">
        <x:v>59</x:v>
      </x:c>
      <x:c r="D10">
        <x:v>1</x:v>
      </x:c>
      <x:c r="E10" t="s">
        <x:v>64</x:v>
      </x:c>
      <x:c r="F10" t="s">
        <x:v>65</x:v>
      </x:c>
      <x:c r="G10" t="s">
        <x:v>66</x:v>
      </x:c>
      <x:c r="I10" t="s">
        <x:v>63</x:v>
      </x:c>
      <x:c r="M10">
        <x:v>1</x:v>
      </x:c>
      <x:c r="N10">
        <x:v>1</x:v>
      </x:c>
    </x:row>
    <x:row r="11">
      <x:c r="B11">
        <x:v>9</x:v>
      </x:c>
      <x:c r="C11" t="s">
        <x:v>67</x:v>
      </x:c>
      <x:c r="D11">
        <x:v>1</x:v>
      </x:c>
      <x:c r="E11" t="s">
        <x:v>68</x:v>
      </x:c>
      <x:c r="F11" t="s">
        <x:v>69</x:v>
      </x:c>
      <x:c r="G11" t="s">
        <x:v>70</x:v>
      </x:c>
      <x:c r="I11" t="s">
        <x:v>63</x:v>
      </x:c>
      <x:c r="M11">
        <x:v>1</x:v>
      </x:c>
      <x:c r="N11">
        <x:v>1</x:v>
      </x:c>
    </x:row>
    <x:row r="12">
      <x:c r="B12">
        <x:v>10</x:v>
      </x:c>
      <x:c r="C12" t="s">
        <x:v>67</x:v>
      </x:c>
      <x:c r="D12">
        <x:v>1</x:v>
      </x:c>
      <x:c r="E12" t="s">
        <x:v>71</x:v>
      </x:c>
      <x:c r="F12" t="s">
        <x:v>15</x:v>
      </x:c>
      <x:c r="G12" t="s">
        <x:v>45</x:v>
      </x:c>
      <x:c r="I12" t="s">
        <x:v>46</x:v>
      </x:c>
      <x:c r="M12" s="3" t="n">
        <x:f>M3*3</x:f>
        <x:v>0.36</x:v>
      </x:c>
      <x:c r="N12" s="3" t="n">
        <x:f>M12*1.5</x:f>
        <x:v>0.54</x:v>
      </x:c>
    </x:row>
    <x:row r="13">
      <x:c r="B13">
        <x:v>11</x:v>
      </x:c>
      <x:c r="C13" t="s">
        <x:v>67</x:v>
      </x:c>
      <x:c r="D13">
        <x:v>1</x:v>
      </x:c>
      <x:c r="E13" t="s">
        <x:v>72</x:v>
      </x:c>
      <x:c r="F13" t="s">
        <x:v>15</x:v>
      </x:c>
      <x:c r="G13" t="s">
        <x:v>48</x:v>
      </x:c>
      <x:c r="I13" t="s">
        <x:v>49</x:v>
      </x:c>
      <x:c r="M13" s="4" t="n">
        <x:f t="shared" ref="M13:M17" si="0">M4*3</x:f>
        <x:v>30</x:v>
      </x:c>
      <x:c r="N13" s="4" t="n">
        <x:f t="shared" ref="N13:N17" si="1">M13*1.5</x:f>
        <x:v>45</x:v>
      </x:c>
    </x:row>
    <x:row r="14">
      <x:c r="B14">
        <x:v>12</x:v>
      </x:c>
      <x:c r="C14" t="s">
        <x:v>67</x:v>
      </x:c>
      <x:c r="D14">
        <x:v>1</x:v>
      </x:c>
      <x:c r="E14" t="s">
        <x:v>73</x:v>
      </x:c>
      <x:c r="F14" t="s">
        <x:v>18</x:v>
      </x:c>
      <x:c r="G14" t="s">
        <x:v>51</x:v>
      </x:c>
      <x:c r="I14" t="s">
        <x:v>49</x:v>
      </x:c>
      <x:c r="M14" s="6">
        <x:f t="shared" si="0"/>
        <x:v>24</x:v>
      </x:c>
      <x:c r="N14" s="6">
        <x:f t="shared" si="1"/>
        <x:v>36</x:v>
      </x:c>
    </x:row>
    <x:row r="15">
      <x:c r="B15">
        <x:v>13</x:v>
      </x:c>
      <x:c r="C15" t="s">
        <x:v>67</x:v>
      </x:c>
      <x:c r="D15">
        <x:v>1</x:v>
      </x:c>
      <x:c r="E15" t="s">
        <x:v>74</x:v>
      </x:c>
      <x:c r="F15" t="s">
        <x:v>53</x:v>
      </x:c>
      <x:c r="G15" t="s">
        <x:v>54</x:v>
      </x:c>
      <x:c r="I15" t="s">
        <x:v>49</x:v>
      </x:c>
      <x:c r="M15" s="7">
        <x:f t="shared" si="0"/>
        <x:v>45</x:v>
      </x:c>
      <x:c r="N15" s="7" t="n">
        <x:f>ROUND(M15*1.5,0)</x:f>
        <x:v>68</x:v>
      </x:c>
    </x:row>
    <x:row r="16">
      <x:c r="B16">
        <x:v>14</x:v>
      </x:c>
      <x:c r="C16" t="s">
        <x:v>67</x:v>
      </x:c>
      <x:c r="D16">
        <x:v>1</x:v>
      </x:c>
      <x:c r="E16" t="s">
        <x:v>75</x:v>
      </x:c>
      <x:c r="F16" t="s">
        <x:v>22</x:v>
      </x:c>
      <x:c r="G16" t="s">
        <x:v>56</x:v>
      </x:c>
      <x:c r="I16" t="s">
        <x:v>46</x:v>
      </x:c>
      <x:c r="L16" t="str">
        <x:v>최대 체력과 현재 체력을 함께 증가</x:v>
      </x:c>
      <x:c r="M16" s="8">
        <x:f t="shared" si="0"/>
        <x:v>0.36</x:v>
      </x:c>
      <x:c r="N16" s="8">
        <x:f t="shared" si="1"/>
        <x:v>0.54</x:v>
      </x:c>
    </x:row>
    <x:row r="17">
      <x:c r="B17">
        <x:v>15</x:v>
      </x:c>
      <x:c r="C17" t="s">
        <x:v>67</x:v>
      </x:c>
      <x:c r="D17">
        <x:v>1</x:v>
      </x:c>
      <x:c r="E17" t="s">
        <x:v>76</x:v>
      </x:c>
      <x:c r="F17" t="s">
        <x:v>22</x:v>
      </x:c>
      <x:c r="G17" t="s">
        <x:v>58</x:v>
      </x:c>
      <x:c r="I17" t="s">
        <x:v>49</x:v>
      </x:c>
      <x:c r="L17" t="str">
        <x:v>최대 체력과 현재 체력을 함께 증가</x:v>
      </x:c>
      <x:c r="M17" s="9">
        <x:f t="shared" si="0"/>
        <x:v>30</x:v>
      </x:c>
      <x:c r="N17" s="9">
        <x:f t="shared" si="1"/>
        <x:v>45</x:v>
      </x:c>
    </x:row>
    <x:row r="23">
      <x:c r="G23" s="5"/>
      <x:c r="J23" s="5"/>
    </x:row>
    <x:row r="124">
      <x:c r="G124" s="1"/>
    </x:row>
    <x:row r="125">
      <x:c r="G125" s="1"/>
    </x:row>
    <x:row r="126">
      <x:c r="G126" s="1"/>
    </x:row>
    <x:row r="127">
      <x:c r="G127" s="1"/>
    </x:row>
    <x:row r="128">
      <x:c r="G128" s="1"/>
    </x:row>
    <x:row r="129">
      <x:c r="G129" s="1"/>
    </x:row>
    <x:row r="130">
      <x:c r="G130" s="1"/>
    </x:row>
    <x:row r="131">
      <x:c r="G131" s="1"/>
    </x:row>
    <x:row r="132">
      <x:c r="G132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sheetData>
    <x:row r="2">
      <x:c r="B2" t="s">
        <x:v>77</x:v>
      </x:c>
      <x:c r="C2" t="s">
        <x:v>78</x:v>
      </x:c>
      <x:c r="D2" t="s">
        <x:v>79</x:v>
      </x:c>
      <x:c r="E2" t="s">
        <x:v>80</x:v>
      </x:c>
      <x:c r="F2" t="s">
        <x:v>15</x:v>
      </x:c>
      <x:c r="G2" t="s">
        <x:v>22</x:v>
      </x:c>
      <x:c r="H2" t="s">
        <x:v>40</x:v>
      </x:c>
    </x:row>
    <x:row r="3">
      <x:c r="B3">
        <x:v>1</x:v>
      </x:c>
      <x:c r="C3">
        <x:v>1</x:v>
      </x:c>
      <x:c r="D3">
        <x:v>1</x:v>
      </x:c>
      <x:c r="E3" t="s">
        <x:v>43</x:v>
      </x:c>
      <x:c r="F3">
        <x:v>33</x:v>
      </x:c>
      <x:c r="G3">
        <x:v>55</x:v>
      </x:c>
    </x:row>
    <x:row r="4">
      <x:c r="B4">
        <x:v>2</x:v>
      </x:c>
      <x:c r="C4">
        <x:v>1</x:v>
      </x:c>
      <x:c r="D4">
        <x:v>1</x:v>
      </x:c>
      <x:c r="E4" t="s">
        <x:v>81</x:v>
      </x:c>
      <x:c r="F4">
        <x:v>55</x:v>
      </x:c>
      <x:c r="G4" t="n">
        <x:f>G3*2</x:f>
        <x:v>110</x:v>
      </x:c>
    </x:row>
    <x:row r="5">
      <x:c r="B5">
        <x:v>3</x:v>
      </x:c>
      <x:c r="C5">
        <x:v>1</x:v>
      </x:c>
      <x:c r="D5">
        <x:v>1</x:v>
      </x:c>
      <x:c r="E5" t="s">
        <x:v>82</x:v>
      </x:c>
      <x:c r="F5">
        <x:v>165</x:v>
      </x:c>
      <x:c r="G5" t="n">
        <x:f>ROUNDUP(G4*1.7,-1)</x:f>
        <x:v>190</x:v>
      </x:c>
    </x:row>
    <x:row r="6">
      <x:c r="B6">
        <x:v>4</x:v>
      </x:c>
      <x:c r="C6">
        <x:v>1</x:v>
      </x:c>
      <x:c r="D6">
        <x:v>2</x:v>
      </x:c>
      <x:c r="E6" t="s">
        <x:v>43</x:v>
      </x:c>
      <x:c r="F6">
        <x:v>36</x:v>
      </x:c>
      <x:c r="G6" t="n">
        <x:f>G3+5</x:f>
        <x:v>60</x:v>
      </x:c>
    </x:row>
    <x:row r="7">
      <x:c r="B7">
        <x:v>5</x:v>
      </x:c>
      <x:c r="C7">
        <x:v>1</x:v>
      </x:c>
      <x:c r="D7">
        <x:v>2</x:v>
      </x:c>
      <x:c r="E7" t="s">
        <x:v>81</x:v>
      </x:c>
      <x:c r="F7">
        <x:v>60</x:v>
      </x:c>
      <x:c r="G7" t="n">
        <x:f>G6*2</x:f>
        <x:v>120</x:v>
      </x:c>
    </x:row>
    <x:row r="8">
      <x:c r="B8">
        <x:v>6</x:v>
      </x:c>
      <x:c r="C8">
        <x:v>1</x:v>
      </x:c>
      <x:c r="D8">
        <x:v>2</x:v>
      </x:c>
      <x:c r="E8" t="s">
        <x:v>82</x:v>
      </x:c>
      <x:c r="F8">
        <x:v>180</x:v>
      </x:c>
      <x:c r="G8" t="n">
        <x:f>ROUNDUP(G7*1.7,-1)</x:f>
        <x:v>210</x:v>
      </x:c>
    </x:row>
    <x:row r="9">
      <x:c r="B9">
        <x:v>7</x:v>
      </x:c>
      <x:c r="C9">
        <x:v>1</x:v>
      </x:c>
      <x:c r="D9">
        <x:v>3</x:v>
      </x:c>
      <x:c r="E9" t="s">
        <x:v>43</x:v>
      </x:c>
      <x:c r="F9">
        <x:v>39</x:v>
      </x:c>
      <x:c r="G9" t="n">
        <x:f>G6+5</x:f>
        <x:v>65</x:v>
      </x:c>
    </x:row>
    <x:row r="10">
      <x:c r="B10">
        <x:v>8</x:v>
      </x:c>
      <x:c r="C10">
        <x:v>1</x:v>
      </x:c>
      <x:c r="D10">
        <x:v>3</x:v>
      </x:c>
      <x:c r="E10" t="s">
        <x:v>81</x:v>
      </x:c>
      <x:c r="F10">
        <x:v>65</x:v>
      </x:c>
      <x:c r="G10" t="n">
        <x:f>G9*2</x:f>
        <x:v>130</x:v>
      </x:c>
    </x:row>
    <x:row r="11">
      <x:c r="B11">
        <x:v>9</x:v>
      </x:c>
      <x:c r="C11">
        <x:v>1</x:v>
      </x:c>
      <x:c r="D11">
        <x:v>3</x:v>
      </x:c>
      <x:c r="E11" t="s">
        <x:v>82</x:v>
      </x:c>
      <x:c r="F11">
        <x:v>195</x:v>
      </x:c>
      <x:c r="G11" t="n">
        <x:f>ROUNDUP(G10*1.7,-1)</x:f>
        <x:v>230</x:v>
      </x:c>
    </x:row>
    <x:row r="12">
      <x:c r="B12">
        <x:v>10</x:v>
      </x:c>
      <x:c r="C12">
        <x:v>1</x:v>
      </x:c>
      <x:c r="D12">
        <x:v>4</x:v>
      </x:c>
      <x:c r="E12" t="s">
        <x:v>43</x:v>
      </x:c>
      <x:c r="F12">
        <x:v>42</x:v>
      </x:c>
      <x:c r="G12" t="n">
        <x:f>G9+5</x:f>
        <x:v>70</x:v>
      </x:c>
    </x:row>
    <x:row r="13">
      <x:c r="B13">
        <x:v>11</x:v>
      </x:c>
      <x:c r="C13">
        <x:v>1</x:v>
      </x:c>
      <x:c r="D13">
        <x:v>4</x:v>
      </x:c>
      <x:c r="E13" t="s">
        <x:v>81</x:v>
      </x:c>
      <x:c r="F13">
        <x:v>70</x:v>
      </x:c>
      <x:c r="G13" t="n">
        <x:f>G12*2</x:f>
        <x:v>140</x:v>
      </x:c>
    </x:row>
    <x:row r="14">
      <x:c r="B14">
        <x:v>12</x:v>
      </x:c>
      <x:c r="C14">
        <x:v>1</x:v>
      </x:c>
      <x:c r="D14">
        <x:v>4</x:v>
      </x:c>
      <x:c r="E14" t="s">
        <x:v>82</x:v>
      </x:c>
      <x:c r="F14">
        <x:v>210</x:v>
      </x:c>
      <x:c r="G14" t="n">
        <x:f>ROUNDUP(G13*1.7,-1)</x:f>
        <x:v>240</x:v>
      </x:c>
    </x:row>
    <x:row r="15">
      <x:c r="B15">
        <x:v>13</x:v>
      </x:c>
      <x:c r="C15">
        <x:v>1</x:v>
      </x:c>
      <x:c r="D15">
        <x:v>5</x:v>
      </x:c>
      <x:c r="E15" t="s">
        <x:v>43</x:v>
      </x:c>
      <x:c r="F15">
        <x:v>45</x:v>
      </x:c>
      <x:c r="G15" t="n">
        <x:f>G12+5</x:f>
        <x:v>75</x:v>
      </x:c>
    </x:row>
    <x:row r="16">
      <x:c r="B16">
        <x:v>14</x:v>
      </x:c>
      <x:c r="C16">
        <x:v>1</x:v>
      </x:c>
      <x:c r="D16">
        <x:v>5</x:v>
      </x:c>
      <x:c r="E16" t="s">
        <x:v>81</x:v>
      </x:c>
      <x:c r="F16">
        <x:v>75</x:v>
      </x:c>
      <x:c r="G16" t="n">
        <x:f>G15*2</x:f>
        <x:v>150</x:v>
      </x:c>
    </x:row>
    <x:row r="17">
      <x:c r="B17">
        <x:v>15</x:v>
      </x:c>
      <x:c r="C17">
        <x:v>1</x:v>
      </x:c>
      <x:c r="D17">
        <x:v>5</x:v>
      </x:c>
      <x:c r="E17" t="s">
        <x:v>82</x:v>
      </x:c>
      <x:c r="F17">
        <x:v>225</x:v>
      </x:c>
      <x:c r="G17" t="n">
        <x:f>ROUNDUP(G16*1.7,-1)</x:f>
        <x:v>260</x:v>
      </x:c>
    </x:row>
    <x:row r="18">
      <x:c r="B18">
        <x:v>16</x:v>
      </x:c>
      <x:c r="C18">
        <x:v>1</x:v>
      </x:c>
      <x:c r="D18">
        <x:v>6</x:v>
      </x:c>
      <x:c r="E18" t="s">
        <x:v>43</x:v>
      </x:c>
      <x:c r="F18">
        <x:v>48</x:v>
      </x:c>
      <x:c r="G18" t="n">
        <x:f>G15+5</x:f>
        <x:v>80</x:v>
      </x:c>
    </x:row>
    <x:row r="19">
      <x:c r="B19">
        <x:v>17</x:v>
      </x:c>
      <x:c r="C19">
        <x:v>1</x:v>
      </x:c>
      <x:c r="D19">
        <x:v>6</x:v>
      </x:c>
      <x:c r="E19" t="s">
        <x:v>81</x:v>
      </x:c>
      <x:c r="F19">
        <x:v>80</x:v>
      </x:c>
      <x:c r="G19" t="n">
        <x:f>G18*2</x:f>
        <x:v>160</x:v>
      </x:c>
    </x:row>
    <x:row r="20">
      <x:c r="B20">
        <x:v>18</x:v>
      </x:c>
      <x:c r="C20">
        <x:v>1</x:v>
      </x:c>
      <x:c r="D20">
        <x:v>6</x:v>
      </x:c>
      <x:c r="E20" t="s">
        <x:v>82</x:v>
      </x:c>
      <x:c r="F20">
        <x:v>240</x:v>
      </x:c>
      <x:c r="G20" t="n">
        <x:f>ROUNDUP(G19*1.7,-1)</x:f>
        <x:v>280</x:v>
      </x:c>
    </x:row>
    <x:row r="21">
      <x:c r="B21">
        <x:v>19</x:v>
      </x:c>
      <x:c r="C21">
        <x:v>1</x:v>
      </x:c>
      <x:c r="D21">
        <x:v>7</x:v>
      </x:c>
      <x:c r="E21" t="s">
        <x:v>43</x:v>
      </x:c>
      <x:c r="F21">
        <x:v>51</x:v>
      </x:c>
      <x:c r="G21" t="n">
        <x:f>G18+5</x:f>
        <x:v>85</x:v>
      </x:c>
    </x:row>
    <x:row r="22">
      <x:c r="B22">
        <x:v>20</x:v>
      </x:c>
      <x:c r="C22">
        <x:v>1</x:v>
      </x:c>
      <x:c r="D22">
        <x:v>7</x:v>
      </x:c>
      <x:c r="E22" t="s">
        <x:v>81</x:v>
      </x:c>
      <x:c r="F22">
        <x:v>85</x:v>
      </x:c>
      <x:c r="G22" t="n">
        <x:f>G21*2</x:f>
        <x:v>170</x:v>
      </x:c>
    </x:row>
    <x:row r="23">
      <x:c r="B23">
        <x:v>21</x:v>
      </x:c>
      <x:c r="C23">
        <x:v>1</x:v>
      </x:c>
      <x:c r="D23">
        <x:v>7</x:v>
      </x:c>
      <x:c r="E23" t="s">
        <x:v>82</x:v>
      </x:c>
      <x:c r="F23">
        <x:v>255</x:v>
      </x:c>
      <x:c r="G23" t="n">
        <x:f>ROUNDUP(G22*1.7,-1)</x:f>
        <x:v>290</x:v>
      </x:c>
    </x:row>
    <x:row r="24">
      <x:c r="B24">
        <x:v>22</x:v>
      </x:c>
      <x:c r="C24">
        <x:v>1</x:v>
      </x:c>
      <x:c r="D24">
        <x:v>8</x:v>
      </x:c>
      <x:c r="E24" t="s">
        <x:v>43</x:v>
      </x:c>
      <x:c r="F24">
        <x:v>54</x:v>
      </x:c>
      <x:c r="G24" t="n">
        <x:f>G21+5</x:f>
        <x:v>90</x:v>
      </x:c>
    </x:row>
    <x:row r="25">
      <x:c r="B25">
        <x:v>23</x:v>
      </x:c>
      <x:c r="C25">
        <x:v>1</x:v>
      </x:c>
      <x:c r="D25">
        <x:v>8</x:v>
      </x:c>
      <x:c r="E25" t="s">
        <x:v>81</x:v>
      </x:c>
      <x:c r="F25">
        <x:v>90</x:v>
      </x:c>
      <x:c r="G25" t="n">
        <x:f>G24*2</x:f>
        <x:v>180</x:v>
      </x:c>
    </x:row>
    <x:row r="26">
      <x:c r="B26">
        <x:v>24</x:v>
      </x:c>
      <x:c r="C26">
        <x:v>1</x:v>
      </x:c>
      <x:c r="D26">
        <x:v>8</x:v>
      </x:c>
      <x:c r="E26" t="s">
        <x:v>82</x:v>
      </x:c>
      <x:c r="F26">
        <x:v>270</x:v>
      </x:c>
      <x:c r="G26" t="n">
        <x:f>ROUNDUP(G25*1.7,-1)</x:f>
        <x:v>310</x:v>
      </x:c>
    </x:row>
    <x:row r="27">
      <x:c r="B27">
        <x:v>25</x:v>
      </x:c>
      <x:c r="C27">
        <x:v>1</x:v>
      </x:c>
      <x:c r="D27">
        <x:v>9</x:v>
      </x:c>
      <x:c r="E27" t="s">
        <x:v>43</x:v>
      </x:c>
      <x:c r="F27">
        <x:v>57</x:v>
      </x:c>
      <x:c r="G27" t="n">
        <x:f>G24+5</x:f>
        <x:v>95</x:v>
      </x:c>
    </x:row>
    <x:row r="28">
      <x:c r="B28">
        <x:v>26</x:v>
      </x:c>
      <x:c r="C28">
        <x:v>1</x:v>
      </x:c>
      <x:c r="D28">
        <x:v>9</x:v>
      </x:c>
      <x:c r="E28" t="s">
        <x:v>81</x:v>
      </x:c>
      <x:c r="F28">
        <x:v>95</x:v>
      </x:c>
      <x:c r="G28" t="n">
        <x:f>G27*2</x:f>
        <x:v>190</x:v>
      </x:c>
    </x:row>
    <x:row r="29">
      <x:c r="B29">
        <x:v>27</x:v>
      </x:c>
      <x:c r="C29">
        <x:v>1</x:v>
      </x:c>
      <x:c r="D29">
        <x:v>9</x:v>
      </x:c>
      <x:c r="E29" t="s">
        <x:v>82</x:v>
      </x:c>
      <x:c r="F29">
        <x:v>285</x:v>
      </x:c>
      <x:c r="G29" t="n">
        <x:f>ROUNDUP(G28*1.7,-1)</x:f>
        <x:v>330</x:v>
      </x:c>
    </x:row>
    <x:row r="30">
      <x:c r="B30">
        <x:v>28</x:v>
      </x:c>
      <x:c r="C30">
        <x:v>1</x:v>
      </x:c>
      <x:c r="D30">
        <x:v>10</x:v>
      </x:c>
      <x:c r="E30" t="s">
        <x:v>43</x:v>
      </x:c>
      <x:c r="F30">
        <x:v>60</x:v>
      </x:c>
      <x:c r="G30" t="n">
        <x:f>G27+5</x:f>
        <x:v>100</x:v>
      </x:c>
    </x:row>
    <x:row r="31">
      <x:c r="B31">
        <x:v>29</x:v>
      </x:c>
      <x:c r="C31">
        <x:v>1</x:v>
      </x:c>
      <x:c r="D31">
        <x:v>10</x:v>
      </x:c>
      <x:c r="E31" t="s">
        <x:v>81</x:v>
      </x:c>
      <x:c r="F31">
        <x:v>100</x:v>
      </x:c>
      <x:c r="G31" t="n">
        <x:f>G30*2</x:f>
        <x:v>200</x:v>
      </x:c>
    </x:row>
    <x:row r="32">
      <x:c r="B32">
        <x:v>30</x:v>
      </x:c>
      <x:c r="C32">
        <x:v>1</x:v>
      </x:c>
      <x:c r="D32">
        <x:v>10</x:v>
      </x:c>
      <x:c r="E32" t="s">
        <x:v>82</x:v>
      </x:c>
      <x:c r="F32">
        <x:v>300</x:v>
      </x:c>
      <x:c r="G32" t="n">
        <x:f>ROUNDUP(G31*1.7,-1)</x:f>
        <x:v>340</x:v>
      </x:c>
    </x:row>
    <x:row r="33">
      <x:c r="B33">
        <x:v>31</x:v>
      </x:c>
      <x:c r="C33">
        <x:v>2</x:v>
      </x:c>
      <x:c r="D33">
        <x:v>1</x:v>
      </x:c>
      <x:c r="E33" t="s">
        <x:v>43</x:v>
      </x:c>
      <x:c r="F33">
        <x:v>63</x:v>
      </x:c>
      <x:c r="G33" t="n">
        <x:f>G30+5</x:f>
        <x:v>105</x:v>
      </x:c>
    </x:row>
    <x:row r="34">
      <x:c r="B34">
        <x:v>32</x:v>
      </x:c>
      <x:c r="C34">
        <x:v>2</x:v>
      </x:c>
      <x:c r="D34">
        <x:v>1</x:v>
      </x:c>
      <x:c r="E34" t="s">
        <x:v>81</x:v>
      </x:c>
      <x:c r="F34">
        <x:v>105</x:v>
      </x:c>
      <x:c r="G34" t="n">
        <x:f>G33*2</x:f>
        <x:v>210</x:v>
      </x:c>
    </x:row>
    <x:row r="35">
      <x:c r="B35">
        <x:v>33</x:v>
      </x:c>
      <x:c r="C35">
        <x:v>2</x:v>
      </x:c>
      <x:c r="D35">
        <x:v>1</x:v>
      </x:c>
      <x:c r="E35" t="s">
        <x:v>82</x:v>
      </x:c>
      <x:c r="F35">
        <x:v>315</x:v>
      </x:c>
      <x:c r="G35" t="n">
        <x:f>ROUNDUP(G34*1.7,-1)</x:f>
        <x:v>360</x:v>
      </x:c>
    </x:row>
    <x:row r="36">
      <x:c r="B36">
        <x:v>34</x:v>
      </x:c>
      <x:c r="C36">
        <x:v>2</x:v>
      </x:c>
      <x:c r="D36">
        <x:v>2</x:v>
      </x:c>
      <x:c r="E36" t="s">
        <x:v>43</x:v>
      </x:c>
      <x:c r="F36">
        <x:v>66</x:v>
      </x:c>
      <x:c r="G36" t="n">
        <x:f>G33+5</x:f>
        <x:v>110</x:v>
      </x:c>
    </x:row>
    <x:row r="37">
      <x:c r="B37">
        <x:v>35</x:v>
      </x:c>
      <x:c r="C37">
        <x:v>2</x:v>
      </x:c>
      <x:c r="D37">
        <x:v>2</x:v>
      </x:c>
      <x:c r="E37" t="s">
        <x:v>81</x:v>
      </x:c>
      <x:c r="F37">
        <x:v>110</x:v>
      </x:c>
      <x:c r="G37" t="n">
        <x:f>G36*2</x:f>
        <x:v>220</x:v>
      </x:c>
    </x:row>
    <x:row r="38">
      <x:c r="B38">
        <x:v>36</x:v>
      </x:c>
      <x:c r="C38">
        <x:v>2</x:v>
      </x:c>
      <x:c r="D38">
        <x:v>2</x:v>
      </x:c>
      <x:c r="E38" t="s">
        <x:v>82</x:v>
      </x:c>
      <x:c r="F38">
        <x:v>330</x:v>
      </x:c>
      <x:c r="G38" t="n">
        <x:f>ROUNDUP(G37*1.7,-1)</x:f>
        <x:v>380</x:v>
      </x:c>
    </x:row>
    <x:row r="39">
      <x:c r="B39">
        <x:v>37</x:v>
      </x:c>
      <x:c r="C39">
        <x:v>2</x:v>
      </x:c>
      <x:c r="D39">
        <x:v>3</x:v>
      </x:c>
      <x:c r="E39" t="s">
        <x:v>43</x:v>
      </x:c>
      <x:c r="F39">
        <x:v>69</x:v>
      </x:c>
      <x:c r="G39" t="n">
        <x:f>G36+5</x:f>
        <x:v>115</x:v>
      </x:c>
    </x:row>
    <x:row r="40">
      <x:c r="B40">
        <x:v>38</x:v>
      </x:c>
      <x:c r="C40">
        <x:v>2</x:v>
      </x:c>
      <x:c r="D40">
        <x:v>3</x:v>
      </x:c>
      <x:c r="E40" t="s">
        <x:v>81</x:v>
      </x:c>
      <x:c r="F40">
        <x:v>115</x:v>
      </x:c>
      <x:c r="G40" t="n">
        <x:f>G39*2</x:f>
        <x:v>230</x:v>
      </x:c>
    </x:row>
    <x:row r="41">
      <x:c r="B41">
        <x:v>39</x:v>
      </x:c>
      <x:c r="C41">
        <x:v>2</x:v>
      </x:c>
      <x:c r="D41">
        <x:v>3</x:v>
      </x:c>
      <x:c r="E41" t="s">
        <x:v>82</x:v>
      </x:c>
      <x:c r="F41">
        <x:v>345</x:v>
      </x:c>
      <x:c r="G41" t="n">
        <x:f>ROUNDUP(G40*1.7,-1)</x:f>
        <x:v>400</x:v>
      </x:c>
    </x:row>
    <x:row r="42">
      <x:c r="B42">
        <x:v>40</x:v>
      </x:c>
      <x:c r="C42">
        <x:v>2</x:v>
      </x:c>
      <x:c r="D42">
        <x:v>4</x:v>
      </x:c>
      <x:c r="E42" t="s">
        <x:v>43</x:v>
      </x:c>
      <x:c r="F42">
        <x:v>72</x:v>
      </x:c>
      <x:c r="G42" t="n">
        <x:f>G39+5</x:f>
        <x:v>120</x:v>
      </x:c>
    </x:row>
    <x:row r="43">
      <x:c r="B43">
        <x:v>41</x:v>
      </x:c>
      <x:c r="C43">
        <x:v>2</x:v>
      </x:c>
      <x:c r="D43">
        <x:v>4</x:v>
      </x:c>
      <x:c r="E43" t="s">
        <x:v>81</x:v>
      </x:c>
      <x:c r="F43">
        <x:v>120</x:v>
      </x:c>
      <x:c r="G43" t="n">
        <x:f>G42*2</x:f>
        <x:v>240</x:v>
      </x:c>
    </x:row>
    <x:row r="44">
      <x:c r="B44">
        <x:v>42</x:v>
      </x:c>
      <x:c r="C44">
        <x:v>2</x:v>
      </x:c>
      <x:c r="D44">
        <x:v>4</x:v>
      </x:c>
      <x:c r="E44" t="s">
        <x:v>82</x:v>
      </x:c>
      <x:c r="F44">
        <x:v>360</x:v>
      </x:c>
      <x:c r="G44" t="n">
        <x:f>ROUNDUP(G43*1.7,-1)</x:f>
        <x:v>410</x:v>
      </x:c>
    </x:row>
    <x:row r="45">
      <x:c r="B45">
        <x:v>43</x:v>
      </x:c>
      <x:c r="C45">
        <x:v>2</x:v>
      </x:c>
      <x:c r="D45">
        <x:v>5</x:v>
      </x:c>
      <x:c r="E45" t="s">
        <x:v>43</x:v>
      </x:c>
      <x:c r="F45">
        <x:v>75</x:v>
      </x:c>
      <x:c r="G45" t="n">
        <x:f>G42+5</x:f>
        <x:v>125</x:v>
      </x:c>
    </x:row>
    <x:row r="46">
      <x:c r="B46">
        <x:v>44</x:v>
      </x:c>
      <x:c r="C46">
        <x:v>2</x:v>
      </x:c>
      <x:c r="D46">
        <x:v>5</x:v>
      </x:c>
      <x:c r="E46" t="s">
        <x:v>81</x:v>
      </x:c>
      <x:c r="F46">
        <x:v>125</x:v>
      </x:c>
      <x:c r="G46" t="n">
        <x:f>G45*2</x:f>
        <x:v>250</x:v>
      </x:c>
    </x:row>
    <x:row r="47">
      <x:c r="B47">
        <x:v>45</x:v>
      </x:c>
      <x:c r="C47">
        <x:v>2</x:v>
      </x:c>
      <x:c r="D47">
        <x:v>5</x:v>
      </x:c>
      <x:c r="E47" t="s">
        <x:v>82</x:v>
      </x:c>
      <x:c r="F47">
        <x:v>375</x:v>
      </x:c>
      <x:c r="G47" t="n">
        <x:f>ROUNDUP(G46*1.7,-1)</x:f>
        <x:v>430</x:v>
      </x:c>
    </x:row>
    <x:row r="48">
      <x:c r="B48">
        <x:v>46</x:v>
      </x:c>
      <x:c r="C48">
        <x:v>2</x:v>
      </x:c>
      <x:c r="D48">
        <x:v>6</x:v>
      </x:c>
      <x:c r="E48" t="s">
        <x:v>43</x:v>
      </x:c>
      <x:c r="F48">
        <x:v>78</x:v>
      </x:c>
      <x:c r="G48" t="n">
        <x:f>G45+5</x:f>
        <x:v>130</x:v>
      </x:c>
    </x:row>
    <x:row r="49">
      <x:c r="B49">
        <x:v>47</x:v>
      </x:c>
      <x:c r="C49">
        <x:v>2</x:v>
      </x:c>
      <x:c r="D49">
        <x:v>6</x:v>
      </x:c>
      <x:c r="E49" t="s">
        <x:v>81</x:v>
      </x:c>
      <x:c r="F49">
        <x:v>130</x:v>
      </x:c>
      <x:c r="G49" t="n">
        <x:f>G48*2</x:f>
        <x:v>260</x:v>
      </x:c>
    </x:row>
    <x:row r="50">
      <x:c r="B50">
        <x:v>48</x:v>
      </x:c>
      <x:c r="C50">
        <x:v>2</x:v>
      </x:c>
      <x:c r="D50">
        <x:v>6</x:v>
      </x:c>
      <x:c r="E50" t="s">
        <x:v>82</x:v>
      </x:c>
      <x:c r="F50">
        <x:v>390</x:v>
      </x:c>
      <x:c r="G50" t="n">
        <x:f>ROUNDUP(G49*1.7,-1)</x:f>
        <x:v>450</x:v>
      </x:c>
    </x:row>
    <x:row r="51">
      <x:c r="B51">
        <x:v>49</x:v>
      </x:c>
      <x:c r="C51">
        <x:v>2</x:v>
      </x:c>
      <x:c r="D51">
        <x:v>7</x:v>
      </x:c>
      <x:c r="E51" t="s">
        <x:v>43</x:v>
      </x:c>
      <x:c r="F51">
        <x:v>81</x:v>
      </x:c>
      <x:c r="G51" t="n">
        <x:f>G48+5</x:f>
        <x:v>135</x:v>
      </x:c>
    </x:row>
    <x:row r="52">
      <x:c r="B52">
        <x:v>50</x:v>
      </x:c>
      <x:c r="C52">
        <x:v>2</x:v>
      </x:c>
      <x:c r="D52">
        <x:v>7</x:v>
      </x:c>
      <x:c r="E52" t="s">
        <x:v>81</x:v>
      </x:c>
      <x:c r="F52">
        <x:v>135</x:v>
      </x:c>
      <x:c r="G52" t="n">
        <x:f>G51*2</x:f>
        <x:v>270</x:v>
      </x:c>
    </x:row>
    <x:row r="53">
      <x:c r="B53">
        <x:v>51</x:v>
      </x:c>
      <x:c r="C53">
        <x:v>2</x:v>
      </x:c>
      <x:c r="D53">
        <x:v>7</x:v>
      </x:c>
      <x:c r="E53" t="s">
        <x:v>82</x:v>
      </x:c>
      <x:c r="F53">
        <x:v>405</x:v>
      </x:c>
      <x:c r="G53" t="n">
        <x:f>ROUNDUP(G52*1.7,-1)</x:f>
        <x:v>460</x:v>
      </x:c>
    </x:row>
    <x:row r="54">
      <x:c r="B54">
        <x:v>52</x:v>
      </x:c>
      <x:c r="C54">
        <x:v>2</x:v>
      </x:c>
      <x:c r="D54">
        <x:v>8</x:v>
      </x:c>
      <x:c r="E54" t="s">
        <x:v>43</x:v>
      </x:c>
      <x:c r="F54">
        <x:v>84</x:v>
      </x:c>
      <x:c r="G54" t="n">
        <x:f>G51+5</x:f>
        <x:v>140</x:v>
      </x:c>
    </x:row>
    <x:row r="55">
      <x:c r="B55">
        <x:v>53</x:v>
      </x:c>
      <x:c r="C55">
        <x:v>2</x:v>
      </x:c>
      <x:c r="D55">
        <x:v>8</x:v>
      </x:c>
      <x:c r="E55" t="s">
        <x:v>81</x:v>
      </x:c>
      <x:c r="F55">
        <x:v>140</x:v>
      </x:c>
      <x:c r="G55" t="n">
        <x:f>G54*2</x:f>
        <x:v>280</x:v>
      </x:c>
    </x:row>
    <x:row r="56">
      <x:c r="B56">
        <x:v>54</x:v>
      </x:c>
      <x:c r="C56">
        <x:v>2</x:v>
      </x:c>
      <x:c r="D56">
        <x:v>8</x:v>
      </x:c>
      <x:c r="E56" t="s">
        <x:v>82</x:v>
      </x:c>
      <x:c r="F56">
        <x:v>420</x:v>
      </x:c>
      <x:c r="G56" t="n">
        <x:f>ROUNDUP(G55*1.7,-1)</x:f>
        <x:v>480</x:v>
      </x:c>
    </x:row>
    <x:row r="57">
      <x:c r="B57">
        <x:v>55</x:v>
      </x:c>
      <x:c r="C57">
        <x:v>2</x:v>
      </x:c>
      <x:c r="D57">
        <x:v>9</x:v>
      </x:c>
      <x:c r="E57" t="s">
        <x:v>43</x:v>
      </x:c>
      <x:c r="F57">
        <x:v>87</x:v>
      </x:c>
      <x:c r="G57" t="n">
        <x:f>G54+5</x:f>
        <x:v>145</x:v>
      </x:c>
    </x:row>
    <x:row r="58">
      <x:c r="B58">
        <x:v>56</x:v>
      </x:c>
      <x:c r="C58">
        <x:v>2</x:v>
      </x:c>
      <x:c r="D58">
        <x:v>9</x:v>
      </x:c>
      <x:c r="E58" t="s">
        <x:v>81</x:v>
      </x:c>
      <x:c r="F58">
        <x:v>145</x:v>
      </x:c>
      <x:c r="G58" t="n">
        <x:f>G57*2</x:f>
        <x:v>290</x:v>
      </x:c>
    </x:row>
    <x:row r="59">
      <x:c r="B59">
        <x:v>57</x:v>
      </x:c>
      <x:c r="C59">
        <x:v>2</x:v>
      </x:c>
      <x:c r="D59">
        <x:v>9</x:v>
      </x:c>
      <x:c r="E59" t="s">
        <x:v>82</x:v>
      </x:c>
      <x:c r="F59">
        <x:v>435</x:v>
      </x:c>
      <x:c r="G59" t="n">
        <x:f>ROUNDUP(G58*1.7,-1)</x:f>
        <x:v>500</x:v>
      </x:c>
    </x:row>
    <x:row r="60">
      <x:c r="B60">
        <x:v>58</x:v>
      </x:c>
      <x:c r="C60">
        <x:v>2</x:v>
      </x:c>
      <x:c r="D60">
        <x:v>10</x:v>
      </x:c>
      <x:c r="E60" t="s">
        <x:v>43</x:v>
      </x:c>
      <x:c r="F60">
        <x:v>90</x:v>
      </x:c>
      <x:c r="G60" t="n">
        <x:f>G57+5</x:f>
        <x:v>150</x:v>
      </x:c>
    </x:row>
    <x:row r="61">
      <x:c r="B61">
        <x:v>59</x:v>
      </x:c>
      <x:c r="C61">
        <x:v>2</x:v>
      </x:c>
      <x:c r="D61">
        <x:v>10</x:v>
      </x:c>
      <x:c r="E61" t="s">
        <x:v>81</x:v>
      </x:c>
      <x:c r="F61">
        <x:v>150</x:v>
      </x:c>
      <x:c r="G61" t="n">
        <x:f>G60*2</x:f>
        <x:v>300</x:v>
      </x:c>
    </x:row>
    <x:row r="62">
      <x:c r="B62">
        <x:v>60</x:v>
      </x:c>
      <x:c r="C62">
        <x:v>2</x:v>
      </x:c>
      <x:c r="D62">
        <x:v>10</x:v>
      </x:c>
      <x:c r="E62" t="s">
        <x:v>82</x:v>
      </x:c>
      <x:c r="F62">
        <x:v>450</x:v>
      </x:c>
      <x:c r="G62" t="n">
        <x:f>ROUNDUP(G61*1.7,-1)</x:f>
        <x:v>510</x:v>
      </x:c>
    </x:row>
    <x:row r="63">
      <x:c r="B63">
        <x:v>61</x:v>
      </x:c>
      <x:c r="C63">
        <x:v>3</x:v>
      </x:c>
      <x:c r="D63">
        <x:v>1</x:v>
      </x:c>
      <x:c r="E63" t="s">
        <x:v>43</x:v>
      </x:c>
      <x:c r="F63">
        <x:v>93</x:v>
      </x:c>
      <x:c r="G63" t="n">
        <x:f>G60+5</x:f>
        <x:v>155</x:v>
      </x:c>
    </x:row>
    <x:row r="64">
      <x:c r="B64">
        <x:v>62</x:v>
      </x:c>
      <x:c r="C64">
        <x:v>3</x:v>
      </x:c>
      <x:c r="D64">
        <x:v>1</x:v>
      </x:c>
      <x:c r="E64" t="s">
        <x:v>81</x:v>
      </x:c>
      <x:c r="F64">
        <x:v>155</x:v>
      </x:c>
      <x:c r="G64" t="n">
        <x:f>G63*2</x:f>
        <x:v>310</x:v>
      </x:c>
    </x:row>
    <x:row r="65">
      <x:c r="B65">
        <x:v>63</x:v>
      </x:c>
      <x:c r="C65">
        <x:v>3</x:v>
      </x:c>
      <x:c r="D65">
        <x:v>1</x:v>
      </x:c>
      <x:c r="E65" t="s">
        <x:v>82</x:v>
      </x:c>
      <x:c r="F65">
        <x:v>465</x:v>
      </x:c>
      <x:c r="G65" t="n">
        <x:f>ROUNDUP(G64*1.7,-1)</x:f>
        <x:v>530</x:v>
      </x:c>
    </x:row>
    <x:row r="66">
      <x:c r="B66">
        <x:v>64</x:v>
      </x:c>
      <x:c r="C66">
        <x:v>3</x:v>
      </x:c>
      <x:c r="D66">
        <x:v>2</x:v>
      </x:c>
      <x:c r="E66" t="s">
        <x:v>43</x:v>
      </x:c>
      <x:c r="F66">
        <x:v>96</x:v>
      </x:c>
      <x:c r="G66" t="n">
        <x:f>G63+5</x:f>
        <x:v>160</x:v>
      </x:c>
    </x:row>
    <x:row r="67">
      <x:c r="B67">
        <x:v>65</x:v>
      </x:c>
      <x:c r="C67">
        <x:v>3</x:v>
      </x:c>
      <x:c r="D67">
        <x:v>2</x:v>
      </x:c>
      <x:c r="E67" t="s">
        <x:v>81</x:v>
      </x:c>
      <x:c r="F67">
        <x:v>160</x:v>
      </x:c>
      <x:c r="G67" t="n">
        <x:f>G66*2</x:f>
        <x:v>320</x:v>
      </x:c>
    </x:row>
    <x:row r="68">
      <x:c r="B68">
        <x:v>66</x:v>
      </x:c>
      <x:c r="C68">
        <x:v>3</x:v>
      </x:c>
      <x:c r="D68">
        <x:v>2</x:v>
      </x:c>
      <x:c r="E68" t="s">
        <x:v>82</x:v>
      </x:c>
      <x:c r="F68">
        <x:v>480</x:v>
      </x:c>
      <x:c r="G68" t="n">
        <x:f>ROUNDUP(G67*1.7,-1)</x:f>
        <x:v>550</x:v>
      </x:c>
    </x:row>
    <x:row r="69">
      <x:c r="B69">
        <x:v>67</x:v>
      </x:c>
      <x:c r="C69">
        <x:v>3</x:v>
      </x:c>
      <x:c r="D69">
        <x:v>3</x:v>
      </x:c>
      <x:c r="E69" t="s">
        <x:v>43</x:v>
      </x:c>
      <x:c r="F69">
        <x:v>99</x:v>
      </x:c>
      <x:c r="G69" t="n">
        <x:f>G66+5</x:f>
        <x:v>165</x:v>
      </x:c>
    </x:row>
    <x:row r="70">
      <x:c r="B70">
        <x:v>68</x:v>
      </x:c>
      <x:c r="C70">
        <x:v>3</x:v>
      </x:c>
      <x:c r="D70">
        <x:v>3</x:v>
      </x:c>
      <x:c r="E70" t="s">
        <x:v>81</x:v>
      </x:c>
      <x:c r="F70">
        <x:v>165</x:v>
      </x:c>
      <x:c r="G70" t="n">
        <x:f>G69*2</x:f>
        <x:v>330</x:v>
      </x:c>
    </x:row>
    <x:row r="71">
      <x:c r="B71">
        <x:v>69</x:v>
      </x:c>
      <x:c r="C71">
        <x:v>3</x:v>
      </x:c>
      <x:c r="D71">
        <x:v>3</x:v>
      </x:c>
      <x:c r="E71" t="s">
        <x:v>82</x:v>
      </x:c>
      <x:c r="F71">
        <x:v>495</x:v>
      </x:c>
      <x:c r="G71" t="n">
        <x:f>ROUNDUP(G70*1.7,-1)</x:f>
        <x:v>570</x:v>
      </x:c>
    </x:row>
    <x:row r="72">
      <x:c r="B72">
        <x:v>70</x:v>
      </x:c>
      <x:c r="C72">
        <x:v>3</x:v>
      </x:c>
      <x:c r="D72">
        <x:v>4</x:v>
      </x:c>
      <x:c r="E72" t="s">
        <x:v>43</x:v>
      </x:c>
      <x:c r="F72">
        <x:v>102</x:v>
      </x:c>
      <x:c r="G72" t="n">
        <x:f>G69+5</x:f>
        <x:v>170</x:v>
      </x:c>
    </x:row>
    <x:row r="73">
      <x:c r="B73">
        <x:v>71</x:v>
      </x:c>
      <x:c r="C73">
        <x:v>3</x:v>
      </x:c>
      <x:c r="D73">
        <x:v>4</x:v>
      </x:c>
      <x:c r="E73" t="s">
        <x:v>81</x:v>
      </x:c>
      <x:c r="F73">
        <x:v>170</x:v>
      </x:c>
      <x:c r="G73" t="n">
        <x:f>G72*2</x:f>
        <x:v>340</x:v>
      </x:c>
    </x:row>
    <x:row r="74">
      <x:c r="B74">
        <x:v>72</x:v>
      </x:c>
      <x:c r="C74">
        <x:v>3</x:v>
      </x:c>
      <x:c r="D74">
        <x:v>4</x:v>
      </x:c>
      <x:c r="E74" t="s">
        <x:v>82</x:v>
      </x:c>
      <x:c r="F74">
        <x:v>510</x:v>
      </x:c>
      <x:c r="G74" t="n">
        <x:f>ROUNDUP(G73*1.7,-1)</x:f>
        <x:v>580</x:v>
      </x:c>
    </x:row>
    <x:row r="75">
      <x:c r="B75">
        <x:v>73</x:v>
      </x:c>
      <x:c r="C75">
        <x:v>3</x:v>
      </x:c>
      <x:c r="D75">
        <x:v>5</x:v>
      </x:c>
      <x:c r="E75" t="s">
        <x:v>43</x:v>
      </x:c>
      <x:c r="F75">
        <x:v>105</x:v>
      </x:c>
      <x:c r="G75" t="n">
        <x:f>G72+5</x:f>
        <x:v>175</x:v>
      </x:c>
    </x:row>
    <x:row r="76">
      <x:c r="B76">
        <x:v>74</x:v>
      </x:c>
      <x:c r="C76">
        <x:v>3</x:v>
      </x:c>
      <x:c r="D76">
        <x:v>5</x:v>
      </x:c>
      <x:c r="E76" t="s">
        <x:v>81</x:v>
      </x:c>
      <x:c r="F76">
        <x:v>175</x:v>
      </x:c>
      <x:c r="G76" t="n">
        <x:f>G75*2</x:f>
        <x:v>350</x:v>
      </x:c>
    </x:row>
    <x:row r="77">
      <x:c r="B77">
        <x:v>75</x:v>
      </x:c>
      <x:c r="C77">
        <x:v>3</x:v>
      </x:c>
      <x:c r="D77">
        <x:v>5</x:v>
      </x:c>
      <x:c r="E77" t="s">
        <x:v>82</x:v>
      </x:c>
      <x:c r="F77">
        <x:v>525</x:v>
      </x:c>
      <x:c r="G77" t="n">
        <x:f>ROUNDUP(G76*1.7,-1)</x:f>
        <x:v>600</x:v>
      </x:c>
    </x:row>
    <x:row r="78">
      <x:c r="B78">
        <x:v>76</x:v>
      </x:c>
      <x:c r="C78">
        <x:v>3</x:v>
      </x:c>
      <x:c r="D78">
        <x:v>6</x:v>
      </x:c>
      <x:c r="E78" t="s">
        <x:v>43</x:v>
      </x:c>
      <x:c r="F78">
        <x:v>108</x:v>
      </x:c>
      <x:c r="G78" t="n">
        <x:f>G75+5</x:f>
        <x:v>180</x:v>
      </x:c>
    </x:row>
    <x:row r="79">
      <x:c r="B79">
        <x:v>77</x:v>
      </x:c>
      <x:c r="C79">
        <x:v>3</x:v>
      </x:c>
      <x:c r="D79">
        <x:v>6</x:v>
      </x:c>
      <x:c r="E79" t="s">
        <x:v>81</x:v>
      </x:c>
      <x:c r="F79">
        <x:v>180</x:v>
      </x:c>
      <x:c r="G79" t="n">
        <x:f>G78*2</x:f>
        <x:v>360</x:v>
      </x:c>
    </x:row>
    <x:row r="80">
      <x:c r="B80">
        <x:v>78</x:v>
      </x:c>
      <x:c r="C80">
        <x:v>3</x:v>
      </x:c>
      <x:c r="D80">
        <x:v>6</x:v>
      </x:c>
      <x:c r="E80" t="s">
        <x:v>82</x:v>
      </x:c>
      <x:c r="F80">
        <x:v>540</x:v>
      </x:c>
      <x:c r="G80" t="n">
        <x:f>ROUNDUP(G79*1.7,-1)</x:f>
        <x:v>620</x:v>
      </x:c>
    </x:row>
    <x:row r="81">
      <x:c r="B81">
        <x:v>79</x:v>
      </x:c>
      <x:c r="C81">
        <x:v>3</x:v>
      </x:c>
      <x:c r="D81">
        <x:v>7</x:v>
      </x:c>
      <x:c r="E81" t="s">
        <x:v>43</x:v>
      </x:c>
      <x:c r="F81">
        <x:v>111</x:v>
      </x:c>
      <x:c r="G81" t="n">
        <x:f>G78+5</x:f>
        <x:v>185</x:v>
      </x:c>
    </x:row>
    <x:row r="82">
      <x:c r="B82">
        <x:v>80</x:v>
      </x:c>
      <x:c r="C82">
        <x:v>3</x:v>
      </x:c>
      <x:c r="D82">
        <x:v>7</x:v>
      </x:c>
      <x:c r="E82" t="s">
        <x:v>81</x:v>
      </x:c>
      <x:c r="F82">
        <x:v>185</x:v>
      </x:c>
      <x:c r="G82" t="n">
        <x:f>G81*2</x:f>
        <x:v>370</x:v>
      </x:c>
    </x:row>
    <x:row r="83">
      <x:c r="B83">
        <x:v>81</x:v>
      </x:c>
      <x:c r="C83">
        <x:v>3</x:v>
      </x:c>
      <x:c r="D83">
        <x:v>7</x:v>
      </x:c>
      <x:c r="E83" t="s">
        <x:v>82</x:v>
      </x:c>
      <x:c r="F83">
        <x:v>555</x:v>
      </x:c>
      <x:c r="G83" t="n">
        <x:f>ROUNDUP(G82*1.7,-1)</x:f>
        <x:v>630</x:v>
      </x:c>
    </x:row>
    <x:row r="84">
      <x:c r="B84">
        <x:v>82</x:v>
      </x:c>
      <x:c r="C84">
        <x:v>3</x:v>
      </x:c>
      <x:c r="D84">
        <x:v>8</x:v>
      </x:c>
      <x:c r="E84" t="s">
        <x:v>43</x:v>
      </x:c>
      <x:c r="F84">
        <x:v>114</x:v>
      </x:c>
      <x:c r="G84" t="n">
        <x:f>G81+5</x:f>
        <x:v>190</x:v>
      </x:c>
    </x:row>
    <x:row r="85">
      <x:c r="B85">
        <x:v>83</x:v>
      </x:c>
      <x:c r="C85">
        <x:v>3</x:v>
      </x:c>
      <x:c r="D85">
        <x:v>8</x:v>
      </x:c>
      <x:c r="E85" t="s">
        <x:v>81</x:v>
      </x:c>
      <x:c r="F85">
        <x:v>190</x:v>
      </x:c>
      <x:c r="G85" t="n">
        <x:f>G84*2</x:f>
        <x:v>380</x:v>
      </x:c>
    </x:row>
    <x:row r="86">
      <x:c r="B86">
        <x:v>84</x:v>
      </x:c>
      <x:c r="C86">
        <x:v>3</x:v>
      </x:c>
      <x:c r="D86">
        <x:v>8</x:v>
      </x:c>
      <x:c r="E86" t="s">
        <x:v>82</x:v>
      </x:c>
      <x:c r="F86">
        <x:v>570</x:v>
      </x:c>
      <x:c r="G86" t="n">
        <x:f>ROUNDUP(G85*1.7,-1)</x:f>
        <x:v>650</x:v>
      </x:c>
    </x:row>
    <x:row r="87">
      <x:c r="B87">
        <x:v>85</x:v>
      </x:c>
      <x:c r="C87">
        <x:v>3</x:v>
      </x:c>
      <x:c r="D87">
        <x:v>9</x:v>
      </x:c>
      <x:c r="E87" t="s">
        <x:v>43</x:v>
      </x:c>
      <x:c r="F87">
        <x:v>117</x:v>
      </x:c>
      <x:c r="G87" t="n">
        <x:f>G84+5</x:f>
        <x:v>195</x:v>
      </x:c>
    </x:row>
    <x:row r="88">
      <x:c r="B88">
        <x:v>86</x:v>
      </x:c>
      <x:c r="C88">
        <x:v>3</x:v>
      </x:c>
      <x:c r="D88">
        <x:v>9</x:v>
      </x:c>
      <x:c r="E88" t="s">
        <x:v>81</x:v>
      </x:c>
      <x:c r="F88">
        <x:v>195</x:v>
      </x:c>
      <x:c r="G88" t="n">
        <x:f>G87*2</x:f>
        <x:v>390</x:v>
      </x:c>
    </x:row>
    <x:row r="89">
      <x:c r="B89">
        <x:v>87</x:v>
      </x:c>
      <x:c r="C89">
        <x:v>3</x:v>
      </x:c>
      <x:c r="D89">
        <x:v>9</x:v>
      </x:c>
      <x:c r="E89" t="s">
        <x:v>82</x:v>
      </x:c>
      <x:c r="F89">
        <x:v>585</x:v>
      </x:c>
      <x:c r="G89" t="n">
        <x:f>ROUNDUP(G88*1.7,-1)</x:f>
        <x:v>670</x:v>
      </x:c>
    </x:row>
    <x:row r="90">
      <x:c r="B90">
        <x:v>88</x:v>
      </x:c>
      <x:c r="C90">
        <x:v>3</x:v>
      </x:c>
      <x:c r="D90">
        <x:v>10</x:v>
      </x:c>
      <x:c r="E90" t="s">
        <x:v>43</x:v>
      </x:c>
      <x:c r="F90">
        <x:v>120</x:v>
      </x:c>
      <x:c r="G90" t="n">
        <x:f>G87+5</x:f>
        <x:v>200</x:v>
      </x:c>
    </x:row>
    <x:row r="91">
      <x:c r="B91">
        <x:v>89</x:v>
      </x:c>
      <x:c r="C91">
        <x:v>3</x:v>
      </x:c>
      <x:c r="D91">
        <x:v>10</x:v>
      </x:c>
      <x:c r="E91" t="s">
        <x:v>81</x:v>
      </x:c>
      <x:c r="F91">
        <x:v>200</x:v>
      </x:c>
      <x:c r="G91" t="n">
        <x:f>G90*2</x:f>
        <x:v>400</x:v>
      </x:c>
    </x:row>
    <x:row r="92">
      <x:c r="B92">
        <x:v>90</x:v>
      </x:c>
      <x:c r="C92">
        <x:v>3</x:v>
      </x:c>
      <x:c r="D92">
        <x:v>10</x:v>
      </x:c>
      <x:c r="E92" t="s">
        <x:v>82</x:v>
      </x:c>
      <x:c r="F92">
        <x:v>600</x:v>
      </x:c>
      <x:c r="G92" t="n">
        <x:f>ROUNDUP(G91*1.7,-1)</x:f>
        <x:v>680</x:v>
      </x:c>
    </x:row>
    <x:row r="93">
      <x:c r="B93">
        <x:v>91</x:v>
      </x:c>
      <x:c r="C93">
        <x:v>4</x:v>
      </x:c>
      <x:c r="D93">
        <x:v>1</x:v>
      </x:c>
      <x:c r="E93" t="s">
        <x:v>43</x:v>
      </x:c>
      <x:c r="F93">
        <x:v>123</x:v>
      </x:c>
      <x:c r="G93" t="n">
        <x:f>G90+5</x:f>
        <x:v>205</x:v>
      </x:c>
    </x:row>
    <x:row r="94">
      <x:c r="B94">
        <x:v>92</x:v>
      </x:c>
      <x:c r="C94">
        <x:v>4</x:v>
      </x:c>
      <x:c r="D94">
        <x:v>1</x:v>
      </x:c>
      <x:c r="E94" t="s">
        <x:v>81</x:v>
      </x:c>
      <x:c r="F94">
        <x:v>205</x:v>
      </x:c>
      <x:c r="G94" t="n">
        <x:f>G93*2</x:f>
        <x:v>410</x:v>
      </x:c>
    </x:row>
    <x:row r="95">
      <x:c r="B95">
        <x:v>93</x:v>
      </x:c>
      <x:c r="C95">
        <x:v>4</x:v>
      </x:c>
      <x:c r="D95">
        <x:v>1</x:v>
      </x:c>
      <x:c r="E95" t="s">
        <x:v>82</x:v>
      </x:c>
      <x:c r="F95">
        <x:v>615</x:v>
      </x:c>
      <x:c r="G95" t="n">
        <x:f>ROUNDUP(G94*1.7,-1)</x:f>
        <x:v>700</x:v>
      </x:c>
    </x:row>
    <x:row r="96">
      <x:c r="B96">
        <x:v>94</x:v>
      </x:c>
      <x:c r="C96">
        <x:v>4</x:v>
      </x:c>
      <x:c r="D96">
        <x:v>2</x:v>
      </x:c>
      <x:c r="E96" t="s">
        <x:v>43</x:v>
      </x:c>
      <x:c r="F96">
        <x:v>126</x:v>
      </x:c>
      <x:c r="G96" t="n">
        <x:f>G93+5</x:f>
        <x:v>210</x:v>
      </x:c>
    </x:row>
    <x:row r="97">
      <x:c r="B97">
        <x:v>95</x:v>
      </x:c>
      <x:c r="C97">
        <x:v>4</x:v>
      </x:c>
      <x:c r="D97">
        <x:v>2</x:v>
      </x:c>
      <x:c r="E97" t="s">
        <x:v>81</x:v>
      </x:c>
      <x:c r="F97">
        <x:v>210</x:v>
      </x:c>
      <x:c r="G97" t="n">
        <x:f>G96*2</x:f>
        <x:v>420</x:v>
      </x:c>
    </x:row>
    <x:row r="98">
      <x:c r="B98">
        <x:v>96</x:v>
      </x:c>
      <x:c r="C98">
        <x:v>4</x:v>
      </x:c>
      <x:c r="D98">
        <x:v>2</x:v>
      </x:c>
      <x:c r="E98" t="s">
        <x:v>82</x:v>
      </x:c>
      <x:c r="F98">
        <x:v>630</x:v>
      </x:c>
      <x:c r="G98" t="n">
        <x:f>ROUNDUP(G97*1.7,-1)</x:f>
        <x:v>720</x:v>
      </x:c>
    </x:row>
    <x:row r="99">
      <x:c r="B99">
        <x:v>97</x:v>
      </x:c>
      <x:c r="C99">
        <x:v>4</x:v>
      </x:c>
      <x:c r="D99">
        <x:v>3</x:v>
      </x:c>
      <x:c r="E99" t="s">
        <x:v>43</x:v>
      </x:c>
      <x:c r="F99">
        <x:v>129</x:v>
      </x:c>
      <x:c r="G99" t="n">
        <x:f>G96+5</x:f>
        <x:v>215</x:v>
      </x:c>
    </x:row>
    <x:row r="100">
      <x:c r="B100">
        <x:v>98</x:v>
      </x:c>
      <x:c r="C100">
        <x:v>4</x:v>
      </x:c>
      <x:c r="D100">
        <x:v>3</x:v>
      </x:c>
      <x:c r="E100" t="s">
        <x:v>81</x:v>
      </x:c>
      <x:c r="F100">
        <x:v>215</x:v>
      </x:c>
      <x:c r="G100" t="n">
        <x:f>G99*2</x:f>
        <x:v>430</x:v>
      </x:c>
    </x:row>
    <x:row r="101">
      <x:c r="B101">
        <x:v>99</x:v>
      </x:c>
      <x:c r="C101">
        <x:v>4</x:v>
      </x:c>
      <x:c r="D101">
        <x:v>3</x:v>
      </x:c>
      <x:c r="E101" t="s">
        <x:v>82</x:v>
      </x:c>
      <x:c r="F101">
        <x:v>645</x:v>
      </x:c>
      <x:c r="G101" t="n">
        <x:f>ROUNDUP(G100*1.7,-1)</x:f>
        <x:v>740</x:v>
      </x:c>
    </x:row>
    <x:row r="102">
      <x:c r="B102">
        <x:v>100</x:v>
      </x:c>
      <x:c r="C102">
        <x:v>4</x:v>
      </x:c>
      <x:c r="D102">
        <x:v>4</x:v>
      </x:c>
      <x:c r="E102" t="s">
        <x:v>43</x:v>
      </x:c>
      <x:c r="F102">
        <x:v>132</x:v>
      </x:c>
      <x:c r="G102" t="n">
        <x:f>G99+5</x:f>
        <x:v>220</x:v>
      </x:c>
    </x:row>
    <x:row r="103">
      <x:c r="B103">
        <x:v>101</x:v>
      </x:c>
      <x:c r="C103">
        <x:v>4</x:v>
      </x:c>
      <x:c r="D103">
        <x:v>4</x:v>
      </x:c>
      <x:c r="E103" t="s">
        <x:v>81</x:v>
      </x:c>
      <x:c r="F103">
        <x:v>220</x:v>
      </x:c>
      <x:c r="G103" t="n">
        <x:f>G102*2</x:f>
        <x:v>440</x:v>
      </x:c>
    </x:row>
    <x:row r="104">
      <x:c r="B104">
        <x:v>102</x:v>
      </x:c>
      <x:c r="C104">
        <x:v>4</x:v>
      </x:c>
      <x:c r="D104">
        <x:v>4</x:v>
      </x:c>
      <x:c r="E104" t="s">
        <x:v>82</x:v>
      </x:c>
      <x:c r="F104">
        <x:v>660</x:v>
      </x:c>
      <x:c r="G104" t="n">
        <x:f>ROUNDUP(G103*1.7,-1)</x:f>
        <x:v>750</x:v>
      </x:c>
    </x:row>
    <x:row r="105">
      <x:c r="B105">
        <x:v>103</x:v>
      </x:c>
      <x:c r="C105">
        <x:v>4</x:v>
      </x:c>
      <x:c r="D105">
        <x:v>5</x:v>
      </x:c>
      <x:c r="E105" t="s">
        <x:v>43</x:v>
      </x:c>
      <x:c r="F105">
        <x:v>135</x:v>
      </x:c>
      <x:c r="G105" t="n">
        <x:f>G102+5</x:f>
        <x:v>225</x:v>
      </x:c>
    </x:row>
    <x:row r="106">
      <x:c r="B106">
        <x:v>104</x:v>
      </x:c>
      <x:c r="C106">
        <x:v>4</x:v>
      </x:c>
      <x:c r="D106">
        <x:v>5</x:v>
      </x:c>
      <x:c r="E106" t="s">
        <x:v>81</x:v>
      </x:c>
      <x:c r="F106">
        <x:v>225</x:v>
      </x:c>
      <x:c r="G106" t="n">
        <x:f>G105*2</x:f>
        <x:v>450</x:v>
      </x:c>
    </x:row>
    <x:row r="107">
      <x:c r="B107">
        <x:v>105</x:v>
      </x:c>
      <x:c r="C107">
        <x:v>4</x:v>
      </x:c>
      <x:c r="D107">
        <x:v>5</x:v>
      </x:c>
      <x:c r="E107" t="s">
        <x:v>82</x:v>
      </x:c>
      <x:c r="F107">
        <x:v>675</x:v>
      </x:c>
      <x:c r="G107" t="n">
        <x:f>ROUNDUP(G106*1.7,-1)</x:f>
        <x:v>770</x:v>
      </x:c>
    </x:row>
    <x:row r="108">
      <x:c r="B108">
        <x:v>106</x:v>
      </x:c>
      <x:c r="C108">
        <x:v>4</x:v>
      </x:c>
      <x:c r="D108">
        <x:v>6</x:v>
      </x:c>
      <x:c r="E108" t="s">
        <x:v>43</x:v>
      </x:c>
      <x:c r="F108">
        <x:v>138</x:v>
      </x:c>
      <x:c r="G108" t="n">
        <x:f>G105+5</x:f>
        <x:v>230</x:v>
      </x:c>
    </x:row>
    <x:row r="109">
      <x:c r="B109">
        <x:v>107</x:v>
      </x:c>
      <x:c r="C109">
        <x:v>4</x:v>
      </x:c>
      <x:c r="D109">
        <x:v>6</x:v>
      </x:c>
      <x:c r="E109" t="s">
        <x:v>81</x:v>
      </x:c>
      <x:c r="F109">
        <x:v>230</x:v>
      </x:c>
      <x:c r="G109" t="n">
        <x:f>G108*2</x:f>
        <x:v>460</x:v>
      </x:c>
    </x:row>
    <x:row r="110">
      <x:c r="B110">
        <x:v>108</x:v>
      </x:c>
      <x:c r="C110">
        <x:v>4</x:v>
      </x:c>
      <x:c r="D110">
        <x:v>6</x:v>
      </x:c>
      <x:c r="E110" t="s">
        <x:v>82</x:v>
      </x:c>
      <x:c r="F110">
        <x:v>690</x:v>
      </x:c>
      <x:c r="G110" t="n">
        <x:f>ROUNDUP(G109*1.7,-1)</x:f>
        <x:v>790</x:v>
      </x:c>
    </x:row>
    <x:row r="111">
      <x:c r="B111">
        <x:v>109</x:v>
      </x:c>
      <x:c r="C111">
        <x:v>4</x:v>
      </x:c>
      <x:c r="D111">
        <x:v>7</x:v>
      </x:c>
      <x:c r="E111" t="s">
        <x:v>43</x:v>
      </x:c>
      <x:c r="F111">
        <x:v>141</x:v>
      </x:c>
      <x:c r="G111" t="n">
        <x:f>G108+5</x:f>
        <x:v>235</x:v>
      </x:c>
    </x:row>
    <x:row r="112">
      <x:c r="B112">
        <x:v>110</x:v>
      </x:c>
      <x:c r="C112">
        <x:v>4</x:v>
      </x:c>
      <x:c r="D112">
        <x:v>7</x:v>
      </x:c>
      <x:c r="E112" t="s">
        <x:v>81</x:v>
      </x:c>
      <x:c r="F112">
        <x:v>235</x:v>
      </x:c>
      <x:c r="G112" t="n">
        <x:f>G111*2</x:f>
        <x:v>470</x:v>
      </x:c>
    </x:row>
    <x:row r="113">
      <x:c r="B113">
        <x:v>111</x:v>
      </x:c>
      <x:c r="C113">
        <x:v>4</x:v>
      </x:c>
      <x:c r="D113">
        <x:v>7</x:v>
      </x:c>
      <x:c r="E113" t="s">
        <x:v>82</x:v>
      </x:c>
      <x:c r="F113">
        <x:v>705</x:v>
      </x:c>
      <x:c r="G113" t="n">
        <x:f>ROUNDUP(G112*1.7,-1)</x:f>
        <x:v>800</x:v>
      </x:c>
    </x:row>
    <x:row r="114">
      <x:c r="B114">
        <x:v>112</x:v>
      </x:c>
      <x:c r="C114">
        <x:v>4</x:v>
      </x:c>
      <x:c r="D114">
        <x:v>8</x:v>
      </x:c>
      <x:c r="E114" t="s">
        <x:v>43</x:v>
      </x:c>
      <x:c r="F114">
        <x:v>144</x:v>
      </x:c>
      <x:c r="G114" t="n">
        <x:f>G111+5</x:f>
        <x:v>240</x:v>
      </x:c>
    </x:row>
    <x:row r="115">
      <x:c r="B115">
        <x:v>113</x:v>
      </x:c>
      <x:c r="C115">
        <x:v>4</x:v>
      </x:c>
      <x:c r="D115">
        <x:v>8</x:v>
      </x:c>
      <x:c r="E115" t="s">
        <x:v>81</x:v>
      </x:c>
      <x:c r="F115">
        <x:v>240</x:v>
      </x:c>
      <x:c r="G115" t="n">
        <x:f>G114*2</x:f>
        <x:v>480</x:v>
      </x:c>
    </x:row>
    <x:row r="116">
      <x:c r="B116">
        <x:v>114</x:v>
      </x:c>
      <x:c r="C116">
        <x:v>4</x:v>
      </x:c>
      <x:c r="D116">
        <x:v>8</x:v>
      </x:c>
      <x:c r="E116" t="s">
        <x:v>82</x:v>
      </x:c>
      <x:c r="F116">
        <x:v>720</x:v>
      </x:c>
      <x:c r="G116" t="n">
        <x:f>ROUNDUP(G115*1.7,-1)</x:f>
        <x:v>820</x:v>
      </x:c>
    </x:row>
    <x:row r="117">
      <x:c r="B117">
        <x:v>115</x:v>
      </x:c>
      <x:c r="C117">
        <x:v>4</x:v>
      </x:c>
      <x:c r="D117">
        <x:v>9</x:v>
      </x:c>
      <x:c r="E117" t="s">
        <x:v>43</x:v>
      </x:c>
      <x:c r="F117">
        <x:v>147</x:v>
      </x:c>
      <x:c r="G117" t="n">
        <x:f>G114+5</x:f>
        <x:v>245</x:v>
      </x:c>
    </x:row>
    <x:row r="118">
      <x:c r="B118">
        <x:v>116</x:v>
      </x:c>
      <x:c r="C118">
        <x:v>4</x:v>
      </x:c>
      <x:c r="D118">
        <x:v>9</x:v>
      </x:c>
      <x:c r="E118" t="s">
        <x:v>81</x:v>
      </x:c>
      <x:c r="F118">
        <x:v>245</x:v>
      </x:c>
      <x:c r="G118" t="n">
        <x:f>G117*2</x:f>
        <x:v>490</x:v>
      </x:c>
    </x:row>
    <x:row r="119">
      <x:c r="B119">
        <x:v>117</x:v>
      </x:c>
      <x:c r="C119">
        <x:v>4</x:v>
      </x:c>
      <x:c r="D119">
        <x:v>9</x:v>
      </x:c>
      <x:c r="E119" t="s">
        <x:v>82</x:v>
      </x:c>
      <x:c r="F119">
        <x:v>735</x:v>
      </x:c>
      <x:c r="G119" t="n">
        <x:f>ROUNDUP(G118*1.7,-1)</x:f>
        <x:v>840</x:v>
      </x:c>
    </x:row>
    <x:row r="120">
      <x:c r="B120">
        <x:v>118</x:v>
      </x:c>
      <x:c r="C120">
        <x:v>4</x:v>
      </x:c>
      <x:c r="D120">
        <x:v>10</x:v>
      </x:c>
      <x:c r="E120" t="s">
        <x:v>43</x:v>
      </x:c>
      <x:c r="F120">
        <x:v>150</x:v>
      </x:c>
      <x:c r="G120" t="n">
        <x:f>G117+5</x:f>
        <x:v>250</x:v>
      </x:c>
    </x:row>
    <x:row r="121">
      <x:c r="B121">
        <x:v>119</x:v>
      </x:c>
      <x:c r="C121">
        <x:v>4</x:v>
      </x:c>
      <x:c r="D121">
        <x:v>10</x:v>
      </x:c>
      <x:c r="E121" t="s">
        <x:v>81</x:v>
      </x:c>
      <x:c r="F121">
        <x:v>250</x:v>
      </x:c>
      <x:c r="G121" t="n">
        <x:f>G120*2</x:f>
        <x:v>500</x:v>
      </x:c>
    </x:row>
    <x:row r="122">
      <x:c r="B122">
        <x:v>120</x:v>
      </x:c>
      <x:c r="C122">
        <x:v>4</x:v>
      </x:c>
      <x:c r="D122">
        <x:v>10</x:v>
      </x:c>
      <x:c r="E122" t="s">
        <x:v>82</x:v>
      </x:c>
      <x:c r="F122">
        <x:v>750</x:v>
      </x:c>
      <x:c r="G122" t="n">
        <x:f>ROUNDUP(G121*1.7,-1)</x:f>
        <x:v>850</x:v>
      </x:c>
    </x:row>
    <x:row r="123">
      <x:c r="B123">
        <x:v>121</x:v>
      </x:c>
      <x:c r="C123">
        <x:v>5</x:v>
      </x:c>
      <x:c r="D123">
        <x:v>1</x:v>
      </x:c>
      <x:c r="E123" t="s">
        <x:v>43</x:v>
      </x:c>
      <x:c r="F123">
        <x:v>153</x:v>
      </x:c>
      <x:c r="G123" t="n">
        <x:f>G120+5</x:f>
        <x:v>255</x:v>
      </x:c>
    </x:row>
    <x:row r="124">
      <x:c r="B124">
        <x:v>122</x:v>
      </x:c>
      <x:c r="C124">
        <x:v>5</x:v>
      </x:c>
      <x:c r="D124">
        <x:v>1</x:v>
      </x:c>
      <x:c r="E124" t="s">
        <x:v>81</x:v>
      </x:c>
      <x:c r="F124">
        <x:v>255</x:v>
      </x:c>
      <x:c r="G124" t="n">
        <x:f>G123*2</x:f>
        <x:v>510</x:v>
      </x:c>
    </x:row>
    <x:row r="125">
      <x:c r="B125">
        <x:v>123</x:v>
      </x:c>
      <x:c r="C125">
        <x:v>5</x:v>
      </x:c>
      <x:c r="D125">
        <x:v>1</x:v>
      </x:c>
      <x:c r="E125" t="s">
        <x:v>82</x:v>
      </x:c>
      <x:c r="F125">
        <x:v>765</x:v>
      </x:c>
      <x:c r="G125" t="n">
        <x:f>ROUNDUP(G124*1.7,-1)</x:f>
        <x:v>870</x:v>
      </x:c>
    </x:row>
    <x:row r="126">
      <x:c r="B126">
        <x:v>124</x:v>
      </x:c>
      <x:c r="C126">
        <x:v>5</x:v>
      </x:c>
      <x:c r="D126">
        <x:v>2</x:v>
      </x:c>
      <x:c r="E126" t="s">
        <x:v>43</x:v>
      </x:c>
      <x:c r="F126">
        <x:v>156</x:v>
      </x:c>
      <x:c r="G126" t="n">
        <x:f>G123+5</x:f>
        <x:v>260</x:v>
      </x:c>
    </x:row>
    <x:row r="127">
      <x:c r="B127">
        <x:v>125</x:v>
      </x:c>
      <x:c r="C127">
        <x:v>5</x:v>
      </x:c>
      <x:c r="D127">
        <x:v>2</x:v>
      </x:c>
      <x:c r="E127" t="s">
        <x:v>81</x:v>
      </x:c>
      <x:c r="F127">
        <x:v>260</x:v>
      </x:c>
      <x:c r="G127" t="n">
        <x:f>G126*2</x:f>
        <x:v>520</x:v>
      </x:c>
    </x:row>
    <x:row r="128">
      <x:c r="B128">
        <x:v>126</x:v>
      </x:c>
      <x:c r="C128">
        <x:v>5</x:v>
      </x:c>
      <x:c r="D128">
        <x:v>2</x:v>
      </x:c>
      <x:c r="E128" t="s">
        <x:v>82</x:v>
      </x:c>
      <x:c r="F128">
        <x:v>780</x:v>
      </x:c>
      <x:c r="G128" t="n">
        <x:f>ROUNDUP(G127*1.7,-1)</x:f>
        <x:v>890</x:v>
      </x:c>
    </x:row>
    <x:row r="129">
      <x:c r="B129">
        <x:v>127</x:v>
      </x:c>
      <x:c r="C129">
        <x:v>5</x:v>
      </x:c>
      <x:c r="D129">
        <x:v>3</x:v>
      </x:c>
      <x:c r="E129" t="s">
        <x:v>43</x:v>
      </x:c>
      <x:c r="F129">
        <x:v>159</x:v>
      </x:c>
      <x:c r="G129" t="n">
        <x:f>G126+5</x:f>
        <x:v>265</x:v>
      </x:c>
    </x:row>
    <x:row r="130">
      <x:c r="B130">
        <x:v>128</x:v>
      </x:c>
      <x:c r="C130">
        <x:v>5</x:v>
      </x:c>
      <x:c r="D130">
        <x:v>3</x:v>
      </x:c>
      <x:c r="E130" t="s">
        <x:v>81</x:v>
      </x:c>
      <x:c r="F130">
        <x:v>265</x:v>
      </x:c>
      <x:c r="G130" t="n">
        <x:f>G129*2</x:f>
        <x:v>530</x:v>
      </x:c>
    </x:row>
    <x:row r="131">
      <x:c r="B131">
        <x:v>129</x:v>
      </x:c>
      <x:c r="C131">
        <x:v>5</x:v>
      </x:c>
      <x:c r="D131">
        <x:v>3</x:v>
      </x:c>
      <x:c r="E131" t="s">
        <x:v>82</x:v>
      </x:c>
      <x:c r="F131">
        <x:v>795</x:v>
      </x:c>
      <x:c r="G131" t="n">
        <x:f>ROUNDUP(G130*1.7,-1)</x:f>
        <x:v>910</x:v>
      </x:c>
    </x:row>
    <x:row r="132">
      <x:c r="B132">
        <x:v>130</x:v>
      </x:c>
      <x:c r="C132">
        <x:v>5</x:v>
      </x:c>
      <x:c r="D132">
        <x:v>4</x:v>
      </x:c>
      <x:c r="E132" t="s">
        <x:v>43</x:v>
      </x:c>
      <x:c r="F132">
        <x:v>162</x:v>
      </x:c>
      <x:c r="G132" t="n">
        <x:f>G129+5</x:f>
        <x:v>270</x:v>
      </x:c>
    </x:row>
    <x:row r="133">
      <x:c r="B133">
        <x:v>131</x:v>
      </x:c>
      <x:c r="C133">
        <x:v>5</x:v>
      </x:c>
      <x:c r="D133">
        <x:v>4</x:v>
      </x:c>
      <x:c r="E133" t="s">
        <x:v>81</x:v>
      </x:c>
      <x:c r="F133">
        <x:v>270</x:v>
      </x:c>
      <x:c r="G133" t="n">
        <x:f>G132*2</x:f>
        <x:v>540</x:v>
      </x:c>
    </x:row>
    <x:row r="134">
      <x:c r="B134">
        <x:v>132</x:v>
      </x:c>
      <x:c r="C134">
        <x:v>5</x:v>
      </x:c>
      <x:c r="D134">
        <x:v>4</x:v>
      </x:c>
      <x:c r="E134" t="s">
        <x:v>82</x:v>
      </x:c>
      <x:c r="F134">
        <x:v>810</x:v>
      </x:c>
      <x:c r="G134" t="n">
        <x:f>ROUNDUP(G133*1.7,-1)</x:f>
        <x:v>920</x:v>
      </x:c>
    </x:row>
    <x:row r="135">
      <x:c r="B135">
        <x:v>133</x:v>
      </x:c>
      <x:c r="C135">
        <x:v>5</x:v>
      </x:c>
      <x:c r="D135">
        <x:v>5</x:v>
      </x:c>
      <x:c r="E135" t="s">
        <x:v>43</x:v>
      </x:c>
      <x:c r="F135">
        <x:v>165</x:v>
      </x:c>
      <x:c r="G135" t="n">
        <x:f>G132+5</x:f>
        <x:v>275</x:v>
      </x:c>
    </x:row>
    <x:row r="136">
      <x:c r="B136">
        <x:v>134</x:v>
      </x:c>
      <x:c r="C136">
        <x:v>5</x:v>
      </x:c>
      <x:c r="D136">
        <x:v>5</x:v>
      </x:c>
      <x:c r="E136" t="s">
        <x:v>81</x:v>
      </x:c>
      <x:c r="F136">
        <x:v>275</x:v>
      </x:c>
      <x:c r="G136" t="n">
        <x:f>G135*2</x:f>
        <x:v>550</x:v>
      </x:c>
    </x:row>
    <x:row r="137">
      <x:c r="B137">
        <x:v>135</x:v>
      </x:c>
      <x:c r="C137">
        <x:v>5</x:v>
      </x:c>
      <x:c r="D137">
        <x:v>5</x:v>
      </x:c>
      <x:c r="E137" t="s">
        <x:v>82</x:v>
      </x:c>
      <x:c r="F137">
        <x:v>825</x:v>
      </x:c>
      <x:c r="G137" t="n">
        <x:f>ROUNDUP(G136*1.7,-1)</x:f>
        <x:v>940</x:v>
      </x:c>
    </x:row>
    <x:row r="138">
      <x:c r="B138">
        <x:v>136</x:v>
      </x:c>
      <x:c r="C138">
        <x:v>5</x:v>
      </x:c>
      <x:c r="D138">
        <x:v>6</x:v>
      </x:c>
      <x:c r="E138" t="s">
        <x:v>43</x:v>
      </x:c>
      <x:c r="F138">
        <x:v>168</x:v>
      </x:c>
      <x:c r="G138" t="n">
        <x:f>G135+5</x:f>
        <x:v>280</x:v>
      </x:c>
    </x:row>
    <x:row r="139">
      <x:c r="B139">
        <x:v>137</x:v>
      </x:c>
      <x:c r="C139">
        <x:v>5</x:v>
      </x:c>
      <x:c r="D139">
        <x:v>6</x:v>
      </x:c>
      <x:c r="E139" t="s">
        <x:v>81</x:v>
      </x:c>
      <x:c r="F139">
        <x:v>280</x:v>
      </x:c>
      <x:c r="G139" t="n">
        <x:f>G138*2</x:f>
        <x:v>560</x:v>
      </x:c>
    </x:row>
    <x:row r="140">
      <x:c r="B140">
        <x:v>138</x:v>
      </x:c>
      <x:c r="C140">
        <x:v>5</x:v>
      </x:c>
      <x:c r="D140">
        <x:v>6</x:v>
      </x:c>
      <x:c r="E140" t="s">
        <x:v>82</x:v>
      </x:c>
      <x:c r="F140">
        <x:v>840</x:v>
      </x:c>
      <x:c r="G140" t="n">
        <x:f>ROUNDUP(G139*1.7,-1)</x:f>
        <x:v>960</x:v>
      </x:c>
    </x:row>
    <x:row r="141">
      <x:c r="B141">
        <x:v>139</x:v>
      </x:c>
      <x:c r="C141">
        <x:v>5</x:v>
      </x:c>
      <x:c r="D141">
        <x:v>7</x:v>
      </x:c>
      <x:c r="E141" t="s">
        <x:v>43</x:v>
      </x:c>
      <x:c r="F141">
        <x:v>171</x:v>
      </x:c>
      <x:c r="G141" t="n">
        <x:f>G138+5</x:f>
        <x:v>285</x:v>
      </x:c>
    </x:row>
    <x:row r="142">
      <x:c r="B142">
        <x:v>140</x:v>
      </x:c>
      <x:c r="C142">
        <x:v>5</x:v>
      </x:c>
      <x:c r="D142">
        <x:v>7</x:v>
      </x:c>
      <x:c r="E142" t="s">
        <x:v>81</x:v>
      </x:c>
      <x:c r="F142">
        <x:v>285</x:v>
      </x:c>
      <x:c r="G142" t="n">
        <x:f>G141*2</x:f>
        <x:v>570</x:v>
      </x:c>
    </x:row>
    <x:row r="143">
      <x:c r="B143">
        <x:v>141</x:v>
      </x:c>
      <x:c r="C143">
        <x:v>5</x:v>
      </x:c>
      <x:c r="D143">
        <x:v>7</x:v>
      </x:c>
      <x:c r="E143" t="s">
        <x:v>82</x:v>
      </x:c>
      <x:c r="F143">
        <x:v>855</x:v>
      </x:c>
      <x:c r="G143" t="n">
        <x:f>ROUNDUP(G142*1.7,-1)</x:f>
        <x:v>970</x:v>
      </x:c>
    </x:row>
    <x:row r="144">
      <x:c r="B144">
        <x:v>142</x:v>
      </x:c>
      <x:c r="C144">
        <x:v>5</x:v>
      </x:c>
      <x:c r="D144">
        <x:v>8</x:v>
      </x:c>
      <x:c r="E144" t="s">
        <x:v>43</x:v>
      </x:c>
      <x:c r="F144">
        <x:v>174</x:v>
      </x:c>
      <x:c r="G144" t="n">
        <x:f>G141+5</x:f>
        <x:v>290</x:v>
      </x:c>
    </x:row>
    <x:row r="145">
      <x:c r="B145">
        <x:v>143</x:v>
      </x:c>
      <x:c r="C145">
        <x:v>5</x:v>
      </x:c>
      <x:c r="D145">
        <x:v>8</x:v>
      </x:c>
      <x:c r="E145" t="s">
        <x:v>81</x:v>
      </x:c>
      <x:c r="F145">
        <x:v>290</x:v>
      </x:c>
      <x:c r="G145" t="n">
        <x:f>G144*2</x:f>
        <x:v>580</x:v>
      </x:c>
    </x:row>
    <x:row r="146">
      <x:c r="B146">
        <x:v>144</x:v>
      </x:c>
      <x:c r="C146">
        <x:v>5</x:v>
      </x:c>
      <x:c r="D146">
        <x:v>8</x:v>
      </x:c>
      <x:c r="E146" t="s">
        <x:v>82</x:v>
      </x:c>
      <x:c r="F146">
        <x:v>870</x:v>
      </x:c>
      <x:c r="G146" t="n">
        <x:f>ROUNDUP(G145*1.7,-1)</x:f>
        <x:v>990</x:v>
      </x:c>
    </x:row>
    <x:row r="147">
      <x:c r="B147">
        <x:v>145</x:v>
      </x:c>
      <x:c r="C147">
        <x:v>5</x:v>
      </x:c>
      <x:c r="D147">
        <x:v>9</x:v>
      </x:c>
      <x:c r="E147" t="s">
        <x:v>43</x:v>
      </x:c>
      <x:c r="F147">
        <x:v>177</x:v>
      </x:c>
      <x:c r="G147" t="n">
        <x:f>G144+5</x:f>
        <x:v>295</x:v>
      </x:c>
    </x:row>
    <x:row r="148">
      <x:c r="B148">
        <x:v>146</x:v>
      </x:c>
      <x:c r="C148">
        <x:v>5</x:v>
      </x:c>
      <x:c r="D148">
        <x:v>9</x:v>
      </x:c>
      <x:c r="E148" t="s">
        <x:v>81</x:v>
      </x:c>
      <x:c r="F148">
        <x:v>295</x:v>
      </x:c>
      <x:c r="G148" t="n">
        <x:f>G147*2</x:f>
        <x:v>590</x:v>
      </x:c>
    </x:row>
    <x:row r="149">
      <x:c r="B149">
        <x:v>147</x:v>
      </x:c>
      <x:c r="C149">
        <x:v>5</x:v>
      </x:c>
      <x:c r="D149">
        <x:v>9</x:v>
      </x:c>
      <x:c r="E149" t="s">
        <x:v>82</x:v>
      </x:c>
      <x:c r="F149">
        <x:v>885</x:v>
      </x:c>
      <x:c r="G149" t="n">
        <x:f>ROUNDUP(G148*1.7,-1)</x:f>
        <x:v>1010</x:v>
      </x:c>
    </x:row>
    <x:row r="150">
      <x:c r="B150">
        <x:v>148</x:v>
      </x:c>
      <x:c r="C150">
        <x:v>5</x:v>
      </x:c>
      <x:c r="D150">
        <x:v>10</x:v>
      </x:c>
      <x:c r="E150" t="s">
        <x:v>43</x:v>
      </x:c>
      <x:c r="F150">
        <x:v>180</x:v>
      </x:c>
      <x:c r="G150" t="n">
        <x:f>G147+5</x:f>
        <x:v>300</x:v>
      </x:c>
    </x:row>
    <x:row r="151">
      <x:c r="B151">
        <x:v>149</x:v>
      </x:c>
      <x:c r="C151">
        <x:v>5</x:v>
      </x:c>
      <x:c r="D151">
        <x:v>10</x:v>
      </x:c>
      <x:c r="E151" t="s">
        <x:v>81</x:v>
      </x:c>
      <x:c r="F151">
        <x:v>300</x:v>
      </x:c>
      <x:c r="G151" t="n">
        <x:f>G150*2</x:f>
        <x:v>600</x:v>
      </x:c>
    </x:row>
    <x:row r="152">
      <x:c r="B152">
        <x:v>150</x:v>
      </x:c>
      <x:c r="C152">
        <x:v>5</x:v>
      </x:c>
      <x:c r="D152">
        <x:v>10</x:v>
      </x:c>
      <x:c r="E152" t="s">
        <x:v>82</x:v>
      </x:c>
      <x:c r="F152">
        <x:v>900</x:v>
      </x:c>
      <x:c r="G152" t="n">
        <x:f>ROUNDUP(G151*1.7,-1)</x:f>
        <x:v>1020</x:v>
      </x:c>
    </x:row>
    <x:row r="153">
      <x:c r="B153">
        <x:v>151</x:v>
      </x:c>
      <x:c r="C153">
        <x:v>6</x:v>
      </x:c>
      <x:c r="D153">
        <x:v>1</x:v>
      </x:c>
      <x:c r="E153" t="s">
        <x:v>43</x:v>
      </x:c>
      <x:c r="F153">
        <x:v>183</x:v>
      </x:c>
      <x:c r="G153" t="n">
        <x:f>G150+5</x:f>
        <x:v>305</x:v>
      </x:c>
    </x:row>
    <x:row r="154">
      <x:c r="B154">
        <x:v>152</x:v>
      </x:c>
      <x:c r="C154">
        <x:v>6</x:v>
      </x:c>
      <x:c r="D154">
        <x:v>1</x:v>
      </x:c>
      <x:c r="E154" t="s">
        <x:v>81</x:v>
      </x:c>
      <x:c r="F154">
        <x:v>305</x:v>
      </x:c>
      <x:c r="G154" t="n">
        <x:f>G153*2</x:f>
        <x:v>610</x:v>
      </x:c>
    </x:row>
    <x:row r="155">
      <x:c r="B155">
        <x:v>153</x:v>
      </x:c>
      <x:c r="C155">
        <x:v>6</x:v>
      </x:c>
      <x:c r="D155">
        <x:v>1</x:v>
      </x:c>
      <x:c r="E155" t="s">
        <x:v>82</x:v>
      </x:c>
      <x:c r="F155">
        <x:v>915</x:v>
      </x:c>
      <x:c r="G155" t="n">
        <x:f>ROUNDUP(G154*1.7,-1)</x:f>
        <x:v>1040</x:v>
      </x:c>
    </x:row>
    <x:row r="156">
      <x:c r="B156">
        <x:v>154</x:v>
      </x:c>
      <x:c r="C156">
        <x:v>6</x:v>
      </x:c>
      <x:c r="D156">
        <x:v>2</x:v>
      </x:c>
      <x:c r="E156" t="s">
        <x:v>43</x:v>
      </x:c>
      <x:c r="F156">
        <x:v>186</x:v>
      </x:c>
      <x:c r="G156" t="n">
        <x:f>G153+5</x:f>
        <x:v>310</x:v>
      </x:c>
    </x:row>
    <x:row r="157">
      <x:c r="B157">
        <x:v>155</x:v>
      </x:c>
      <x:c r="C157">
        <x:v>6</x:v>
      </x:c>
      <x:c r="D157">
        <x:v>2</x:v>
      </x:c>
      <x:c r="E157" t="s">
        <x:v>81</x:v>
      </x:c>
      <x:c r="F157">
        <x:v>310</x:v>
      </x:c>
      <x:c r="G157" t="n">
        <x:f>G156*2</x:f>
        <x:v>620</x:v>
      </x:c>
    </x:row>
    <x:row r="158">
      <x:c r="B158">
        <x:v>156</x:v>
      </x:c>
      <x:c r="C158">
        <x:v>6</x:v>
      </x:c>
      <x:c r="D158">
        <x:v>2</x:v>
      </x:c>
      <x:c r="E158" t="s">
        <x:v>82</x:v>
      </x:c>
      <x:c r="F158">
        <x:v>930</x:v>
      </x:c>
      <x:c r="G158" t="n">
        <x:f>ROUNDUP(G157*1.7,-1)</x:f>
        <x:v>1060</x:v>
      </x:c>
    </x:row>
    <x:row r="159">
      <x:c r="B159">
        <x:v>157</x:v>
      </x:c>
      <x:c r="C159">
        <x:v>6</x:v>
      </x:c>
      <x:c r="D159">
        <x:v>3</x:v>
      </x:c>
      <x:c r="E159" t="s">
        <x:v>43</x:v>
      </x:c>
      <x:c r="F159">
        <x:v>189</x:v>
      </x:c>
      <x:c r="G159" t="n">
        <x:f>G156+5</x:f>
        <x:v>315</x:v>
      </x:c>
    </x:row>
    <x:row r="160">
      <x:c r="B160">
        <x:v>158</x:v>
      </x:c>
      <x:c r="C160">
        <x:v>6</x:v>
      </x:c>
      <x:c r="D160">
        <x:v>3</x:v>
      </x:c>
      <x:c r="E160" t="s">
        <x:v>81</x:v>
      </x:c>
      <x:c r="F160">
        <x:v>315</x:v>
      </x:c>
      <x:c r="G160" t="n">
        <x:f>G159*2</x:f>
        <x:v>630</x:v>
      </x:c>
    </x:row>
    <x:row r="161">
      <x:c r="B161">
        <x:v>159</x:v>
      </x:c>
      <x:c r="C161">
        <x:v>6</x:v>
      </x:c>
      <x:c r="D161">
        <x:v>3</x:v>
      </x:c>
      <x:c r="E161" t="s">
        <x:v>82</x:v>
      </x:c>
      <x:c r="F161">
        <x:v>945</x:v>
      </x:c>
      <x:c r="G161" t="n">
        <x:f>ROUNDUP(G160*1.7,-1)</x:f>
        <x:v>1080</x:v>
      </x:c>
    </x:row>
    <x:row r="162">
      <x:c r="B162">
        <x:v>160</x:v>
      </x:c>
      <x:c r="C162">
        <x:v>6</x:v>
      </x:c>
      <x:c r="D162">
        <x:v>4</x:v>
      </x:c>
      <x:c r="E162" t="s">
        <x:v>43</x:v>
      </x:c>
      <x:c r="F162">
        <x:v>192</x:v>
      </x:c>
      <x:c r="G162" t="n">
        <x:f>G159+5</x:f>
        <x:v>320</x:v>
      </x:c>
    </x:row>
    <x:row r="163">
      <x:c r="B163">
        <x:v>161</x:v>
      </x:c>
      <x:c r="C163">
        <x:v>6</x:v>
      </x:c>
      <x:c r="D163">
        <x:v>4</x:v>
      </x:c>
      <x:c r="E163" t="s">
        <x:v>81</x:v>
      </x:c>
      <x:c r="F163">
        <x:v>320</x:v>
      </x:c>
      <x:c r="G163" t="n">
        <x:f>G162*2</x:f>
        <x:v>640</x:v>
      </x:c>
    </x:row>
    <x:row r="164">
      <x:c r="B164">
        <x:v>162</x:v>
      </x:c>
      <x:c r="C164">
        <x:v>6</x:v>
      </x:c>
      <x:c r="D164">
        <x:v>4</x:v>
      </x:c>
      <x:c r="E164" t="s">
        <x:v>82</x:v>
      </x:c>
      <x:c r="F164">
        <x:v>960</x:v>
      </x:c>
      <x:c r="G164" t="n">
        <x:f>ROUNDUP(G163*1.7,-1)</x:f>
        <x:v>1090</x:v>
      </x:c>
    </x:row>
    <x:row r="165">
      <x:c r="B165">
        <x:v>163</x:v>
      </x:c>
      <x:c r="C165">
        <x:v>6</x:v>
      </x:c>
      <x:c r="D165">
        <x:v>5</x:v>
      </x:c>
      <x:c r="E165" t="s">
        <x:v>43</x:v>
      </x:c>
      <x:c r="F165">
        <x:v>195</x:v>
      </x:c>
      <x:c r="G165" t="n">
        <x:f>G162+5</x:f>
        <x:v>325</x:v>
      </x:c>
    </x:row>
    <x:row r="166">
      <x:c r="B166">
        <x:v>164</x:v>
      </x:c>
      <x:c r="C166">
        <x:v>6</x:v>
      </x:c>
      <x:c r="D166">
        <x:v>5</x:v>
      </x:c>
      <x:c r="E166" t="s">
        <x:v>81</x:v>
      </x:c>
      <x:c r="F166">
        <x:v>325</x:v>
      </x:c>
      <x:c r="G166" t="n">
        <x:f>G165*2</x:f>
        <x:v>650</x:v>
      </x:c>
    </x:row>
    <x:row r="167">
      <x:c r="B167">
        <x:v>165</x:v>
      </x:c>
      <x:c r="C167">
        <x:v>6</x:v>
      </x:c>
      <x:c r="D167">
        <x:v>5</x:v>
      </x:c>
      <x:c r="E167" t="s">
        <x:v>82</x:v>
      </x:c>
      <x:c r="F167">
        <x:v>975</x:v>
      </x:c>
      <x:c r="G167" t="n">
        <x:f>ROUNDUP(G166*1.7,-1)</x:f>
        <x:v>1110</x:v>
      </x:c>
    </x:row>
    <x:row r="168">
      <x:c r="B168">
        <x:v>166</x:v>
      </x:c>
      <x:c r="C168">
        <x:v>6</x:v>
      </x:c>
      <x:c r="D168">
        <x:v>6</x:v>
      </x:c>
      <x:c r="E168" t="s">
        <x:v>43</x:v>
      </x:c>
      <x:c r="F168">
        <x:v>198</x:v>
      </x:c>
      <x:c r="G168" t="n">
        <x:f>G165+5</x:f>
        <x:v>330</x:v>
      </x:c>
    </x:row>
    <x:row r="169">
      <x:c r="B169">
        <x:v>167</x:v>
      </x:c>
      <x:c r="C169">
        <x:v>6</x:v>
      </x:c>
      <x:c r="D169">
        <x:v>6</x:v>
      </x:c>
      <x:c r="E169" t="s">
        <x:v>81</x:v>
      </x:c>
      <x:c r="F169">
        <x:v>330</x:v>
      </x:c>
      <x:c r="G169" t="n">
        <x:f>G168*2</x:f>
        <x:v>660</x:v>
      </x:c>
    </x:row>
    <x:row r="170">
      <x:c r="B170">
        <x:v>168</x:v>
      </x:c>
      <x:c r="C170">
        <x:v>6</x:v>
      </x:c>
      <x:c r="D170">
        <x:v>6</x:v>
      </x:c>
      <x:c r="E170" t="s">
        <x:v>82</x:v>
      </x:c>
      <x:c r="F170">
        <x:v>990</x:v>
      </x:c>
      <x:c r="G170" t="n">
        <x:f>ROUNDUP(G169*1.7,-1)</x:f>
        <x:v>1130</x:v>
      </x:c>
    </x:row>
    <x:row r="171">
      <x:c r="B171">
        <x:v>169</x:v>
      </x:c>
      <x:c r="C171">
        <x:v>6</x:v>
      </x:c>
      <x:c r="D171">
        <x:v>7</x:v>
      </x:c>
      <x:c r="E171" t="s">
        <x:v>43</x:v>
      </x:c>
      <x:c r="F171">
        <x:v>201</x:v>
      </x:c>
      <x:c r="G171" t="n">
        <x:f>G168+5</x:f>
        <x:v>335</x:v>
      </x:c>
    </x:row>
    <x:row r="172">
      <x:c r="B172">
        <x:v>170</x:v>
      </x:c>
      <x:c r="C172">
        <x:v>6</x:v>
      </x:c>
      <x:c r="D172">
        <x:v>7</x:v>
      </x:c>
      <x:c r="E172" t="s">
        <x:v>81</x:v>
      </x:c>
      <x:c r="F172">
        <x:v>335</x:v>
      </x:c>
      <x:c r="G172" t="n">
        <x:f>G171*2</x:f>
        <x:v>670</x:v>
      </x:c>
    </x:row>
    <x:row r="173">
      <x:c r="B173">
        <x:v>171</x:v>
      </x:c>
      <x:c r="C173">
        <x:v>6</x:v>
      </x:c>
      <x:c r="D173">
        <x:v>7</x:v>
      </x:c>
      <x:c r="E173" t="s">
        <x:v>82</x:v>
      </x:c>
      <x:c r="F173">
        <x:v>1005</x:v>
      </x:c>
      <x:c r="G173" t="n">
        <x:f>ROUNDUP(G172*1.7,-1)</x:f>
        <x:v>1140</x:v>
      </x:c>
    </x:row>
    <x:row r="174">
      <x:c r="B174">
        <x:v>172</x:v>
      </x:c>
      <x:c r="C174">
        <x:v>6</x:v>
      </x:c>
      <x:c r="D174">
        <x:v>8</x:v>
      </x:c>
      <x:c r="E174" t="s">
        <x:v>43</x:v>
      </x:c>
      <x:c r="F174">
        <x:v>204</x:v>
      </x:c>
      <x:c r="G174" t="n">
        <x:f>G171+5</x:f>
        <x:v>340</x:v>
      </x:c>
    </x:row>
    <x:row r="175">
      <x:c r="B175">
        <x:v>173</x:v>
      </x:c>
      <x:c r="C175">
        <x:v>6</x:v>
      </x:c>
      <x:c r="D175">
        <x:v>8</x:v>
      </x:c>
      <x:c r="E175" t="s">
        <x:v>81</x:v>
      </x:c>
      <x:c r="F175">
        <x:v>340</x:v>
      </x:c>
      <x:c r="G175" t="n">
        <x:f>G174*2</x:f>
        <x:v>680</x:v>
      </x:c>
    </x:row>
    <x:row r="176">
      <x:c r="B176">
        <x:v>174</x:v>
      </x:c>
      <x:c r="C176">
        <x:v>6</x:v>
      </x:c>
      <x:c r="D176">
        <x:v>8</x:v>
      </x:c>
      <x:c r="E176" t="s">
        <x:v>82</x:v>
      </x:c>
      <x:c r="F176">
        <x:v>1020</x:v>
      </x:c>
      <x:c r="G176" t="n">
        <x:f>ROUNDUP(G175*1.7,-1)</x:f>
        <x:v>1160</x:v>
      </x:c>
    </x:row>
    <x:row r="177">
      <x:c r="B177">
        <x:v>175</x:v>
      </x:c>
      <x:c r="C177">
        <x:v>6</x:v>
      </x:c>
      <x:c r="D177">
        <x:v>9</x:v>
      </x:c>
      <x:c r="E177" t="s">
        <x:v>43</x:v>
      </x:c>
      <x:c r="F177">
        <x:v>207</x:v>
      </x:c>
      <x:c r="G177" t="n">
        <x:f>G174+5</x:f>
        <x:v>345</x:v>
      </x:c>
    </x:row>
    <x:row r="178">
      <x:c r="B178">
        <x:v>176</x:v>
      </x:c>
      <x:c r="C178">
        <x:v>6</x:v>
      </x:c>
      <x:c r="D178">
        <x:v>9</x:v>
      </x:c>
      <x:c r="E178" t="s">
        <x:v>81</x:v>
      </x:c>
      <x:c r="F178">
        <x:v>345</x:v>
      </x:c>
      <x:c r="G178" t="n">
        <x:f>G177*2</x:f>
        <x:v>690</x:v>
      </x:c>
    </x:row>
    <x:row r="179">
      <x:c r="B179">
        <x:v>177</x:v>
      </x:c>
      <x:c r="C179">
        <x:v>6</x:v>
      </x:c>
      <x:c r="D179">
        <x:v>9</x:v>
      </x:c>
      <x:c r="E179" t="s">
        <x:v>82</x:v>
      </x:c>
      <x:c r="F179">
        <x:v>1035</x:v>
      </x:c>
      <x:c r="G179" t="n">
        <x:f>ROUNDUP(G178*1.7,-1)</x:f>
        <x:v>1180</x:v>
      </x:c>
    </x:row>
    <x:row r="180">
      <x:c r="B180">
        <x:v>178</x:v>
      </x:c>
      <x:c r="C180">
        <x:v>6</x:v>
      </x:c>
      <x:c r="D180">
        <x:v>10</x:v>
      </x:c>
      <x:c r="E180" t="s">
        <x:v>43</x:v>
      </x:c>
      <x:c r="F180">
        <x:v>210</x:v>
      </x:c>
      <x:c r="G180" t="n">
        <x:f>G177+5</x:f>
        <x:v>350</x:v>
      </x:c>
    </x:row>
    <x:row r="181">
      <x:c r="B181">
        <x:v>179</x:v>
      </x:c>
      <x:c r="C181">
        <x:v>6</x:v>
      </x:c>
      <x:c r="D181">
        <x:v>10</x:v>
      </x:c>
      <x:c r="E181" t="s">
        <x:v>81</x:v>
      </x:c>
      <x:c r="F181">
        <x:v>350</x:v>
      </x:c>
      <x:c r="G181" t="n">
        <x:f>G180*2</x:f>
        <x:v>700</x:v>
      </x:c>
    </x:row>
    <x:row r="182">
      <x:c r="B182">
        <x:v>180</x:v>
      </x:c>
      <x:c r="C182">
        <x:v>6</x:v>
      </x:c>
      <x:c r="D182">
        <x:v>10</x:v>
      </x:c>
      <x:c r="E182" t="s">
        <x:v>82</x:v>
      </x:c>
      <x:c r="F182">
        <x:v>1050</x:v>
      </x:c>
      <x:c r="G182" t="n">
        <x:f>ROUNDUP(G181*1.7,-1)</x:f>
        <x:v>1190</x:v>
      </x:c>
    </x:row>
    <x:row r="183">
      <x:c r="B183">
        <x:v>181</x:v>
      </x:c>
      <x:c r="C183">
        <x:v>7</x:v>
      </x:c>
      <x:c r="D183">
        <x:v>1</x:v>
      </x:c>
      <x:c r="E183" t="s">
        <x:v>43</x:v>
      </x:c>
      <x:c r="F183">
        <x:v>213</x:v>
      </x:c>
      <x:c r="G183" t="n">
        <x:f>G180+5</x:f>
        <x:v>355</x:v>
      </x:c>
    </x:row>
    <x:row r="184">
      <x:c r="B184">
        <x:v>182</x:v>
      </x:c>
      <x:c r="C184">
        <x:v>7</x:v>
      </x:c>
      <x:c r="D184">
        <x:v>1</x:v>
      </x:c>
      <x:c r="E184" t="s">
        <x:v>81</x:v>
      </x:c>
      <x:c r="F184">
        <x:v>355</x:v>
      </x:c>
      <x:c r="G184" t="n">
        <x:f>G183*2</x:f>
        <x:v>710</x:v>
      </x:c>
    </x:row>
    <x:row r="185">
      <x:c r="B185">
        <x:v>183</x:v>
      </x:c>
      <x:c r="C185">
        <x:v>7</x:v>
      </x:c>
      <x:c r="D185">
        <x:v>1</x:v>
      </x:c>
      <x:c r="E185" t="s">
        <x:v>82</x:v>
      </x:c>
      <x:c r="F185">
        <x:v>1065</x:v>
      </x:c>
      <x:c r="G185" t="n">
        <x:f>ROUNDUP(G184*1.7,-1)</x:f>
        <x:v>1210</x:v>
      </x:c>
    </x:row>
    <x:row r="186">
      <x:c r="B186">
        <x:v>184</x:v>
      </x:c>
      <x:c r="C186">
        <x:v>7</x:v>
      </x:c>
      <x:c r="D186">
        <x:v>2</x:v>
      </x:c>
      <x:c r="E186" t="s">
        <x:v>43</x:v>
      </x:c>
      <x:c r="F186">
        <x:v>216</x:v>
      </x:c>
      <x:c r="G186" t="n">
        <x:f>G183+5</x:f>
        <x:v>360</x:v>
      </x:c>
    </x:row>
    <x:row r="187">
      <x:c r="B187">
        <x:v>185</x:v>
      </x:c>
      <x:c r="C187">
        <x:v>7</x:v>
      </x:c>
      <x:c r="D187">
        <x:v>2</x:v>
      </x:c>
      <x:c r="E187" t="s">
        <x:v>81</x:v>
      </x:c>
      <x:c r="F187">
        <x:v>360</x:v>
      </x:c>
      <x:c r="G187" t="n">
        <x:f>G186*2</x:f>
        <x:v>720</x:v>
      </x:c>
    </x:row>
    <x:row r="188">
      <x:c r="B188">
        <x:v>186</x:v>
      </x:c>
      <x:c r="C188">
        <x:v>7</x:v>
      </x:c>
      <x:c r="D188">
        <x:v>2</x:v>
      </x:c>
      <x:c r="E188" t="s">
        <x:v>82</x:v>
      </x:c>
      <x:c r="F188">
        <x:v>1080</x:v>
      </x:c>
      <x:c r="G188" t="n">
        <x:f>ROUNDUP(G187*1.7,-1)</x:f>
        <x:v>1230</x:v>
      </x:c>
    </x:row>
    <x:row r="189">
      <x:c r="B189">
        <x:v>187</x:v>
      </x:c>
      <x:c r="C189">
        <x:v>7</x:v>
      </x:c>
      <x:c r="D189">
        <x:v>3</x:v>
      </x:c>
      <x:c r="E189" t="s">
        <x:v>43</x:v>
      </x:c>
      <x:c r="F189">
        <x:v>219</x:v>
      </x:c>
      <x:c r="G189" t="n">
        <x:f>G186+5</x:f>
        <x:v>365</x:v>
      </x:c>
    </x:row>
    <x:row r="190">
      <x:c r="B190">
        <x:v>188</x:v>
      </x:c>
      <x:c r="C190">
        <x:v>7</x:v>
      </x:c>
      <x:c r="D190">
        <x:v>3</x:v>
      </x:c>
      <x:c r="E190" t="s">
        <x:v>81</x:v>
      </x:c>
      <x:c r="F190">
        <x:v>365</x:v>
      </x:c>
      <x:c r="G190" t="n">
        <x:f>G189*2</x:f>
        <x:v>730</x:v>
      </x:c>
    </x:row>
    <x:row r="191">
      <x:c r="B191">
        <x:v>189</x:v>
      </x:c>
      <x:c r="C191">
        <x:v>7</x:v>
      </x:c>
      <x:c r="D191">
        <x:v>3</x:v>
      </x:c>
      <x:c r="E191" t="s">
        <x:v>82</x:v>
      </x:c>
      <x:c r="F191">
        <x:v>1095</x:v>
      </x:c>
      <x:c r="G191" t="n">
        <x:f>ROUNDUP(G190*1.7,-1)</x:f>
        <x:v>1250</x:v>
      </x:c>
    </x:row>
    <x:row r="192">
      <x:c r="B192">
        <x:v>190</x:v>
      </x:c>
      <x:c r="C192">
        <x:v>7</x:v>
      </x:c>
      <x:c r="D192">
        <x:v>4</x:v>
      </x:c>
      <x:c r="E192" t="s">
        <x:v>43</x:v>
      </x:c>
      <x:c r="F192">
        <x:v>222</x:v>
      </x:c>
      <x:c r="G192" t="n">
        <x:f>G189+5</x:f>
        <x:v>370</x:v>
      </x:c>
    </x:row>
    <x:row r="193">
      <x:c r="B193">
        <x:v>191</x:v>
      </x:c>
      <x:c r="C193">
        <x:v>7</x:v>
      </x:c>
      <x:c r="D193">
        <x:v>4</x:v>
      </x:c>
      <x:c r="E193" t="s">
        <x:v>81</x:v>
      </x:c>
      <x:c r="F193">
        <x:v>370</x:v>
      </x:c>
      <x:c r="G193" t="n">
        <x:f>G192*2</x:f>
        <x:v>740</x:v>
      </x:c>
    </x:row>
    <x:row r="194">
      <x:c r="B194">
        <x:v>192</x:v>
      </x:c>
      <x:c r="C194">
        <x:v>7</x:v>
      </x:c>
      <x:c r="D194">
        <x:v>4</x:v>
      </x:c>
      <x:c r="E194" t="s">
        <x:v>82</x:v>
      </x:c>
      <x:c r="F194">
        <x:v>1110</x:v>
      </x:c>
      <x:c r="G194" t="n">
        <x:f>ROUNDUP(G193*1.7,-1)</x:f>
        <x:v>1260</x:v>
      </x:c>
    </x:row>
    <x:row r="195">
      <x:c r="B195">
        <x:v>193</x:v>
      </x:c>
      <x:c r="C195">
        <x:v>7</x:v>
      </x:c>
      <x:c r="D195">
        <x:v>5</x:v>
      </x:c>
      <x:c r="E195" t="s">
        <x:v>43</x:v>
      </x:c>
      <x:c r="F195">
        <x:v>225</x:v>
      </x:c>
      <x:c r="G195" t="n">
        <x:f>G192+5</x:f>
        <x:v>375</x:v>
      </x:c>
    </x:row>
    <x:row r="196">
      <x:c r="B196">
        <x:v>194</x:v>
      </x:c>
      <x:c r="C196">
        <x:v>7</x:v>
      </x:c>
      <x:c r="D196">
        <x:v>5</x:v>
      </x:c>
      <x:c r="E196" t="s">
        <x:v>81</x:v>
      </x:c>
      <x:c r="F196">
        <x:v>375</x:v>
      </x:c>
      <x:c r="G196" t="n">
        <x:f>G195*2</x:f>
        <x:v>750</x:v>
      </x:c>
    </x:row>
    <x:row r="197">
      <x:c r="B197">
        <x:v>195</x:v>
      </x:c>
      <x:c r="C197">
        <x:v>7</x:v>
      </x:c>
      <x:c r="D197">
        <x:v>5</x:v>
      </x:c>
      <x:c r="E197" t="s">
        <x:v>82</x:v>
      </x:c>
      <x:c r="F197">
        <x:v>1125</x:v>
      </x:c>
      <x:c r="G197" t="n">
        <x:f>ROUNDUP(G196*1.7,-1)</x:f>
        <x:v>1280</x:v>
      </x:c>
    </x:row>
    <x:row r="198">
      <x:c r="B198">
        <x:v>196</x:v>
      </x:c>
      <x:c r="C198">
        <x:v>7</x:v>
      </x:c>
      <x:c r="D198">
        <x:v>6</x:v>
      </x:c>
      <x:c r="E198" t="s">
        <x:v>43</x:v>
      </x:c>
      <x:c r="F198">
        <x:v>228</x:v>
      </x:c>
      <x:c r="G198" t="n">
        <x:f>G195+5</x:f>
        <x:v>380</x:v>
      </x:c>
    </x:row>
    <x:row r="199">
      <x:c r="B199">
        <x:v>197</x:v>
      </x:c>
      <x:c r="C199">
        <x:v>7</x:v>
      </x:c>
      <x:c r="D199">
        <x:v>6</x:v>
      </x:c>
      <x:c r="E199" t="s">
        <x:v>81</x:v>
      </x:c>
      <x:c r="F199">
        <x:v>380</x:v>
      </x:c>
      <x:c r="G199" t="n">
        <x:f>G198*2</x:f>
        <x:v>760</x:v>
      </x:c>
    </x:row>
    <x:row r="200">
      <x:c r="B200">
        <x:v>198</x:v>
      </x:c>
      <x:c r="C200">
        <x:v>7</x:v>
      </x:c>
      <x:c r="D200">
        <x:v>6</x:v>
      </x:c>
      <x:c r="E200" t="s">
        <x:v>82</x:v>
      </x:c>
      <x:c r="F200">
        <x:v>1140</x:v>
      </x:c>
      <x:c r="G200" t="n">
        <x:f>ROUNDUP(G199*1.7,-1)</x:f>
        <x:v>1300</x:v>
      </x:c>
    </x:row>
    <x:row r="201">
      <x:c r="B201">
        <x:v>199</x:v>
      </x:c>
      <x:c r="C201">
        <x:v>7</x:v>
      </x:c>
      <x:c r="D201">
        <x:v>7</x:v>
      </x:c>
      <x:c r="E201" t="s">
        <x:v>43</x:v>
      </x:c>
      <x:c r="F201">
        <x:v>231</x:v>
      </x:c>
      <x:c r="G201" t="n">
        <x:f>G198+5</x:f>
        <x:v>385</x:v>
      </x:c>
    </x:row>
    <x:row r="202">
      <x:c r="B202">
        <x:v>200</x:v>
      </x:c>
      <x:c r="C202">
        <x:v>7</x:v>
      </x:c>
      <x:c r="D202">
        <x:v>7</x:v>
      </x:c>
      <x:c r="E202" t="s">
        <x:v>81</x:v>
      </x:c>
      <x:c r="F202">
        <x:v>385</x:v>
      </x:c>
      <x:c r="G202" t="n">
        <x:f>G201*2</x:f>
        <x:v>770</x:v>
      </x:c>
    </x:row>
    <x:row r="203">
      <x:c r="B203">
        <x:v>201</x:v>
      </x:c>
      <x:c r="C203">
        <x:v>7</x:v>
      </x:c>
      <x:c r="D203">
        <x:v>7</x:v>
      </x:c>
      <x:c r="E203" t="s">
        <x:v>82</x:v>
      </x:c>
      <x:c r="F203">
        <x:v>1155</x:v>
      </x:c>
      <x:c r="G203" t="n">
        <x:f>ROUNDUP(G202*1.7,-1)</x:f>
        <x:v>1310</x:v>
      </x:c>
    </x:row>
    <x:row r="204">
      <x:c r="B204">
        <x:v>202</x:v>
      </x:c>
      <x:c r="C204">
        <x:v>7</x:v>
      </x:c>
      <x:c r="D204">
        <x:v>8</x:v>
      </x:c>
      <x:c r="E204" t="s">
        <x:v>43</x:v>
      </x:c>
      <x:c r="F204">
        <x:v>234</x:v>
      </x:c>
      <x:c r="G204" t="n">
        <x:f>G201+5</x:f>
        <x:v>390</x:v>
      </x:c>
    </x:row>
    <x:row r="205">
      <x:c r="B205">
        <x:v>203</x:v>
      </x:c>
      <x:c r="C205">
        <x:v>7</x:v>
      </x:c>
      <x:c r="D205">
        <x:v>8</x:v>
      </x:c>
      <x:c r="E205" t="s">
        <x:v>81</x:v>
      </x:c>
      <x:c r="F205">
        <x:v>390</x:v>
      </x:c>
      <x:c r="G205" t="n">
        <x:f>G204*2</x:f>
        <x:v>780</x:v>
      </x:c>
    </x:row>
    <x:row r="206">
      <x:c r="B206">
        <x:v>204</x:v>
      </x:c>
      <x:c r="C206">
        <x:v>7</x:v>
      </x:c>
      <x:c r="D206">
        <x:v>8</x:v>
      </x:c>
      <x:c r="E206" t="s">
        <x:v>82</x:v>
      </x:c>
      <x:c r="F206">
        <x:v>1170</x:v>
      </x:c>
      <x:c r="G206" t="n">
        <x:f>ROUNDUP(G205*1.7,-1)</x:f>
        <x:v>1330</x:v>
      </x:c>
    </x:row>
    <x:row r="207">
      <x:c r="B207">
        <x:v>205</x:v>
      </x:c>
      <x:c r="C207">
        <x:v>7</x:v>
      </x:c>
      <x:c r="D207">
        <x:v>9</x:v>
      </x:c>
      <x:c r="E207" t="s">
        <x:v>43</x:v>
      </x:c>
      <x:c r="F207">
        <x:v>237</x:v>
      </x:c>
      <x:c r="G207" t="n">
        <x:f>G204+5</x:f>
        <x:v>395</x:v>
      </x:c>
    </x:row>
    <x:row r="208">
      <x:c r="B208">
        <x:v>206</x:v>
      </x:c>
      <x:c r="C208">
        <x:v>7</x:v>
      </x:c>
      <x:c r="D208">
        <x:v>9</x:v>
      </x:c>
      <x:c r="E208" t="s">
        <x:v>81</x:v>
      </x:c>
      <x:c r="F208">
        <x:v>395</x:v>
      </x:c>
      <x:c r="G208" t="n">
        <x:f>G207*2</x:f>
        <x:v>790</x:v>
      </x:c>
    </x:row>
    <x:row r="209">
      <x:c r="B209">
        <x:v>207</x:v>
      </x:c>
      <x:c r="C209">
        <x:v>7</x:v>
      </x:c>
      <x:c r="D209">
        <x:v>9</x:v>
      </x:c>
      <x:c r="E209" t="s">
        <x:v>82</x:v>
      </x:c>
      <x:c r="F209">
        <x:v>1185</x:v>
      </x:c>
      <x:c r="G209" t="n">
        <x:f>ROUNDUP(G208*1.7,-1)</x:f>
        <x:v>1350</x:v>
      </x:c>
    </x:row>
    <x:row r="210">
      <x:c r="B210">
        <x:v>208</x:v>
      </x:c>
      <x:c r="C210">
        <x:v>7</x:v>
      </x:c>
      <x:c r="D210">
        <x:v>10</x:v>
      </x:c>
      <x:c r="E210" t="s">
        <x:v>43</x:v>
      </x:c>
      <x:c r="F210">
        <x:v>240</x:v>
      </x:c>
      <x:c r="G210" t="n">
        <x:f>G207+5</x:f>
        <x:v>400</x:v>
      </x:c>
    </x:row>
    <x:row r="211">
      <x:c r="B211">
        <x:v>209</x:v>
      </x:c>
      <x:c r="C211">
        <x:v>7</x:v>
      </x:c>
      <x:c r="D211">
        <x:v>10</x:v>
      </x:c>
      <x:c r="E211" t="s">
        <x:v>81</x:v>
      </x:c>
      <x:c r="F211">
        <x:v>400</x:v>
      </x:c>
      <x:c r="G211" t="n">
        <x:f>G210*2</x:f>
        <x:v>800</x:v>
      </x:c>
    </x:row>
    <x:row r="212">
      <x:c r="B212">
        <x:v>210</x:v>
      </x:c>
      <x:c r="C212">
        <x:v>7</x:v>
      </x:c>
      <x:c r="D212">
        <x:v>10</x:v>
      </x:c>
      <x:c r="E212" t="s">
        <x:v>82</x:v>
      </x:c>
      <x:c r="F212">
        <x:v>1200</x:v>
      </x:c>
      <x:c r="G212" t="n">
        <x:f>ROUNDUP(G211*1.7,-1)</x:f>
        <x:v>1360</x:v>
      </x:c>
    </x:row>
    <x:row r="213">
      <x:c r="B213">
        <x:v>211</x:v>
      </x:c>
      <x:c r="C213">
        <x:v>8</x:v>
      </x:c>
      <x:c r="D213">
        <x:v>1</x:v>
      </x:c>
      <x:c r="E213" t="s">
        <x:v>43</x:v>
      </x:c>
      <x:c r="F213">
        <x:v>243</x:v>
      </x:c>
      <x:c r="G213" t="n">
        <x:f>G210+5</x:f>
        <x:v>405</x:v>
      </x:c>
    </x:row>
    <x:row r="214">
      <x:c r="B214">
        <x:v>212</x:v>
      </x:c>
      <x:c r="C214">
        <x:v>8</x:v>
      </x:c>
      <x:c r="D214">
        <x:v>1</x:v>
      </x:c>
      <x:c r="E214" t="s">
        <x:v>81</x:v>
      </x:c>
      <x:c r="F214">
        <x:v>405</x:v>
      </x:c>
      <x:c r="G214" t="n">
        <x:f>G213*2</x:f>
        <x:v>810</x:v>
      </x:c>
    </x:row>
    <x:row r="215">
      <x:c r="B215">
        <x:v>213</x:v>
      </x:c>
      <x:c r="C215">
        <x:v>8</x:v>
      </x:c>
      <x:c r="D215">
        <x:v>1</x:v>
      </x:c>
      <x:c r="E215" t="s">
        <x:v>82</x:v>
      </x:c>
      <x:c r="F215">
        <x:v>1215</x:v>
      </x:c>
      <x:c r="G215" t="n">
        <x:f>ROUNDUP(G214*1.7,-1)</x:f>
        <x:v>1380</x:v>
      </x:c>
    </x:row>
    <x:row r="216">
      <x:c r="B216">
        <x:v>214</x:v>
      </x:c>
      <x:c r="C216">
        <x:v>8</x:v>
      </x:c>
      <x:c r="D216">
        <x:v>2</x:v>
      </x:c>
      <x:c r="E216" t="s">
        <x:v>43</x:v>
      </x:c>
      <x:c r="F216">
        <x:v>246</x:v>
      </x:c>
      <x:c r="G216" t="n">
        <x:f>G213+5</x:f>
        <x:v>410</x:v>
      </x:c>
    </x:row>
    <x:row r="217">
      <x:c r="B217">
        <x:v>215</x:v>
      </x:c>
      <x:c r="C217">
        <x:v>8</x:v>
      </x:c>
      <x:c r="D217">
        <x:v>2</x:v>
      </x:c>
      <x:c r="E217" t="s">
        <x:v>81</x:v>
      </x:c>
      <x:c r="F217">
        <x:v>410</x:v>
      </x:c>
      <x:c r="G217" t="n">
        <x:f>G216*2</x:f>
        <x:v>820</x:v>
      </x:c>
    </x:row>
    <x:row r="218">
      <x:c r="B218">
        <x:v>216</x:v>
      </x:c>
      <x:c r="C218">
        <x:v>8</x:v>
      </x:c>
      <x:c r="D218">
        <x:v>2</x:v>
      </x:c>
      <x:c r="E218" t="s">
        <x:v>82</x:v>
      </x:c>
      <x:c r="F218">
        <x:v>1230</x:v>
      </x:c>
      <x:c r="G218" t="n">
        <x:f>ROUNDUP(G217*1.7,-1)</x:f>
        <x:v>1400</x:v>
      </x:c>
    </x:row>
    <x:row r="219">
      <x:c r="B219">
        <x:v>217</x:v>
      </x:c>
      <x:c r="C219">
        <x:v>8</x:v>
      </x:c>
      <x:c r="D219">
        <x:v>3</x:v>
      </x:c>
      <x:c r="E219" t="s">
        <x:v>43</x:v>
      </x:c>
      <x:c r="F219">
        <x:v>249</x:v>
      </x:c>
      <x:c r="G219" t="n">
        <x:f>G216+5</x:f>
        <x:v>415</x:v>
      </x:c>
    </x:row>
    <x:row r="220">
      <x:c r="B220">
        <x:v>218</x:v>
      </x:c>
      <x:c r="C220">
        <x:v>8</x:v>
      </x:c>
      <x:c r="D220">
        <x:v>3</x:v>
      </x:c>
      <x:c r="E220" t="s">
        <x:v>81</x:v>
      </x:c>
      <x:c r="F220">
        <x:v>415</x:v>
      </x:c>
      <x:c r="G220" t="n">
        <x:f>G219*2</x:f>
        <x:v>830</x:v>
      </x:c>
    </x:row>
    <x:row r="221">
      <x:c r="B221">
        <x:v>219</x:v>
      </x:c>
      <x:c r="C221">
        <x:v>8</x:v>
      </x:c>
      <x:c r="D221">
        <x:v>3</x:v>
      </x:c>
      <x:c r="E221" t="s">
        <x:v>82</x:v>
      </x:c>
      <x:c r="F221">
        <x:v>1245</x:v>
      </x:c>
      <x:c r="G221" t="n">
        <x:f>ROUNDUP(G220*1.7,-1)</x:f>
        <x:v>1420</x:v>
      </x:c>
    </x:row>
    <x:row r="222">
      <x:c r="B222">
        <x:v>220</x:v>
      </x:c>
      <x:c r="C222">
        <x:v>8</x:v>
      </x:c>
      <x:c r="D222">
        <x:v>4</x:v>
      </x:c>
      <x:c r="E222" t="s">
        <x:v>43</x:v>
      </x:c>
      <x:c r="F222">
        <x:v>252</x:v>
      </x:c>
      <x:c r="G222" t="n">
        <x:f>G219+5</x:f>
        <x:v>420</x:v>
      </x:c>
    </x:row>
    <x:row r="223">
      <x:c r="B223">
        <x:v>221</x:v>
      </x:c>
      <x:c r="C223">
        <x:v>8</x:v>
      </x:c>
      <x:c r="D223">
        <x:v>4</x:v>
      </x:c>
      <x:c r="E223" t="s">
        <x:v>81</x:v>
      </x:c>
      <x:c r="F223">
        <x:v>420</x:v>
      </x:c>
      <x:c r="G223" t="n">
        <x:f>G222*2</x:f>
        <x:v>840</x:v>
      </x:c>
    </x:row>
    <x:row r="224">
      <x:c r="B224">
        <x:v>222</x:v>
      </x:c>
      <x:c r="C224">
        <x:v>8</x:v>
      </x:c>
      <x:c r="D224">
        <x:v>4</x:v>
      </x:c>
      <x:c r="E224" t="s">
        <x:v>82</x:v>
      </x:c>
      <x:c r="F224">
        <x:v>1260</x:v>
      </x:c>
      <x:c r="G224" t="n">
        <x:f>ROUNDUP(G223*1.7,-1)</x:f>
        <x:v>1430</x:v>
      </x:c>
    </x:row>
    <x:row r="225">
      <x:c r="B225">
        <x:v>223</x:v>
      </x:c>
      <x:c r="C225">
        <x:v>8</x:v>
      </x:c>
      <x:c r="D225">
        <x:v>5</x:v>
      </x:c>
      <x:c r="E225" t="s">
        <x:v>43</x:v>
      </x:c>
      <x:c r="F225">
        <x:v>255</x:v>
      </x:c>
      <x:c r="G225" t="n">
        <x:f>G222+5</x:f>
        <x:v>425</x:v>
      </x:c>
    </x:row>
    <x:row r="226">
      <x:c r="B226">
        <x:v>224</x:v>
      </x:c>
      <x:c r="C226">
        <x:v>8</x:v>
      </x:c>
      <x:c r="D226">
        <x:v>5</x:v>
      </x:c>
      <x:c r="E226" t="s">
        <x:v>81</x:v>
      </x:c>
      <x:c r="F226">
        <x:v>425</x:v>
      </x:c>
      <x:c r="G226" t="n">
        <x:f>G225*2</x:f>
        <x:v>850</x:v>
      </x:c>
    </x:row>
    <x:row r="227">
      <x:c r="B227">
        <x:v>225</x:v>
      </x:c>
      <x:c r="C227">
        <x:v>8</x:v>
      </x:c>
      <x:c r="D227">
        <x:v>5</x:v>
      </x:c>
      <x:c r="E227" t="s">
        <x:v>82</x:v>
      </x:c>
      <x:c r="F227">
        <x:v>1275</x:v>
      </x:c>
      <x:c r="G227" t="n">
        <x:f>ROUNDUP(G226*1.7,-1)</x:f>
        <x:v>1450</x:v>
      </x:c>
    </x:row>
    <x:row r="228">
      <x:c r="B228">
        <x:v>226</x:v>
      </x:c>
      <x:c r="C228">
        <x:v>8</x:v>
      </x:c>
      <x:c r="D228">
        <x:v>6</x:v>
      </x:c>
      <x:c r="E228" t="s">
        <x:v>43</x:v>
      </x:c>
      <x:c r="F228">
        <x:v>258</x:v>
      </x:c>
      <x:c r="G228" t="n">
        <x:f>G225+5</x:f>
        <x:v>430</x:v>
      </x:c>
    </x:row>
    <x:row r="229">
      <x:c r="B229">
        <x:v>227</x:v>
      </x:c>
      <x:c r="C229">
        <x:v>8</x:v>
      </x:c>
      <x:c r="D229">
        <x:v>6</x:v>
      </x:c>
      <x:c r="E229" t="s">
        <x:v>81</x:v>
      </x:c>
      <x:c r="F229">
        <x:v>430</x:v>
      </x:c>
      <x:c r="G229" t="n">
        <x:f>G228*2</x:f>
        <x:v>860</x:v>
      </x:c>
    </x:row>
    <x:row r="230">
      <x:c r="B230">
        <x:v>228</x:v>
      </x:c>
      <x:c r="C230">
        <x:v>8</x:v>
      </x:c>
      <x:c r="D230">
        <x:v>6</x:v>
      </x:c>
      <x:c r="E230" t="s">
        <x:v>82</x:v>
      </x:c>
      <x:c r="F230">
        <x:v>1290</x:v>
      </x:c>
      <x:c r="G230" t="n">
        <x:f>ROUNDUP(G229*1.7,-1)</x:f>
        <x:v>1470</x:v>
      </x:c>
    </x:row>
    <x:row r="231">
      <x:c r="B231">
        <x:v>229</x:v>
      </x:c>
      <x:c r="C231">
        <x:v>8</x:v>
      </x:c>
      <x:c r="D231">
        <x:v>7</x:v>
      </x:c>
      <x:c r="E231" t="s">
        <x:v>43</x:v>
      </x:c>
      <x:c r="F231">
        <x:v>261</x:v>
      </x:c>
      <x:c r="G231" t="n">
        <x:f>G228+5</x:f>
        <x:v>435</x:v>
      </x:c>
    </x:row>
    <x:row r="232">
      <x:c r="B232">
        <x:v>230</x:v>
      </x:c>
      <x:c r="C232">
        <x:v>8</x:v>
      </x:c>
      <x:c r="D232">
        <x:v>7</x:v>
      </x:c>
      <x:c r="E232" t="s">
        <x:v>81</x:v>
      </x:c>
      <x:c r="F232">
        <x:v>435</x:v>
      </x:c>
      <x:c r="G232" t="n">
        <x:f>G231*2</x:f>
        <x:v>870</x:v>
      </x:c>
    </x:row>
    <x:row r="233">
      <x:c r="B233">
        <x:v>231</x:v>
      </x:c>
      <x:c r="C233">
        <x:v>8</x:v>
      </x:c>
      <x:c r="D233">
        <x:v>7</x:v>
      </x:c>
      <x:c r="E233" t="s">
        <x:v>82</x:v>
      </x:c>
      <x:c r="F233">
        <x:v>1305</x:v>
      </x:c>
      <x:c r="G233" t="n">
        <x:f>ROUNDUP(G232*1.7,-1)</x:f>
        <x:v>1480</x:v>
      </x:c>
    </x:row>
    <x:row r="234">
      <x:c r="B234">
        <x:v>232</x:v>
      </x:c>
      <x:c r="C234">
        <x:v>8</x:v>
      </x:c>
      <x:c r="D234">
        <x:v>8</x:v>
      </x:c>
      <x:c r="E234" t="s">
        <x:v>43</x:v>
      </x:c>
      <x:c r="F234">
        <x:v>264</x:v>
      </x:c>
      <x:c r="G234" t="n">
        <x:f>G231+5</x:f>
        <x:v>440</x:v>
      </x:c>
    </x:row>
    <x:row r="235">
      <x:c r="B235">
        <x:v>233</x:v>
      </x:c>
      <x:c r="C235">
        <x:v>8</x:v>
      </x:c>
      <x:c r="D235">
        <x:v>8</x:v>
      </x:c>
      <x:c r="E235" t="s">
        <x:v>81</x:v>
      </x:c>
      <x:c r="F235">
        <x:v>440</x:v>
      </x:c>
      <x:c r="G235" t="n">
        <x:f>G234*2</x:f>
        <x:v>880</x:v>
      </x:c>
    </x:row>
    <x:row r="236">
      <x:c r="B236">
        <x:v>234</x:v>
      </x:c>
      <x:c r="C236">
        <x:v>8</x:v>
      </x:c>
      <x:c r="D236">
        <x:v>8</x:v>
      </x:c>
      <x:c r="E236" t="s">
        <x:v>82</x:v>
      </x:c>
      <x:c r="F236">
        <x:v>1320</x:v>
      </x:c>
      <x:c r="G236" t="n">
        <x:f>ROUNDUP(G235*1.7,-1)</x:f>
        <x:v>1500</x:v>
      </x:c>
    </x:row>
    <x:row r="237">
      <x:c r="B237">
        <x:v>235</x:v>
      </x:c>
      <x:c r="C237">
        <x:v>8</x:v>
      </x:c>
      <x:c r="D237">
        <x:v>9</x:v>
      </x:c>
      <x:c r="E237" t="s">
        <x:v>43</x:v>
      </x:c>
      <x:c r="F237">
        <x:v>267</x:v>
      </x:c>
      <x:c r="G237" t="n">
        <x:f>G234+5</x:f>
        <x:v>445</x:v>
      </x:c>
    </x:row>
    <x:row r="238">
      <x:c r="B238">
        <x:v>236</x:v>
      </x:c>
      <x:c r="C238">
        <x:v>8</x:v>
      </x:c>
      <x:c r="D238">
        <x:v>9</x:v>
      </x:c>
      <x:c r="E238" t="s">
        <x:v>81</x:v>
      </x:c>
      <x:c r="F238">
        <x:v>445</x:v>
      </x:c>
      <x:c r="G238" t="n">
        <x:f>G237*2</x:f>
        <x:v>890</x:v>
      </x:c>
    </x:row>
    <x:row r="239">
      <x:c r="B239">
        <x:v>237</x:v>
      </x:c>
      <x:c r="C239">
        <x:v>8</x:v>
      </x:c>
      <x:c r="D239">
        <x:v>9</x:v>
      </x:c>
      <x:c r="E239" t="s">
        <x:v>82</x:v>
      </x:c>
      <x:c r="F239">
        <x:v>1335</x:v>
      </x:c>
      <x:c r="G239" t="n">
        <x:f>ROUNDUP(G238*1.7,-1)</x:f>
        <x:v>1520</x:v>
      </x:c>
    </x:row>
    <x:row r="240">
      <x:c r="B240">
        <x:v>238</x:v>
      </x:c>
      <x:c r="C240">
        <x:v>8</x:v>
      </x:c>
      <x:c r="D240">
        <x:v>10</x:v>
      </x:c>
      <x:c r="E240" t="s">
        <x:v>43</x:v>
      </x:c>
      <x:c r="F240">
        <x:v>270</x:v>
      </x:c>
      <x:c r="G240" t="n">
        <x:f>G237+5</x:f>
        <x:v>450</x:v>
      </x:c>
    </x:row>
    <x:row r="241">
      <x:c r="B241">
        <x:v>239</x:v>
      </x:c>
      <x:c r="C241">
        <x:v>8</x:v>
      </x:c>
      <x:c r="D241">
        <x:v>10</x:v>
      </x:c>
      <x:c r="E241" t="s">
        <x:v>81</x:v>
      </x:c>
      <x:c r="F241">
        <x:v>450</x:v>
      </x:c>
      <x:c r="G241" t="n">
        <x:f>G240*2</x:f>
        <x:v>900</x:v>
      </x:c>
    </x:row>
    <x:row r="242">
      <x:c r="B242">
        <x:v>240</x:v>
      </x:c>
      <x:c r="C242">
        <x:v>8</x:v>
      </x:c>
      <x:c r="D242">
        <x:v>10</x:v>
      </x:c>
      <x:c r="E242" t="s">
        <x:v>82</x:v>
      </x:c>
      <x:c r="F242">
        <x:v>1350</x:v>
      </x:c>
      <x:c r="G242" t="n">
        <x:f>ROUNDUP(G241*1.7,-1)</x:f>
        <x:v>1530</x:v>
      </x:c>
    </x:row>
    <x:row r="243">
      <x:c r="B243">
        <x:v>241</x:v>
      </x:c>
      <x:c r="C243">
        <x:v>9</x:v>
      </x:c>
      <x:c r="D243">
        <x:v>1</x:v>
      </x:c>
      <x:c r="E243" t="s">
        <x:v>43</x:v>
      </x:c>
      <x:c r="F243">
        <x:v>273</x:v>
      </x:c>
      <x:c r="G243" t="n">
        <x:f>G240+5</x:f>
        <x:v>455</x:v>
      </x:c>
    </x:row>
    <x:row r="244">
      <x:c r="B244">
        <x:v>242</x:v>
      </x:c>
      <x:c r="C244">
        <x:v>9</x:v>
      </x:c>
      <x:c r="D244">
        <x:v>1</x:v>
      </x:c>
      <x:c r="E244" t="s">
        <x:v>81</x:v>
      </x:c>
      <x:c r="F244">
        <x:v>455</x:v>
      </x:c>
      <x:c r="G244" t="n">
        <x:f>G243*2</x:f>
        <x:v>910</x:v>
      </x:c>
    </x:row>
    <x:row r="245">
      <x:c r="B245">
        <x:v>243</x:v>
      </x:c>
      <x:c r="C245">
        <x:v>9</x:v>
      </x:c>
      <x:c r="D245">
        <x:v>1</x:v>
      </x:c>
      <x:c r="E245" t="s">
        <x:v>82</x:v>
      </x:c>
      <x:c r="F245">
        <x:v>1365</x:v>
      </x:c>
      <x:c r="G245" t="n">
        <x:f>ROUNDUP(G244*1.7,-1)</x:f>
        <x:v>1550</x:v>
      </x:c>
    </x:row>
    <x:row r="246">
      <x:c r="B246">
        <x:v>244</x:v>
      </x:c>
      <x:c r="C246">
        <x:v>9</x:v>
      </x:c>
      <x:c r="D246">
        <x:v>2</x:v>
      </x:c>
      <x:c r="E246" t="s">
        <x:v>43</x:v>
      </x:c>
      <x:c r="F246">
        <x:v>276</x:v>
      </x:c>
      <x:c r="G246" t="n">
        <x:f>G243+5</x:f>
        <x:v>460</x:v>
      </x:c>
    </x:row>
    <x:row r="247">
      <x:c r="B247">
        <x:v>245</x:v>
      </x:c>
      <x:c r="C247">
        <x:v>9</x:v>
      </x:c>
      <x:c r="D247">
        <x:v>2</x:v>
      </x:c>
      <x:c r="E247" t="s">
        <x:v>81</x:v>
      </x:c>
      <x:c r="F247">
        <x:v>460</x:v>
      </x:c>
      <x:c r="G247" t="n">
        <x:f>G246*2</x:f>
        <x:v>920</x:v>
      </x:c>
    </x:row>
    <x:row r="248">
      <x:c r="B248">
        <x:v>246</x:v>
      </x:c>
      <x:c r="C248">
        <x:v>9</x:v>
      </x:c>
      <x:c r="D248">
        <x:v>2</x:v>
      </x:c>
      <x:c r="E248" t="s">
        <x:v>82</x:v>
      </x:c>
      <x:c r="F248">
        <x:v>1380</x:v>
      </x:c>
      <x:c r="G248" t="n">
        <x:f>ROUNDUP(G247*1.7,-1)</x:f>
        <x:v>1570</x:v>
      </x:c>
    </x:row>
    <x:row r="249">
      <x:c r="B249">
        <x:v>247</x:v>
      </x:c>
      <x:c r="C249">
        <x:v>9</x:v>
      </x:c>
      <x:c r="D249">
        <x:v>3</x:v>
      </x:c>
      <x:c r="E249" t="s">
        <x:v>43</x:v>
      </x:c>
      <x:c r="F249">
        <x:v>279</x:v>
      </x:c>
      <x:c r="G249" t="n">
        <x:f>G246+5</x:f>
        <x:v>465</x:v>
      </x:c>
    </x:row>
    <x:row r="250">
      <x:c r="B250">
        <x:v>248</x:v>
      </x:c>
      <x:c r="C250">
        <x:v>9</x:v>
      </x:c>
      <x:c r="D250">
        <x:v>3</x:v>
      </x:c>
      <x:c r="E250" t="s">
        <x:v>81</x:v>
      </x:c>
      <x:c r="F250">
        <x:v>465</x:v>
      </x:c>
      <x:c r="G250" t="n">
        <x:f>G249*2</x:f>
        <x:v>930</x:v>
      </x:c>
    </x:row>
    <x:row r="251">
      <x:c r="B251">
        <x:v>249</x:v>
      </x:c>
      <x:c r="C251">
        <x:v>9</x:v>
      </x:c>
      <x:c r="D251">
        <x:v>3</x:v>
      </x:c>
      <x:c r="E251" t="s">
        <x:v>82</x:v>
      </x:c>
      <x:c r="F251">
        <x:v>1395</x:v>
      </x:c>
      <x:c r="G251" t="n">
        <x:f>ROUNDUP(G250*1.7,-1)</x:f>
        <x:v>1590</x:v>
      </x:c>
    </x:row>
    <x:row r="252">
      <x:c r="B252">
        <x:v>250</x:v>
      </x:c>
      <x:c r="C252">
        <x:v>9</x:v>
      </x:c>
      <x:c r="D252">
        <x:v>4</x:v>
      </x:c>
      <x:c r="E252" t="s">
        <x:v>43</x:v>
      </x:c>
      <x:c r="F252">
        <x:v>282</x:v>
      </x:c>
      <x:c r="G252" t="n">
        <x:f>G249+5</x:f>
        <x:v>470</x:v>
      </x:c>
    </x:row>
    <x:row r="253">
      <x:c r="B253">
        <x:v>251</x:v>
      </x:c>
      <x:c r="C253">
        <x:v>9</x:v>
      </x:c>
      <x:c r="D253">
        <x:v>4</x:v>
      </x:c>
      <x:c r="E253" t="s">
        <x:v>81</x:v>
      </x:c>
      <x:c r="F253">
        <x:v>470</x:v>
      </x:c>
      <x:c r="G253" t="n">
        <x:f>G252*2</x:f>
        <x:v>940</x:v>
      </x:c>
    </x:row>
    <x:row r="254">
      <x:c r="B254">
        <x:v>252</x:v>
      </x:c>
      <x:c r="C254">
        <x:v>9</x:v>
      </x:c>
      <x:c r="D254">
        <x:v>4</x:v>
      </x:c>
      <x:c r="E254" t="s">
        <x:v>82</x:v>
      </x:c>
      <x:c r="F254">
        <x:v>1410</x:v>
      </x:c>
      <x:c r="G254" t="n">
        <x:f>ROUNDUP(G253*1.7,-1)</x:f>
        <x:v>1600</x:v>
      </x:c>
    </x:row>
    <x:row r="255">
      <x:c r="B255">
        <x:v>253</x:v>
      </x:c>
      <x:c r="C255">
        <x:v>9</x:v>
      </x:c>
      <x:c r="D255">
        <x:v>5</x:v>
      </x:c>
      <x:c r="E255" t="s">
        <x:v>43</x:v>
      </x:c>
      <x:c r="F255">
        <x:v>285</x:v>
      </x:c>
      <x:c r="G255" t="n">
        <x:f>G252+5</x:f>
        <x:v>475</x:v>
      </x:c>
    </x:row>
    <x:row r="256">
      <x:c r="B256">
        <x:v>254</x:v>
      </x:c>
      <x:c r="C256">
        <x:v>9</x:v>
      </x:c>
      <x:c r="D256">
        <x:v>5</x:v>
      </x:c>
      <x:c r="E256" t="s">
        <x:v>81</x:v>
      </x:c>
      <x:c r="F256">
        <x:v>475</x:v>
      </x:c>
      <x:c r="G256" t="n">
        <x:f>G255*2</x:f>
        <x:v>950</x:v>
      </x:c>
    </x:row>
    <x:row r="257">
      <x:c r="B257">
        <x:v>255</x:v>
      </x:c>
      <x:c r="C257">
        <x:v>9</x:v>
      </x:c>
      <x:c r="D257">
        <x:v>5</x:v>
      </x:c>
      <x:c r="E257" t="s">
        <x:v>82</x:v>
      </x:c>
      <x:c r="F257">
        <x:v>1425</x:v>
      </x:c>
      <x:c r="G257" t="n">
        <x:f>ROUNDUP(G256*1.7,-1)</x:f>
        <x:v>1620</x:v>
      </x:c>
    </x:row>
    <x:row r="258">
      <x:c r="B258">
        <x:v>256</x:v>
      </x:c>
      <x:c r="C258">
        <x:v>9</x:v>
      </x:c>
      <x:c r="D258">
        <x:v>6</x:v>
      </x:c>
      <x:c r="E258" t="s">
        <x:v>43</x:v>
      </x:c>
      <x:c r="F258">
        <x:v>288</x:v>
      </x:c>
      <x:c r="G258" t="n">
        <x:f>G255+5</x:f>
        <x:v>480</x:v>
      </x:c>
    </x:row>
    <x:row r="259">
      <x:c r="B259">
        <x:v>257</x:v>
      </x:c>
      <x:c r="C259">
        <x:v>9</x:v>
      </x:c>
      <x:c r="D259">
        <x:v>6</x:v>
      </x:c>
      <x:c r="E259" t="s">
        <x:v>81</x:v>
      </x:c>
      <x:c r="F259">
        <x:v>480</x:v>
      </x:c>
      <x:c r="G259" t="n">
        <x:f>G258*2</x:f>
        <x:v>960</x:v>
      </x:c>
    </x:row>
    <x:row r="260">
      <x:c r="B260">
        <x:v>258</x:v>
      </x:c>
      <x:c r="C260">
        <x:v>9</x:v>
      </x:c>
      <x:c r="D260">
        <x:v>6</x:v>
      </x:c>
      <x:c r="E260" t="s">
        <x:v>82</x:v>
      </x:c>
      <x:c r="F260">
        <x:v>1440</x:v>
      </x:c>
      <x:c r="G260" t="n">
        <x:f>ROUNDUP(G259*1.7,-1)</x:f>
        <x:v>1640</x:v>
      </x:c>
    </x:row>
    <x:row r="261">
      <x:c r="B261">
        <x:v>259</x:v>
      </x:c>
      <x:c r="C261">
        <x:v>9</x:v>
      </x:c>
      <x:c r="D261">
        <x:v>7</x:v>
      </x:c>
      <x:c r="E261" t="s">
        <x:v>43</x:v>
      </x:c>
      <x:c r="F261">
        <x:v>291</x:v>
      </x:c>
      <x:c r="G261" t="n">
        <x:f>G258+5</x:f>
        <x:v>485</x:v>
      </x:c>
    </x:row>
    <x:row r="262">
      <x:c r="B262">
        <x:v>260</x:v>
      </x:c>
      <x:c r="C262">
        <x:v>9</x:v>
      </x:c>
      <x:c r="D262">
        <x:v>7</x:v>
      </x:c>
      <x:c r="E262" t="s">
        <x:v>81</x:v>
      </x:c>
      <x:c r="F262">
        <x:v>485</x:v>
      </x:c>
      <x:c r="G262" t="n">
        <x:f>G261*2</x:f>
        <x:v>970</x:v>
      </x:c>
    </x:row>
    <x:row r="263">
      <x:c r="B263">
        <x:v>261</x:v>
      </x:c>
      <x:c r="C263">
        <x:v>9</x:v>
      </x:c>
      <x:c r="D263">
        <x:v>7</x:v>
      </x:c>
      <x:c r="E263" t="s">
        <x:v>82</x:v>
      </x:c>
      <x:c r="F263">
        <x:v>1455</x:v>
      </x:c>
      <x:c r="G263" t="n">
        <x:f>ROUNDUP(G262*1.7,-1)</x:f>
        <x:v>1650</x:v>
      </x:c>
    </x:row>
    <x:row r="264">
      <x:c r="B264">
        <x:v>262</x:v>
      </x:c>
      <x:c r="C264">
        <x:v>9</x:v>
      </x:c>
      <x:c r="D264">
        <x:v>8</x:v>
      </x:c>
      <x:c r="E264" t="s">
        <x:v>43</x:v>
      </x:c>
      <x:c r="F264">
        <x:v>294</x:v>
      </x:c>
      <x:c r="G264" t="n">
        <x:f>G261+5</x:f>
        <x:v>490</x:v>
      </x:c>
    </x:row>
    <x:row r="265">
      <x:c r="B265">
        <x:v>263</x:v>
      </x:c>
      <x:c r="C265">
        <x:v>9</x:v>
      </x:c>
      <x:c r="D265">
        <x:v>8</x:v>
      </x:c>
      <x:c r="E265" t="s">
        <x:v>81</x:v>
      </x:c>
      <x:c r="F265">
        <x:v>490</x:v>
      </x:c>
      <x:c r="G265" t="n">
        <x:f>G264*2</x:f>
        <x:v>980</x:v>
      </x:c>
    </x:row>
    <x:row r="266">
      <x:c r="B266">
        <x:v>264</x:v>
      </x:c>
      <x:c r="C266">
        <x:v>9</x:v>
      </x:c>
      <x:c r="D266">
        <x:v>8</x:v>
      </x:c>
      <x:c r="E266" t="s">
        <x:v>82</x:v>
      </x:c>
      <x:c r="F266">
        <x:v>1470</x:v>
      </x:c>
      <x:c r="G266" t="n">
        <x:f>ROUNDUP(G265*1.7,-1)</x:f>
        <x:v>1670</x:v>
      </x:c>
    </x:row>
    <x:row r="267">
      <x:c r="B267">
        <x:v>265</x:v>
      </x:c>
      <x:c r="C267">
        <x:v>9</x:v>
      </x:c>
      <x:c r="D267">
        <x:v>9</x:v>
      </x:c>
      <x:c r="E267" t="s">
        <x:v>43</x:v>
      </x:c>
      <x:c r="F267">
        <x:v>297</x:v>
      </x:c>
      <x:c r="G267" t="n">
        <x:f>G264+5</x:f>
        <x:v>495</x:v>
      </x:c>
    </x:row>
    <x:row r="268">
      <x:c r="B268">
        <x:v>266</x:v>
      </x:c>
      <x:c r="C268">
        <x:v>9</x:v>
      </x:c>
      <x:c r="D268">
        <x:v>9</x:v>
      </x:c>
      <x:c r="E268" t="s">
        <x:v>81</x:v>
      </x:c>
      <x:c r="F268">
        <x:v>495</x:v>
      </x:c>
      <x:c r="G268" t="n">
        <x:f>G267*2</x:f>
        <x:v>990</x:v>
      </x:c>
    </x:row>
    <x:row r="269">
      <x:c r="B269">
        <x:v>267</x:v>
      </x:c>
      <x:c r="C269">
        <x:v>9</x:v>
      </x:c>
      <x:c r="D269">
        <x:v>9</x:v>
      </x:c>
      <x:c r="E269" t="s">
        <x:v>82</x:v>
      </x:c>
      <x:c r="F269">
        <x:v>1485</x:v>
      </x:c>
      <x:c r="G269" t="n">
        <x:f>ROUNDUP(G268*1.7,-1)</x:f>
        <x:v>1690</x:v>
      </x:c>
    </x:row>
    <x:row r="270">
      <x:c r="B270">
        <x:v>268</x:v>
      </x:c>
      <x:c r="C270">
        <x:v>9</x:v>
      </x:c>
      <x:c r="D270">
        <x:v>10</x:v>
      </x:c>
      <x:c r="E270" t="s">
        <x:v>43</x:v>
      </x:c>
      <x:c r="F270">
        <x:v>300</x:v>
      </x:c>
      <x:c r="G270" t="n">
        <x:f>G267+5</x:f>
        <x:v>500</x:v>
      </x:c>
    </x:row>
    <x:row r="271">
      <x:c r="B271">
        <x:v>269</x:v>
      </x:c>
      <x:c r="C271">
        <x:v>9</x:v>
      </x:c>
      <x:c r="D271">
        <x:v>10</x:v>
      </x:c>
      <x:c r="E271" t="s">
        <x:v>81</x:v>
      </x:c>
      <x:c r="F271">
        <x:v>500</x:v>
      </x:c>
      <x:c r="G271" t="n">
        <x:f>G270*2</x:f>
        <x:v>1000</x:v>
      </x:c>
    </x:row>
    <x:row r="272">
      <x:c r="B272">
        <x:v>270</x:v>
      </x:c>
      <x:c r="C272">
        <x:v>9</x:v>
      </x:c>
      <x:c r="D272">
        <x:v>10</x:v>
      </x:c>
      <x:c r="E272" t="s">
        <x:v>82</x:v>
      </x:c>
      <x:c r="F272">
        <x:v>1500</x:v>
      </x:c>
      <x:c r="G272" t="n">
        <x:f>ROUNDUP(G271*1.7,-1)</x:f>
        <x:v>1700</x:v>
      </x:c>
    </x:row>
    <x:row r="273">
      <x:c r="B273">
        <x:v>271</x:v>
      </x:c>
      <x:c r="C273">
        <x:v>10</x:v>
      </x:c>
      <x:c r="D273">
        <x:v>1</x:v>
      </x:c>
      <x:c r="E273" t="s">
        <x:v>43</x:v>
      </x:c>
      <x:c r="F273">
        <x:v>303</x:v>
      </x:c>
      <x:c r="G273" t="n">
        <x:f>G270+5</x:f>
        <x:v>505</x:v>
      </x:c>
    </x:row>
    <x:row r="274">
      <x:c r="B274">
        <x:v>272</x:v>
      </x:c>
      <x:c r="C274">
        <x:v>10</x:v>
      </x:c>
      <x:c r="D274">
        <x:v>1</x:v>
      </x:c>
      <x:c r="E274" t="s">
        <x:v>81</x:v>
      </x:c>
      <x:c r="F274">
        <x:v>505</x:v>
      </x:c>
      <x:c r="G274" t="n">
        <x:f>G273*2</x:f>
        <x:v>1010</x:v>
      </x:c>
    </x:row>
    <x:row r="275">
      <x:c r="B275">
        <x:v>273</x:v>
      </x:c>
      <x:c r="C275">
        <x:v>10</x:v>
      </x:c>
      <x:c r="D275">
        <x:v>1</x:v>
      </x:c>
      <x:c r="E275" t="s">
        <x:v>82</x:v>
      </x:c>
      <x:c r="F275">
        <x:v>1515</x:v>
      </x:c>
      <x:c r="G275" t="n">
        <x:f>ROUNDUP(G274*1.7,-1)</x:f>
        <x:v>1720</x:v>
      </x:c>
    </x:row>
    <x:row r="276">
      <x:c r="B276">
        <x:v>274</x:v>
      </x:c>
      <x:c r="C276">
        <x:v>10</x:v>
      </x:c>
      <x:c r="D276">
        <x:v>2</x:v>
      </x:c>
      <x:c r="E276" t="s">
        <x:v>43</x:v>
      </x:c>
      <x:c r="F276">
        <x:v>306</x:v>
      </x:c>
      <x:c r="G276" t="n">
        <x:f>G273+5</x:f>
        <x:v>510</x:v>
      </x:c>
    </x:row>
    <x:row r="277">
      <x:c r="B277">
        <x:v>275</x:v>
      </x:c>
      <x:c r="C277">
        <x:v>10</x:v>
      </x:c>
      <x:c r="D277">
        <x:v>2</x:v>
      </x:c>
      <x:c r="E277" t="s">
        <x:v>81</x:v>
      </x:c>
      <x:c r="F277">
        <x:v>510</x:v>
      </x:c>
      <x:c r="G277" t="n">
        <x:f>G276*2</x:f>
        <x:v>1020</x:v>
      </x:c>
    </x:row>
    <x:row r="278">
      <x:c r="B278">
        <x:v>276</x:v>
      </x:c>
      <x:c r="C278">
        <x:v>10</x:v>
      </x:c>
      <x:c r="D278">
        <x:v>2</x:v>
      </x:c>
      <x:c r="E278" t="s">
        <x:v>82</x:v>
      </x:c>
      <x:c r="F278">
        <x:v>1530</x:v>
      </x:c>
      <x:c r="G278" t="n">
        <x:f>ROUNDUP(G277*1.7,-1)</x:f>
        <x:v>1740</x:v>
      </x:c>
    </x:row>
    <x:row r="279">
      <x:c r="B279">
        <x:v>277</x:v>
      </x:c>
      <x:c r="C279">
        <x:v>10</x:v>
      </x:c>
      <x:c r="D279">
        <x:v>3</x:v>
      </x:c>
      <x:c r="E279" t="s">
        <x:v>43</x:v>
      </x:c>
      <x:c r="F279">
        <x:v>309</x:v>
      </x:c>
      <x:c r="G279" t="n">
        <x:f>G276+5</x:f>
        <x:v>515</x:v>
      </x:c>
    </x:row>
    <x:row r="280">
      <x:c r="B280">
        <x:v>278</x:v>
      </x:c>
      <x:c r="C280">
        <x:v>10</x:v>
      </x:c>
      <x:c r="D280">
        <x:v>3</x:v>
      </x:c>
      <x:c r="E280" t="s">
        <x:v>81</x:v>
      </x:c>
      <x:c r="F280">
        <x:v>515</x:v>
      </x:c>
      <x:c r="G280" t="n">
        <x:f>G279*2</x:f>
        <x:v>1030</x:v>
      </x:c>
    </x:row>
    <x:row r="281">
      <x:c r="B281">
        <x:v>279</x:v>
      </x:c>
      <x:c r="C281">
        <x:v>10</x:v>
      </x:c>
      <x:c r="D281">
        <x:v>3</x:v>
      </x:c>
      <x:c r="E281" t="s">
        <x:v>82</x:v>
      </x:c>
      <x:c r="F281">
        <x:v>1545</x:v>
      </x:c>
      <x:c r="G281" t="n">
        <x:f>ROUNDUP(G280*1.7,-1)</x:f>
        <x:v>1760</x:v>
      </x:c>
    </x:row>
    <x:row r="282">
      <x:c r="B282">
        <x:v>280</x:v>
      </x:c>
      <x:c r="C282">
        <x:v>10</x:v>
      </x:c>
      <x:c r="D282">
        <x:v>4</x:v>
      </x:c>
      <x:c r="E282" t="s">
        <x:v>43</x:v>
      </x:c>
      <x:c r="F282">
        <x:v>312</x:v>
      </x:c>
      <x:c r="G282" t="n">
        <x:f>G279+5</x:f>
        <x:v>520</x:v>
      </x:c>
    </x:row>
    <x:row r="283">
      <x:c r="B283">
        <x:v>281</x:v>
      </x:c>
      <x:c r="C283">
        <x:v>10</x:v>
      </x:c>
      <x:c r="D283">
        <x:v>4</x:v>
      </x:c>
      <x:c r="E283" t="s">
        <x:v>81</x:v>
      </x:c>
      <x:c r="F283">
        <x:v>520</x:v>
      </x:c>
      <x:c r="G283" t="n">
        <x:f>G282*2</x:f>
        <x:v>1040</x:v>
      </x:c>
    </x:row>
    <x:row r="284">
      <x:c r="B284">
        <x:v>282</x:v>
      </x:c>
      <x:c r="C284">
        <x:v>10</x:v>
      </x:c>
      <x:c r="D284">
        <x:v>4</x:v>
      </x:c>
      <x:c r="E284" t="s">
        <x:v>82</x:v>
      </x:c>
      <x:c r="F284">
        <x:v>1560</x:v>
      </x:c>
      <x:c r="G284" t="n">
        <x:f>ROUNDUP(G283*1.7,-1)</x:f>
        <x:v>1770</x:v>
      </x:c>
    </x:row>
    <x:row r="285">
      <x:c r="B285">
        <x:v>283</x:v>
      </x:c>
      <x:c r="C285">
        <x:v>10</x:v>
      </x:c>
      <x:c r="D285">
        <x:v>5</x:v>
      </x:c>
      <x:c r="E285" t="s">
        <x:v>43</x:v>
      </x:c>
      <x:c r="F285">
        <x:v>315</x:v>
      </x:c>
      <x:c r="G285" t="n">
        <x:f>G282+5</x:f>
        <x:v>525</x:v>
      </x:c>
    </x:row>
    <x:row r="286">
      <x:c r="B286">
        <x:v>284</x:v>
      </x:c>
      <x:c r="C286">
        <x:v>10</x:v>
      </x:c>
      <x:c r="D286">
        <x:v>5</x:v>
      </x:c>
      <x:c r="E286" t="s">
        <x:v>81</x:v>
      </x:c>
      <x:c r="F286">
        <x:v>525</x:v>
      </x:c>
      <x:c r="G286" t="n">
        <x:f>G285*2</x:f>
        <x:v>1050</x:v>
      </x:c>
    </x:row>
    <x:row r="287">
      <x:c r="B287">
        <x:v>285</x:v>
      </x:c>
      <x:c r="C287">
        <x:v>10</x:v>
      </x:c>
      <x:c r="D287">
        <x:v>5</x:v>
      </x:c>
      <x:c r="E287" t="s">
        <x:v>82</x:v>
      </x:c>
      <x:c r="F287">
        <x:v>1575</x:v>
      </x:c>
      <x:c r="G287" t="n">
        <x:f>ROUNDUP(G286*1.7,-1)</x:f>
        <x:v>1790</x:v>
      </x:c>
    </x:row>
    <x:row r="288">
      <x:c r="B288">
        <x:v>286</x:v>
      </x:c>
      <x:c r="C288">
        <x:v>10</x:v>
      </x:c>
      <x:c r="D288">
        <x:v>6</x:v>
      </x:c>
      <x:c r="E288" t="s">
        <x:v>43</x:v>
      </x:c>
      <x:c r="F288">
        <x:v>318</x:v>
      </x:c>
      <x:c r="G288" t="n">
        <x:f>G285+5</x:f>
        <x:v>530</x:v>
      </x:c>
    </x:row>
    <x:row r="289">
      <x:c r="B289">
        <x:v>287</x:v>
      </x:c>
      <x:c r="C289">
        <x:v>10</x:v>
      </x:c>
      <x:c r="D289">
        <x:v>6</x:v>
      </x:c>
      <x:c r="E289" t="s">
        <x:v>81</x:v>
      </x:c>
      <x:c r="F289">
        <x:v>530</x:v>
      </x:c>
      <x:c r="G289" t="n">
        <x:f>G288*2</x:f>
        <x:v>1060</x:v>
      </x:c>
    </x:row>
    <x:row r="290">
      <x:c r="B290">
        <x:v>288</x:v>
      </x:c>
      <x:c r="C290">
        <x:v>10</x:v>
      </x:c>
      <x:c r="D290">
        <x:v>6</x:v>
      </x:c>
      <x:c r="E290" t="s">
        <x:v>82</x:v>
      </x:c>
      <x:c r="F290">
        <x:v>1590</x:v>
      </x:c>
      <x:c r="G290" t="n">
        <x:f>ROUNDUP(G289*1.7,-1)</x:f>
        <x:v>1810</x:v>
      </x:c>
    </x:row>
    <x:row r="291">
      <x:c r="B291">
        <x:v>289</x:v>
      </x:c>
      <x:c r="C291">
        <x:v>10</x:v>
      </x:c>
      <x:c r="D291">
        <x:v>7</x:v>
      </x:c>
      <x:c r="E291" t="s">
        <x:v>43</x:v>
      </x:c>
      <x:c r="F291">
        <x:v>321</x:v>
      </x:c>
      <x:c r="G291" t="n">
        <x:f>G288+5</x:f>
        <x:v>535</x:v>
      </x:c>
    </x:row>
    <x:row r="292">
      <x:c r="B292">
        <x:v>290</x:v>
      </x:c>
      <x:c r="C292">
        <x:v>10</x:v>
      </x:c>
      <x:c r="D292">
        <x:v>7</x:v>
      </x:c>
      <x:c r="E292" t="s">
        <x:v>81</x:v>
      </x:c>
      <x:c r="F292">
        <x:v>535</x:v>
      </x:c>
      <x:c r="G292" t="n">
        <x:f>G291*2</x:f>
        <x:v>1070</x:v>
      </x:c>
    </x:row>
    <x:row r="293">
      <x:c r="B293">
        <x:v>291</x:v>
      </x:c>
      <x:c r="C293">
        <x:v>10</x:v>
      </x:c>
      <x:c r="D293">
        <x:v>7</x:v>
      </x:c>
      <x:c r="E293" t="s">
        <x:v>82</x:v>
      </x:c>
      <x:c r="F293">
        <x:v>1605</x:v>
      </x:c>
      <x:c r="G293" t="n">
        <x:f>ROUNDUP(G292*1.7,-1)</x:f>
        <x:v>1820</x:v>
      </x:c>
    </x:row>
    <x:row r="294">
      <x:c r="B294">
        <x:v>292</x:v>
      </x:c>
      <x:c r="C294">
        <x:v>10</x:v>
      </x:c>
      <x:c r="D294">
        <x:v>8</x:v>
      </x:c>
      <x:c r="E294" t="s">
        <x:v>43</x:v>
      </x:c>
      <x:c r="F294">
        <x:v>324</x:v>
      </x:c>
      <x:c r="G294" t="n">
        <x:f>G291+5</x:f>
        <x:v>540</x:v>
      </x:c>
    </x:row>
    <x:row r="295">
      <x:c r="B295">
        <x:v>293</x:v>
      </x:c>
      <x:c r="C295">
        <x:v>10</x:v>
      </x:c>
      <x:c r="D295">
        <x:v>8</x:v>
      </x:c>
      <x:c r="E295" t="s">
        <x:v>81</x:v>
      </x:c>
      <x:c r="F295">
        <x:v>540</x:v>
      </x:c>
      <x:c r="G295" t="n">
        <x:f>G294*2</x:f>
        <x:v>1080</x:v>
      </x:c>
    </x:row>
    <x:row r="296">
      <x:c r="B296">
        <x:v>294</x:v>
      </x:c>
      <x:c r="C296">
        <x:v>10</x:v>
      </x:c>
      <x:c r="D296">
        <x:v>8</x:v>
      </x:c>
      <x:c r="E296" t="s">
        <x:v>82</x:v>
      </x:c>
      <x:c r="F296">
        <x:v>1620</x:v>
      </x:c>
      <x:c r="G296" t="n">
        <x:f>ROUNDUP(G295*1.7,-1)</x:f>
        <x:v>1840</x:v>
      </x:c>
    </x:row>
    <x:row r="297">
      <x:c r="B297">
        <x:v>295</x:v>
      </x:c>
      <x:c r="C297">
        <x:v>10</x:v>
      </x:c>
      <x:c r="D297">
        <x:v>9</x:v>
      </x:c>
      <x:c r="E297" t="s">
        <x:v>43</x:v>
      </x:c>
      <x:c r="F297">
        <x:v>327</x:v>
      </x:c>
      <x:c r="G297" t="n">
        <x:f>G294+5</x:f>
        <x:v>545</x:v>
      </x:c>
    </x:row>
    <x:row r="298">
      <x:c r="B298">
        <x:v>296</x:v>
      </x:c>
      <x:c r="C298">
        <x:v>10</x:v>
      </x:c>
      <x:c r="D298">
        <x:v>9</x:v>
      </x:c>
      <x:c r="E298" t="s">
        <x:v>81</x:v>
      </x:c>
      <x:c r="F298">
        <x:v>545</x:v>
      </x:c>
      <x:c r="G298" t="n">
        <x:f>G297*2</x:f>
        <x:v>1090</x:v>
      </x:c>
    </x:row>
    <x:row r="299">
      <x:c r="B299">
        <x:v>297</x:v>
      </x:c>
      <x:c r="C299">
        <x:v>10</x:v>
      </x:c>
      <x:c r="D299">
        <x:v>9</x:v>
      </x:c>
      <x:c r="E299" t="s">
        <x:v>82</x:v>
      </x:c>
      <x:c r="F299">
        <x:v>1635</x:v>
      </x:c>
      <x:c r="G299" t="n">
        <x:f>ROUNDUP(G298*1.7,-1)</x:f>
        <x:v>1860</x:v>
      </x:c>
    </x:row>
    <x:row r="300">
      <x:c r="B300">
        <x:v>298</x:v>
      </x:c>
      <x:c r="C300">
        <x:v>10</x:v>
      </x:c>
      <x:c r="D300">
        <x:v>10</x:v>
      </x:c>
      <x:c r="E300" t="s">
        <x:v>43</x:v>
      </x:c>
      <x:c r="F300">
        <x:v>330</x:v>
      </x:c>
      <x:c r="G300" t="n">
        <x:f>G297+5</x:f>
        <x:v>550</x:v>
      </x:c>
    </x:row>
    <x:row r="301">
      <x:c r="B301">
        <x:v>299</x:v>
      </x:c>
      <x:c r="C301">
        <x:v>10</x:v>
      </x:c>
      <x:c r="D301">
        <x:v>10</x:v>
      </x:c>
      <x:c r="E301" t="s">
        <x:v>81</x:v>
      </x:c>
      <x:c r="F301">
        <x:v>550</x:v>
      </x:c>
      <x:c r="G301" t="n">
        <x:f>G300*2</x:f>
        <x:v>1100</x:v>
      </x:c>
    </x:row>
    <x:row r="302">
      <x:c r="B302">
        <x:v>300</x:v>
      </x:c>
      <x:c r="C302">
        <x:v>10</x:v>
      </x:c>
      <x:c r="D302">
        <x:v>10</x:v>
      </x:c>
      <x:c r="E302" t="s">
        <x:v>82</x:v>
      </x:c>
      <x:c r="F302">
        <x:v>1650</x:v>
      </x:c>
      <x:c r="G302" t="n">
        <x:f>ROUNDUP(G301*1.7,-1)</x:f>
        <x:v>1870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5" max="5" width="13.625" customWidth="1"/>
    <x:col min="6" max="6" width="10.625" customWidth="1"/>
    <x:col min="7" max="7" width="13.625" customWidth="1"/>
    <x:col min="8" max="8" width="10.625" customWidth="1"/>
    <x:col min="9" max="9" width="13.625" customWidth="1"/>
    <x:col min="10" max="10" width="10.625" customWidth="1"/>
    <x:col min="11" max="11" width="13.625" customWidth="1"/>
    <x:col min="12" max="12" width="10.625" customWidth="1"/>
    <x:col min="13" max="13" width="13.625" customWidth="1"/>
    <x:col min="14" max="14" width="10.625" customWidth="1"/>
    <x:col min="15" max="15" width="13.625" customWidth="1"/>
    <x:col min="16" max="16" width="10.625" customWidth="1"/>
    <x:col min="17" max="17" width="11" customWidth="1"/>
  </x:cols>
  <x:sheetData>
    <x:row r="2">
      <x:c r="B2" t="s">
        <x:v>77</x:v>
      </x:c>
      <x:c r="C2" t="s">
        <x:v>78</x:v>
      </x:c>
      <x:c r="D2" t="s">
        <x:v>79</x:v>
      </x:c>
      <x:c r="E2" t="s">
        <x:v>83</x:v>
      </x:c>
      <x:c r="F2" t="s">
        <x:v>84</x:v>
      </x:c>
      <x:c r="G2" t="s">
        <x:v>85</x:v>
      </x:c>
      <x:c r="H2" t="s">
        <x:v>86</x:v>
      </x:c>
      <x:c r="I2" t="s">
        <x:v>87</x:v>
      </x:c>
      <x:c r="J2" t="s">
        <x:v>88</x:v>
      </x:c>
      <x:c r="K2" t="s">
        <x:v>89</x:v>
      </x:c>
      <x:c r="L2" t="s">
        <x:v>90</x:v>
      </x:c>
      <x:c r="M2" t="s">
        <x:v>91</x:v>
      </x:c>
      <x:c r="N2" t="s">
        <x:v>92</x:v>
      </x:c>
      <x:c r="O2" t="s">
        <x:v>93</x:v>
      </x:c>
      <x:c r="P2" t="s">
        <x:v>94</x:v>
      </x:c>
      <x:c r="Q2" t="s">
        <x:v>95</x:v>
      </x:c>
    </x:row>
    <x:row r="3">
      <x:c r="B3">
        <x:v>1</x:v>
      </x:c>
      <x:c r="C3">
        <x:v>1</x:v>
      </x:c>
      <x:c r="D3">
        <x:v>1</x:v>
      </x:c>
      <x:c r="E3" s="10" t="s">
        <x:v>96</x:v>
      </x:c>
      <x:c r="F3" s="10" t="s">
        <x:v>97</x:v>
      </x:c>
      <x:c r="G3" s="10" t="s">
        <x:v>98</x:v>
      </x:c>
      <x:c r="H3" s="10" t="s">
        <x:v>97</x:v>
      </x:c>
      <x:c r="I3" s="10" t="s">
        <x:v>96</x:v>
      </x:c>
      <x:c r="J3" s="10" t="s">
        <x:v>97</x:v>
      </x:c>
      <x:c r="K3" s="10"/>
      <x:c r="L3" s="10"/>
      <x:c r="M3" s="10"/>
      <x:c r="N3" s="10"/>
      <x:c r="O3" s="10"/>
      <x:c r="P3" s="10"/>
      <x:c r="Q3" t="s">
        <x:v>99</x:v>
      </x:c>
    </x:row>
    <x:row r="4">
      <x:c r="B4">
        <x:v>2</x:v>
      </x:c>
      <x:c r="C4">
        <x:v>1</x:v>
      </x:c>
      <x:c r="D4">
        <x:v>2</x:v>
      </x:c>
      <x:c r="E4" s="10" t="s">
        <x:v>98</x:v>
      </x:c>
      <x:c r="F4" s="10" t="s">
        <x:v>97</x:v>
      </x:c>
      <x:c r="G4" s="10" t="s">
        <x:v>96</x:v>
      </x:c>
      <x:c r="H4" s="10" t="s">
        <x:v>97</x:v>
      </x:c>
      <x:c r="I4" s="10" t="s">
        <x:v>98</x:v>
      </x:c>
      <x:c r="J4" s="10" t="s">
        <x:v>97</x:v>
      </x:c>
      <x:c r="K4" s="10"/>
      <x:c r="L4" s="10"/>
      <x:c r="M4" s="10"/>
      <x:c r="N4" s="10"/>
      <x:c r="O4" s="10"/>
      <x:c r="P4" s="10"/>
      <x:c r="Q4" t="s">
        <x:v>99</x:v>
      </x:c>
    </x:row>
    <x:row r="5">
      <x:c r="B5">
        <x:v>3</x:v>
      </x:c>
      <x:c r="C5">
        <x:v>1</x:v>
      </x:c>
      <x:c r="D5">
        <x:v>3</x:v>
      </x:c>
      <x:c r="E5" s="10" t="s">
        <x:v>96</x:v>
      </x:c>
      <x:c r="F5" s="10" t="s">
        <x:v>97</x:v>
      </x:c>
      <x:c r="G5" s="10" t="s">
        <x:v>98</x:v>
      </x:c>
      <x:c r="H5" s="10" t="s">
        <x:v>97</x:v>
      </x:c>
      <x:c r="I5" s="10" t="s">
        <x:v>96</x:v>
      </x:c>
      <x:c r="J5" s="10" t="s">
        <x:v>97</x:v>
      </x:c>
      <x:c r="K5" s="10"/>
      <x:c r="L5" s="10"/>
      <x:c r="M5" s="10"/>
      <x:c r="N5" s="10"/>
      <x:c r="O5" s="10"/>
      <x:c r="P5" s="10"/>
      <x:c r="Q5" t="s">
        <x:v>99</x:v>
      </x:c>
    </x:row>
    <x:row r="6">
      <x:c r="B6">
        <x:v>4</x:v>
      </x:c>
      <x:c r="C6">
        <x:v>1</x:v>
      </x:c>
      <x:c r="D6">
        <x:v>4</x:v>
      </x:c>
      <x:c r="E6" s="10" t="s">
        <x:v>98</x:v>
      </x:c>
      <x:c r="F6" s="10" t="s">
        <x:v>97</x:v>
      </x:c>
      <x:c r="G6" s="10" t="s">
        <x:v>96</x:v>
      </x:c>
      <x:c r="H6" s="10" t="s">
        <x:v>97</x:v>
      </x:c>
      <x:c r="I6" s="10" t="s">
        <x:v>100</x:v>
      </x:c>
      <x:c r="J6" s="10" t="s">
        <x:v>97</x:v>
      </x:c>
      <x:c r="K6" s="10"/>
      <x:c r="L6" s="10"/>
      <x:c r="M6" s="10"/>
      <x:c r="N6" s="10"/>
      <x:c r="O6" s="10"/>
      <x:c r="P6" s="10"/>
      <x:c r="Q6" t="s">
        <x:v>99</x:v>
      </x:c>
    </x:row>
    <x:row r="7">
      <x:c r="B7">
        <x:v>5</x:v>
      </x:c>
      <x:c r="C7">
        <x:v>1</x:v>
      </x:c>
      <x:c r="D7">
        <x:v>5</x:v>
      </x:c>
      <x:c r="E7" s="10" t="s">
        <x:v>96</x:v>
      </x:c>
      <x:c r="F7" s="10" t="s">
        <x:v>97</x:v>
      </x:c>
      <x:c r="G7" s="10" t="s">
        <x:v>98</x:v>
      </x:c>
      <x:c r="H7" s="10" t="s">
        <x:v>97</x:v>
      </x:c>
      <x:c r="I7" s="10" t="s">
        <x:v>100</x:v>
      </x:c>
      <x:c r="J7" s="10" t="s">
        <x:v>97</x:v>
      </x:c>
      <x:c r="K7" s="10"/>
      <x:c r="L7" s="10"/>
      <x:c r="M7" s="10"/>
      <x:c r="N7" s="10"/>
      <x:c r="O7" s="10"/>
      <x:c r="P7" s="10"/>
      <x:c r="Q7" t="s">
        <x:v>99</x:v>
      </x:c>
    </x:row>
    <x:row r="8">
      <x:c r="B8">
        <x:v>6</x:v>
      </x:c>
      <x:c r="C8">
        <x:v>1</x:v>
      </x:c>
      <x:c r="D8">
        <x:v>6</x:v>
      </x:c>
      <x:c r="E8" s="10" t="s">
        <x:v>98</x:v>
      </x:c>
      <x:c r="F8" s="10" t="s">
        <x:v>97</x:v>
      </x:c>
      <x:c r="G8" s="10" t="s">
        <x:v>96</x:v>
      </x:c>
      <x:c r="H8" s="10" t="s">
        <x:v>97</x:v>
      </x:c>
      <x:c r="I8" s="10" t="s">
        <x:v>100</x:v>
      </x:c>
      <x:c r="J8" s="10" t="s">
        <x:v>97</x:v>
      </x:c>
      <x:c r="K8" s="10"/>
      <x:c r="L8" s="10"/>
      <x:c r="M8" s="10"/>
      <x:c r="N8" s="10"/>
      <x:c r="O8" s="10"/>
      <x:c r="P8" s="10"/>
      <x:c r="Q8" t="s">
        <x:v>99</x:v>
      </x:c>
    </x:row>
    <x:row r="9">
      <x:c r="B9">
        <x:v>7</x:v>
      </x:c>
      <x:c r="C9">
        <x:v>1</x:v>
      </x:c>
      <x:c r="D9">
        <x:v>7</x:v>
      </x:c>
      <x:c r="E9" s="10" t="s">
        <x:v>96</x:v>
      </x:c>
      <x:c r="F9" s="10" t="s">
        <x:v>97</x:v>
      </x:c>
      <x:c r="G9" s="10" t="s">
        <x:v>98</x:v>
      </x:c>
      <x:c r="H9" s="10" t="s">
        <x:v>97</x:v>
      </x:c>
      <x:c r="I9" s="10" t="s">
        <x:v>96</x:v>
      </x:c>
      <x:c r="J9" s="10" t="s">
        <x:v>97</x:v>
      </x:c>
      <x:c r="K9" s="10" t="s">
        <x:v>100</x:v>
      </x:c>
      <x:c r="L9" s="10" t="s">
        <x:v>97</x:v>
      </x:c>
      <x:c r="M9" s="10"/>
      <x:c r="N9" s="10"/>
      <x:c r="O9" s="10"/>
      <x:c r="P9" s="10"/>
      <x:c r="Q9" t="s">
        <x:v>99</x:v>
      </x:c>
    </x:row>
    <x:row r="10">
      <x:c r="B10">
        <x:v>8</x:v>
      </x:c>
      <x:c r="C10">
        <x:v>1</x:v>
      </x:c>
      <x:c r="D10">
        <x:v>8</x:v>
      </x:c>
      <x:c r="E10" s="10" t="s">
        <x:v>98</x:v>
      </x:c>
      <x:c r="F10" s="10" t="s">
        <x:v>97</x:v>
      </x:c>
      <x:c r="G10" s="10" t="s">
        <x:v>96</x:v>
      </x:c>
      <x:c r="H10" s="10" t="s">
        <x:v>97</x:v>
      </x:c>
      <x:c r="I10" s="10" t="s">
        <x:v>98</x:v>
      </x:c>
      <x:c r="J10" s="10" t="s">
        <x:v>97</x:v>
      </x:c>
      <x:c r="K10" s="10" t="s">
        <x:v>100</x:v>
      </x:c>
      <x:c r="L10" s="10" t="s">
        <x:v>43</x:v>
      </x:c>
      <x:c r="M10" s="10"/>
      <x:c r="N10" s="10"/>
      <x:c r="O10" s="10"/>
      <x:c r="P10" s="10"/>
      <x:c r="Q10" t="s">
        <x:v>99</x:v>
      </x:c>
    </x:row>
    <x:row r="11">
      <x:c r="B11">
        <x:v>9</x:v>
      </x:c>
      <x:c r="C11">
        <x:v>1</x:v>
      </x:c>
      <x:c r="D11">
        <x:v>9</x:v>
      </x:c>
      <x:c r="E11" s="10" t="s">
        <x:v>96</x:v>
      </x:c>
      <x:c r="F11" s="10" t="s">
        <x:v>97</x:v>
      </x:c>
      <x:c r="G11" s="10" t="s">
        <x:v>98</x:v>
      </x:c>
      <x:c r="H11" s="10" t="s">
        <x:v>97</x:v>
      </x:c>
      <x:c r="I11" s="10" t="s">
        <x:v>96</x:v>
      </x:c>
      <x:c r="J11" s="10" t="s">
        <x:v>97</x:v>
      </x:c>
      <x:c r="K11" s="10" t="s">
        <x:v>100</x:v>
      </x:c>
      <x:c r="L11" s="10" t="s">
        <x:v>43</x:v>
      </x:c>
      <x:c r="M11" s="10"/>
      <x:c r="N11" s="10"/>
      <x:c r="O11" s="10"/>
      <x:c r="P11" s="10"/>
      <x:c r="Q11" t="s">
        <x:v>99</x:v>
      </x:c>
    </x:row>
    <x:row r="12">
      <x:c r="B12">
        <x:v>10</x:v>
      </x:c>
      <x:c r="C12">
        <x:v>1</x:v>
      </x:c>
      <x:c r="D12">
        <x:v>10</x:v>
      </x:c>
      <x:c r="E12" s="10" t="s">
        <x:v>98</x:v>
      </x:c>
      <x:c r="F12" s="10" t="s">
        <x:v>97</x:v>
      </x:c>
      <x:c r="G12" s="10" t="s">
        <x:v>96</x:v>
      </x:c>
      <x:c r="H12" s="10" t="s">
        <x:v>97</x:v>
      </x:c>
      <x:c r="I12" s="10" t="s">
        <x:v>98</x:v>
      </x:c>
      <x:c r="J12" s="10" t="s">
        <x:v>97</x:v>
      </x:c>
      <x:c r="K12" s="10" t="s">
        <x:v>100</x:v>
      </x:c>
      <x:c r="L12" s="10" t="s">
        <x:v>43</x:v>
      </x:c>
      <x:c r="M12" s="10"/>
      <x:c r="N12" s="10"/>
      <x:c r="O12" s="10"/>
      <x:c r="P12" s="10"/>
      <x:c r="Q12" t="s">
        <x:v>99</x:v>
      </x:c>
    </x:row>
    <x:row r="13">
      <x:c r="B13">
        <x:v>11</x:v>
      </x:c>
      <x:c r="C13">
        <x:v>2</x:v>
      </x:c>
      <x:c r="D13">
        <x:v>1</x:v>
      </x:c>
      <x:c r="E13" s="10" t="s">
        <x:v>100</x:v>
      </x:c>
      <x:c r="F13" s="10" t="s">
        <x:v>97</x:v>
      </x:c>
      <x:c r="G13" s="10" t="s">
        <x:v>98</x:v>
      </x:c>
      <x:c r="H13" s="10" t="s">
        <x:v>97</x:v>
      </x:c>
      <x:c r="I13" s="10" t="s">
        <x:v>96</x:v>
      </x:c>
      <x:c r="J13" s="10" t="s">
        <x:v>97</x:v>
      </x:c>
      <x:c r="K13" s="10" t="s">
        <x:v>100</x:v>
      </x:c>
      <x:c r="L13" s="10" t="s">
        <x:v>97</x:v>
      </x:c>
      <x:c r="M13" s="10"/>
      <x:c r="N13" s="10"/>
      <x:c r="O13" s="10"/>
      <x:c r="P13" s="10"/>
      <x:c r="Q13" t="s">
        <x:v>101</x:v>
      </x:c>
    </x:row>
    <x:row r="14">
      <x:c r="B14">
        <x:v>12</x:v>
      </x:c>
      <x:c r="C14">
        <x:v>2</x:v>
      </x:c>
      <x:c r="D14">
        <x:v>2</x:v>
      </x:c>
      <x:c r="E14" s="10" t="s">
        <x:v>98</x:v>
      </x:c>
      <x:c r="F14" s="10" t="s">
        <x:v>97</x:v>
      </x:c>
      <x:c r="G14" s="10" t="s">
        <x:v>96</x:v>
      </x:c>
      <x:c r="H14" s="10" t="s">
        <x:v>97</x:v>
      </x:c>
      <x:c r="I14" s="10" t="s">
        <x:v>100</x:v>
      </x:c>
      <x:c r="J14" s="10" t="s">
        <x:v>97</x:v>
      </x:c>
      <x:c r="K14" s="10" t="s">
        <x:v>98</x:v>
      </x:c>
      <x:c r="L14" s="10" t="s">
        <x:v>97</x:v>
      </x:c>
      <x:c r="M14" s="10"/>
      <x:c r="N14" s="10"/>
      <x:c r="O14" s="10"/>
      <x:c r="P14" s="10"/>
      <x:c r="Q14" t="s">
        <x:v>101</x:v>
      </x:c>
    </x:row>
    <x:row r="15">
      <x:c r="B15">
        <x:v>13</x:v>
      </x:c>
      <x:c r="C15">
        <x:v>2</x:v>
      </x:c>
      <x:c r="D15">
        <x:v>3</x:v>
      </x:c>
      <x:c r="E15" s="10" t="s">
        <x:v>96</x:v>
      </x:c>
      <x:c r="F15" s="10" t="s">
        <x:v>97</x:v>
      </x:c>
      <x:c r="G15" s="10" t="s">
        <x:v>100</x:v>
      </x:c>
      <x:c r="H15" s="10" t="s">
        <x:v>97</x:v>
      </x:c>
      <x:c r="I15" s="10" t="s">
        <x:v>98</x:v>
      </x:c>
      <x:c r="J15" s="10" t="s">
        <x:v>97</x:v>
      </x:c>
      <x:c r="K15" s="10" t="s">
        <x:v>96</x:v>
      </x:c>
      <x:c r="L15" s="10" t="s">
        <x:v>97</x:v>
      </x:c>
      <x:c r="M15" s="10"/>
      <x:c r="N15" s="10"/>
      <x:c r="O15" s="10"/>
      <x:c r="P15" s="10"/>
      <x:c r="Q15" t="s">
        <x:v>101</x:v>
      </x:c>
    </x:row>
    <x:row r="16">
      <x:c r="B16">
        <x:v>14</x:v>
      </x:c>
      <x:c r="C16">
        <x:v>2</x:v>
      </x:c>
      <x:c r="D16">
        <x:v>4</x:v>
      </x:c>
      <x:c r="E16" s="10" t="s">
        <x:v>100</x:v>
      </x:c>
      <x:c r="F16" s="10" t="s">
        <x:v>97</x:v>
      </x:c>
      <x:c r="G16" s="10" t="s">
        <x:v>98</x:v>
      </x:c>
      <x:c r="H16" s="10" t="s">
        <x:v>97</x:v>
      </x:c>
      <x:c r="I16" s="10" t="s">
        <x:v>96</x:v>
      </x:c>
      <x:c r="J16" s="10" t="s">
        <x:v>97</x:v>
      </x:c>
      <x:c r="K16" s="10" t="s">
        <x:v>102</x:v>
      </x:c>
      <x:c r="L16" s="10" t="s">
        <x:v>97</x:v>
      </x:c>
      <x:c r="M16" s="10"/>
      <x:c r="N16" s="10"/>
      <x:c r="O16" s="10"/>
      <x:c r="P16" s="10"/>
      <x:c r="Q16" t="s">
        <x:v>101</x:v>
      </x:c>
    </x:row>
    <x:row r="17">
      <x:c r="B17">
        <x:v>15</x:v>
      </x:c>
      <x:c r="C17">
        <x:v>2</x:v>
      </x:c>
      <x:c r="D17">
        <x:v>5</x:v>
      </x:c>
      <x:c r="E17" s="10" t="s">
        <x:v>98</x:v>
      </x:c>
      <x:c r="F17" s="10" t="s">
        <x:v>97</x:v>
      </x:c>
      <x:c r="G17" s="10" t="s">
        <x:v>96</x:v>
      </x:c>
      <x:c r="H17" s="10" t="s">
        <x:v>97</x:v>
      </x:c>
      <x:c r="I17" s="10" t="s">
        <x:v>100</x:v>
      </x:c>
      <x:c r="J17" s="10" t="s">
        <x:v>97</x:v>
      </x:c>
      <x:c r="K17" s="10" t="s">
        <x:v>102</x:v>
      </x:c>
      <x:c r="L17" s="10" t="s">
        <x:v>97</x:v>
      </x:c>
      <x:c r="M17" s="10"/>
      <x:c r="N17" s="10"/>
      <x:c r="O17" s="10"/>
      <x:c r="P17" s="10"/>
      <x:c r="Q17" t="s">
        <x:v>101</x:v>
      </x:c>
    </x:row>
    <x:row r="18">
      <x:c r="B18">
        <x:v>16</x:v>
      </x:c>
      <x:c r="C18">
        <x:v>2</x:v>
      </x:c>
      <x:c r="D18">
        <x:v>6</x:v>
      </x:c>
      <x:c r="E18" s="10" t="s">
        <x:v>96</x:v>
      </x:c>
      <x:c r="F18" s="10" t="s">
        <x:v>97</x:v>
      </x:c>
      <x:c r="G18" s="10" t="s">
        <x:v>100</x:v>
      </x:c>
      <x:c r="H18" s="10" t="s">
        <x:v>97</x:v>
      </x:c>
      <x:c r="I18" s="10" t="s">
        <x:v>98</x:v>
      </x:c>
      <x:c r="J18" s="10" t="s">
        <x:v>97</x:v>
      </x:c>
      <x:c r="K18" s="10" t="s">
        <x:v>102</x:v>
      </x:c>
      <x:c r="L18" s="10" t="s">
        <x:v>97</x:v>
      </x:c>
      <x:c r="M18" s="10"/>
      <x:c r="N18" s="10"/>
      <x:c r="O18" s="10"/>
      <x:c r="P18" s="10"/>
      <x:c r="Q18" t="s">
        <x:v>101</x:v>
      </x:c>
    </x:row>
    <x:row r="19">
      <x:c r="B19">
        <x:v>17</x:v>
      </x:c>
      <x:c r="C19">
        <x:v>2</x:v>
      </x:c>
      <x:c r="D19">
        <x:v>7</x:v>
      </x:c>
      <x:c r="E19" s="10" t="s">
        <x:v>100</x:v>
      </x:c>
      <x:c r="F19" s="10" t="s">
        <x:v>97</x:v>
      </x:c>
      <x:c r="G19" s="10" t="s">
        <x:v>98</x:v>
      </x:c>
      <x:c r="H19" s="10" t="s">
        <x:v>97</x:v>
      </x:c>
      <x:c r="I19" s="10" t="s">
        <x:v>96</x:v>
      </x:c>
      <x:c r="J19" s="10" t="s">
        <x:v>97</x:v>
      </x:c>
      <x:c r="K19" s="10" t="s">
        <x:v>102</x:v>
      </x:c>
      <x:c r="L19" s="10" t="s">
        <x:v>97</x:v>
      </x:c>
      <x:c r="M19" s="10"/>
      <x:c r="N19" s="10"/>
      <x:c r="O19" s="10"/>
      <x:c r="P19" s="10"/>
      <x:c r="Q19" t="s">
        <x:v>101</x:v>
      </x:c>
    </x:row>
    <x:row r="20">
      <x:c r="B20">
        <x:v>18</x:v>
      </x:c>
      <x:c r="C20">
        <x:v>2</x:v>
      </x:c>
      <x:c r="D20">
        <x:v>8</x:v>
      </x:c>
      <x:c r="E20" s="10" t="s">
        <x:v>98</x:v>
      </x:c>
      <x:c r="F20" s="10" t="s">
        <x:v>97</x:v>
      </x:c>
      <x:c r="G20" s="10" t="s">
        <x:v>96</x:v>
      </x:c>
      <x:c r="H20" s="10" t="s">
        <x:v>97</x:v>
      </x:c>
      <x:c r="I20" s="10" t="s">
        <x:v>100</x:v>
      </x:c>
      <x:c r="J20" s="10" t="s">
        <x:v>97</x:v>
      </x:c>
      <x:c r="K20" s="10" t="s">
        <x:v>102</x:v>
      </x:c>
      <x:c r="L20" s="10" t="s">
        <x:v>43</x:v>
      </x:c>
      <x:c r="M20" s="10"/>
      <x:c r="N20" s="10"/>
      <x:c r="O20" s="10"/>
      <x:c r="P20" s="10"/>
      <x:c r="Q20" t="s">
        <x:v>101</x:v>
      </x:c>
    </x:row>
    <x:row r="21">
      <x:c r="B21">
        <x:v>19</x:v>
      </x:c>
      <x:c r="C21">
        <x:v>2</x:v>
      </x:c>
      <x:c r="D21">
        <x:v>9</x:v>
      </x:c>
      <x:c r="E21" s="10" t="s">
        <x:v>96</x:v>
      </x:c>
      <x:c r="F21" s="10" t="s">
        <x:v>97</x:v>
      </x:c>
      <x:c r="G21" s="10" t="s">
        <x:v>100</x:v>
      </x:c>
      <x:c r="H21" s="10" t="s">
        <x:v>97</x:v>
      </x:c>
      <x:c r="I21" s="10" t="s">
        <x:v>98</x:v>
      </x:c>
      <x:c r="J21" s="10" t="s">
        <x:v>97</x:v>
      </x:c>
      <x:c r="K21" s="10" t="s">
        <x:v>102</x:v>
      </x:c>
      <x:c r="L21" s="10" t="s">
        <x:v>43</x:v>
      </x:c>
      <x:c r="M21" s="10"/>
      <x:c r="N21" s="10"/>
      <x:c r="O21" s="10"/>
      <x:c r="P21" s="10"/>
      <x:c r="Q21" t="s">
        <x:v>101</x:v>
      </x:c>
    </x:row>
    <x:row r="22">
      <x:c r="B22">
        <x:v>20</x:v>
      </x:c>
      <x:c r="C22">
        <x:v>2</x:v>
      </x:c>
      <x:c r="D22">
        <x:v>10</x:v>
      </x:c>
      <x:c r="E22" s="10" t="s">
        <x:v>100</x:v>
      </x:c>
      <x:c r="F22" s="10" t="s">
        <x:v>97</x:v>
      </x:c>
      <x:c r="G22" s="10" t="s">
        <x:v>98</x:v>
      </x:c>
      <x:c r="H22" s="10" t="s">
        <x:v>97</x:v>
      </x:c>
      <x:c r="I22" s="10" t="s">
        <x:v>96</x:v>
      </x:c>
      <x:c r="J22" s="10" t="s">
        <x:v>97</x:v>
      </x:c>
      <x:c r="K22" s="10" t="s">
        <x:v>102</x:v>
      </x:c>
      <x:c r="L22" s="10" t="s">
        <x:v>43</x:v>
      </x:c>
      <x:c r="M22" s="10"/>
      <x:c r="N22" s="10"/>
      <x:c r="O22" s="10"/>
      <x:c r="P22" s="10"/>
      <x:c r="Q22" t="s">
        <x:v>101</x:v>
      </x:c>
    </x:row>
    <x:row r="23">
      <x:c r="B23">
        <x:v>21</x:v>
      </x:c>
      <x:c r="C23">
        <x:v>3</x:v>
      </x:c>
      <x:c r="D23">
        <x:v>1</x:v>
      </x:c>
      <x:c r="E23" s="10" t="s">
        <x:v>96</x:v>
      </x:c>
      <x:c r="F23" s="10" t="s">
        <x:v>97</x:v>
      </x:c>
      <x:c r="G23" s="10" t="s">
        <x:v>102</x:v>
      </x:c>
      <x:c r="H23" s="10" t="s">
        <x:v>97</x:v>
      </x:c>
      <x:c r="I23" s="10" t="s">
        <x:v>96</x:v>
      </x:c>
      <x:c r="J23" s="10" t="s">
        <x:v>97</x:v>
      </x:c>
      <x:c r="K23" s="10" t="s">
        <x:v>102</x:v>
      </x:c>
      <x:c r="L23" s="10" t="s">
        <x:v>97</x:v>
      </x:c>
      <x:c r="M23" s="10"/>
      <x:c r="N23" s="10"/>
      <x:c r="O23" s="10"/>
      <x:c r="P23" s="10"/>
      <x:c r="Q23" t="s">
        <x:v>103</x:v>
      </x:c>
    </x:row>
    <x:row r="24">
      <x:c r="B24">
        <x:v>22</x:v>
      </x:c>
      <x:c r="C24">
        <x:v>3</x:v>
      </x:c>
      <x:c r="D24">
        <x:v>2</x:v>
      </x:c>
      <x:c r="E24" s="10" t="s">
        <x:v>100</x:v>
      </x:c>
      <x:c r="F24" s="10" t="s">
        <x:v>97</x:v>
      </x:c>
      <x:c r="G24" s="10" t="s">
        <x:v>98</x:v>
      </x:c>
      <x:c r="H24" s="10" t="s">
        <x:v>97</x:v>
      </x:c>
      <x:c r="I24" s="10" t="s">
        <x:v>100</x:v>
      </x:c>
      <x:c r="J24" s="10" t="s">
        <x:v>97</x:v>
      </x:c>
      <x:c r="K24" s="10" t="s">
        <x:v>104</x:v>
      </x:c>
      <x:c r="L24" s="10" t="s">
        <x:v>97</x:v>
      </x:c>
      <x:c r="M24" s="10"/>
      <x:c r="N24" s="10"/>
      <x:c r="O24" s="10"/>
      <x:c r="P24" s="10"/>
      <x:c r="Q24" t="s">
        <x:v>103</x:v>
      </x:c>
    </x:row>
    <x:row r="25">
      <x:c r="B25">
        <x:v>23</x:v>
      </x:c>
      <x:c r="C25">
        <x:v>3</x:v>
      </x:c>
      <x:c r="D25">
        <x:v>3</x:v>
      </x:c>
      <x:c r="E25" s="10" t="s">
        <x:v>102</x:v>
      </x:c>
      <x:c r="F25" s="10" t="s">
        <x:v>97</x:v>
      </x:c>
      <x:c r="G25" s="10" t="s">
        <x:v>104</x:v>
      </x:c>
      <x:c r="H25" s="10" t="s">
        <x:v>97</x:v>
      </x:c>
      <x:c r="I25" s="10" t="s">
        <x:v>102</x:v>
      </x:c>
      <x:c r="J25" s="10" t="s">
        <x:v>97</x:v>
      </x:c>
      <x:c r="K25" s="10" t="s">
        <x:v>96</x:v>
      </x:c>
      <x:c r="L25" s="10" t="s">
        <x:v>97</x:v>
      </x:c>
      <x:c r="M25" s="10"/>
      <x:c r="N25" s="10"/>
      <x:c r="O25" s="10"/>
      <x:c r="P25" s="10"/>
      <x:c r="Q25" t="s">
        <x:v>103</x:v>
      </x:c>
    </x:row>
    <x:row r="26">
      <x:c r="B26">
        <x:v>24</x:v>
      </x:c>
      <x:c r="C26">
        <x:v>3</x:v>
      </x:c>
      <x:c r="D26">
        <x:v>4</x:v>
      </x:c>
      <x:c r="E26" s="10" t="s">
        <x:v>98</x:v>
      </x:c>
      <x:c r="F26" s="10" t="s">
        <x:v>97</x:v>
      </x:c>
      <x:c r="G26" s="10" t="s">
        <x:v>100</x:v>
      </x:c>
      <x:c r="H26" s="10" t="s">
        <x:v>97</x:v>
      </x:c>
      <x:c r="I26" s="10" t="s">
        <x:v>98</x:v>
      </x:c>
      <x:c r="J26" s="10" t="s">
        <x:v>97</x:v>
      </x:c>
      <x:c r="K26" s="10" t="s">
        <x:v>104</x:v>
      </x:c>
      <x:c r="L26" s="10" t="s">
        <x:v>97</x:v>
      </x:c>
      <x:c r="M26" s="10"/>
      <x:c r="N26" s="10"/>
      <x:c r="O26" s="10"/>
      <x:c r="P26" s="10"/>
      <x:c r="Q26" t="s">
        <x:v>103</x:v>
      </x:c>
    </x:row>
    <x:row r="27">
      <x:c r="B27">
        <x:v>25</x:v>
      </x:c>
      <x:c r="C27">
        <x:v>3</x:v>
      </x:c>
      <x:c r="D27">
        <x:v>5</x:v>
      </x:c>
      <x:c r="E27" s="10" t="s">
        <x:v>96</x:v>
      </x:c>
      <x:c r="F27" s="10" t="s">
        <x:v>97</x:v>
      </x:c>
      <x:c r="G27" s="10" t="s">
        <x:v>102</x:v>
      </x:c>
      <x:c r="H27" s="10" t="s">
        <x:v>97</x:v>
      </x:c>
      <x:c r="I27" s="10" t="s">
        <x:v>96</x:v>
      </x:c>
      <x:c r="J27" s="10" t="s">
        <x:v>97</x:v>
      </x:c>
      <x:c r="K27" s="10" t="s">
        <x:v>102</x:v>
      </x:c>
      <x:c r="L27" s="10" t="s">
        <x:v>97</x:v>
      </x:c>
      <x:c r="M27" s="10" t="s">
        <x:v>96</x:v>
      </x:c>
      <x:c r="N27" s="10" t="s">
        <x:v>97</x:v>
      </x:c>
      <x:c r="O27" s="10"/>
      <x:c r="P27" s="10"/>
      <x:c r="Q27" t="s">
        <x:v>103</x:v>
      </x:c>
    </x:row>
    <x:row r="28">
      <x:c r="B28">
        <x:v>26</x:v>
      </x:c>
      <x:c r="C28">
        <x:v>3</x:v>
      </x:c>
      <x:c r="D28">
        <x:v>6</x:v>
      </x:c>
      <x:c r="E28" s="10" t="s">
        <x:v>100</x:v>
      </x:c>
      <x:c r="F28" s="10" t="s">
        <x:v>97</x:v>
      </x:c>
      <x:c r="G28" s="10" t="s">
        <x:v>104</x:v>
      </x:c>
      <x:c r="H28" s="10" t="s">
        <x:v>97</x:v>
      </x:c>
      <x:c r="I28" s="10" t="s">
        <x:v>100</x:v>
      </x:c>
      <x:c r="J28" s="10" t="s">
        <x:v>97</x:v>
      </x:c>
      <x:c r="K28" s="10" t="s">
        <x:v>98</x:v>
      </x:c>
      <x:c r="L28" s="10" t="s">
        <x:v>43</x:v>
      </x:c>
      <x:c r="M28" s="10" t="s">
        <x:v>104</x:v>
      </x:c>
      <x:c r="N28" s="10" t="s">
        <x:v>97</x:v>
      </x:c>
      <x:c r="O28" s="10"/>
      <x:c r="P28" s="10"/>
      <x:c r="Q28" t="s">
        <x:v>103</x:v>
      </x:c>
    </x:row>
    <x:row r="29">
      <x:c r="B29">
        <x:v>27</x:v>
      </x:c>
      <x:c r="C29">
        <x:v>3</x:v>
      </x:c>
      <x:c r="D29">
        <x:v>7</x:v>
      </x:c>
      <x:c r="E29" s="10" t="s">
        <x:v>102</x:v>
      </x:c>
      <x:c r="F29" s="10" t="s">
        <x:v>97</x:v>
      </x:c>
      <x:c r="G29" s="10" t="s">
        <x:v>96</x:v>
      </x:c>
      <x:c r="H29" s="10" t="s">
        <x:v>97</x:v>
      </x:c>
      <x:c r="I29" s="10" t="s">
        <x:v>102</x:v>
      </x:c>
      <x:c r="J29" s="10" t="s">
        <x:v>97</x:v>
      </x:c>
      <x:c r="K29" s="10" t="s">
        <x:v>96</x:v>
      </x:c>
      <x:c r="L29" s="10" t="s">
        <x:v>43</x:v>
      </x:c>
      <x:c r="M29" s="10" t="s">
        <x:v>102</x:v>
      </x:c>
      <x:c r="N29" s="10" t="s">
        <x:v>43</x:v>
      </x:c>
      <x:c r="O29" s="10"/>
      <x:c r="P29" s="10"/>
      <x:c r="Q29" t="s">
        <x:v>103</x:v>
      </x:c>
    </x:row>
    <x:row r="30">
      <x:c r="B30">
        <x:v>28</x:v>
      </x:c>
      <x:c r="C30">
        <x:v>3</x:v>
      </x:c>
      <x:c r="D30">
        <x:v>8</x:v>
      </x:c>
      <x:c r="E30" s="10" t="s">
        <x:v>98</x:v>
      </x:c>
      <x:c r="F30" s="10" t="s">
        <x:v>97</x:v>
      </x:c>
      <x:c r="G30" s="10" t="s">
        <x:v>100</x:v>
      </x:c>
      <x:c r="H30" s="10" t="s">
        <x:v>97</x:v>
      </x:c>
      <x:c r="I30" s="10" t="s">
        <x:v>98</x:v>
      </x:c>
      <x:c r="J30" s="10" t="s">
        <x:v>97</x:v>
      </x:c>
      <x:c r="K30" s="10" t="s">
        <x:v>100</x:v>
      </x:c>
      <x:c r="L30" s="10" t="s">
        <x:v>43</x:v>
      </x:c>
      <x:c r="M30" s="10" t="s">
        <x:v>104</x:v>
      </x:c>
      <x:c r="N30" s="10" t="s">
        <x:v>43</x:v>
      </x:c>
      <x:c r="O30" s="10"/>
      <x:c r="P30" s="10"/>
      <x:c r="Q30" t="s">
        <x:v>103</x:v>
      </x:c>
    </x:row>
    <x:row r="31">
      <x:c r="B31">
        <x:v>29</x:v>
      </x:c>
      <x:c r="C31">
        <x:v>3</x:v>
      </x:c>
      <x:c r="D31">
        <x:v>9</x:v>
      </x:c>
      <x:c r="E31" s="10" t="s">
        <x:v>96</x:v>
      </x:c>
      <x:c r="F31" s="10" t="s">
        <x:v>97</x:v>
      </x:c>
      <x:c r="G31" s="10" t="s">
        <x:v>104</x:v>
      </x:c>
      <x:c r="H31" s="10" t="s">
        <x:v>43</x:v>
      </x:c>
      <x:c r="I31" s="10" t="s">
        <x:v>96</x:v>
      </x:c>
      <x:c r="J31" s="10" t="s">
        <x:v>97</x:v>
      </x:c>
      <x:c r="K31" s="10" t="s">
        <x:v>102</x:v>
      </x:c>
      <x:c r="L31" s="10" t="s">
        <x:v>43</x:v>
      </x:c>
      <x:c r="M31" s="10" t="s">
        <x:v>96</x:v>
      </x:c>
      <x:c r="N31" s="10" t="s">
        <x:v>43</x:v>
      </x:c>
      <x:c r="O31" s="10"/>
      <x:c r="P31" s="10"/>
      <x:c r="Q31" t="s">
        <x:v>103</x:v>
      </x:c>
    </x:row>
    <x:row r="32">
      <x:c r="B32">
        <x:v>30</x:v>
      </x:c>
      <x:c r="C32">
        <x:v>3</x:v>
      </x:c>
      <x:c r="D32">
        <x:v>10</x:v>
      </x:c>
      <x:c r="E32" s="10" t="s">
        <x:v>100</x:v>
      </x:c>
      <x:c r="F32" s="10" t="s">
        <x:v>97</x:v>
      </x:c>
      <x:c r="G32" s="10" t="s">
        <x:v>98</x:v>
      </x:c>
      <x:c r="H32" s="10" t="s">
        <x:v>97</x:v>
      </x:c>
      <x:c r="I32" s="10" t="s">
        <x:v>100</x:v>
      </x:c>
      <x:c r="J32" s="10" t="s">
        <x:v>97</x:v>
      </x:c>
      <x:c r="K32" s="10" t="s">
        <x:v>98</x:v>
      </x:c>
      <x:c r="L32" s="10" t="s">
        <x:v>43</x:v>
      </x:c>
      <x:c r="M32" s="10" t="s">
        <x:v>104</x:v>
      </x:c>
      <x:c r="N32" s="10" t="s">
        <x:v>43</x:v>
      </x:c>
      <x:c r="O32" s="10"/>
      <x:c r="P32" s="10"/>
      <x:c r="Q32" t="s">
        <x:v>103</x:v>
      </x:c>
    </x:row>
    <x:row r="33">
      <x:c r="B33">
        <x:v>31</x:v>
      </x:c>
      <x:c r="C33">
        <x:v>4</x:v>
      </x:c>
      <x:c r="D33">
        <x:v>1</x:v>
      </x:c>
      <x:c r="E33" s="10" t="s">
        <x:v>102</x:v>
      </x:c>
      <x:c r="F33" s="10" t="s">
        <x:v>97</x:v>
      </x:c>
      <x:c r="G33" s="10" t="s">
        <x:v>98</x:v>
      </x:c>
      <x:c r="H33" s="10" t="s">
        <x:v>97</x:v>
      </x:c>
      <x:c r="I33" s="10" t="s">
        <x:v>102</x:v>
      </x:c>
      <x:c r="J33" s="10" t="s">
        <x:v>97</x:v>
      </x:c>
      <x:c r="K33" s="10" t="s">
        <x:v>98</x:v>
      </x:c>
      <x:c r="L33" s="10" t="s">
        <x:v>97</x:v>
      </x:c>
      <x:c r="M33" s="10" t="s">
        <x:v>102</x:v>
      </x:c>
      <x:c r="N33" s="10" t="s">
        <x:v>97</x:v>
      </x:c>
      <x:c r="O33" s="10"/>
      <x:c r="P33" s="10"/>
      <x:c r="Q33" t="s">
        <x:v>105</x:v>
      </x:c>
    </x:row>
    <x:row r="34">
      <x:c r="B34">
        <x:v>32</x:v>
      </x:c>
      <x:c r="C34">
        <x:v>4</x:v>
      </x:c>
      <x:c r="D34">
        <x:v>2</x:v>
      </x:c>
      <x:c r="E34" s="10" t="s">
        <x:v>104</x:v>
      </x:c>
      <x:c r="F34" s="10" t="s">
        <x:v>97</x:v>
      </x:c>
      <x:c r="G34" s="10" t="s">
        <x:v>100</x:v>
      </x:c>
      <x:c r="H34" s="10" t="s">
        <x:v>97</x:v>
      </x:c>
      <x:c r="I34" s="10" t="s">
        <x:v>104</x:v>
      </x:c>
      <x:c r="J34" s="10" t="s">
        <x:v>97</x:v>
      </x:c>
      <x:c r="K34" s="10" t="s">
        <x:v>100</x:v>
      </x:c>
      <x:c r="L34" s="10" t="s">
        <x:v>97</x:v>
      </x:c>
      <x:c r="M34" s="10" t="s">
        <x:v>106</x:v>
      </x:c>
      <x:c r="N34" s="10" t="s">
        <x:v>97</x:v>
      </x:c>
      <x:c r="O34" s="10"/>
      <x:c r="P34" s="10"/>
      <x:c r="Q34" t="s">
        <x:v>105</x:v>
      </x:c>
    </x:row>
    <x:row r="35">
      <x:c r="B35">
        <x:v>33</x:v>
      </x:c>
      <x:c r="C35">
        <x:v>4</x:v>
      </x:c>
      <x:c r="D35">
        <x:v>3</x:v>
      </x:c>
      <x:c r="E35" s="10" t="s">
        <x:v>98</x:v>
      </x:c>
      <x:c r="F35" s="10" t="s">
        <x:v>97</x:v>
      </x:c>
      <x:c r="G35" s="10" t="s">
        <x:v>106</x:v>
      </x:c>
      <x:c r="H35" s="10" t="s">
        <x:v>97</x:v>
      </x:c>
      <x:c r="I35" s="10" t="s">
        <x:v>98</x:v>
      </x:c>
      <x:c r="J35" s="10" t="s">
        <x:v>97</x:v>
      </x:c>
      <x:c r="K35" s="10" t="s">
        <x:v>102</x:v>
      </x:c>
      <x:c r="L35" s="10" t="s">
        <x:v>97</x:v>
      </x:c>
      <x:c r="M35" s="10" t="s">
        <x:v>98</x:v>
      </x:c>
      <x:c r="N35" s="10" t="s">
        <x:v>97</x:v>
      </x:c>
      <x:c r="O35" s="10"/>
      <x:c r="P35" s="10"/>
      <x:c r="Q35" t="s">
        <x:v>105</x:v>
      </x:c>
    </x:row>
    <x:row r="36">
      <x:c r="B36">
        <x:v>34</x:v>
      </x:c>
      <x:c r="C36">
        <x:v>4</x:v>
      </x:c>
      <x:c r="D36">
        <x:v>4</x:v>
      </x:c>
      <x:c r="E36" s="10" t="s">
        <x:v>100</x:v>
      </x:c>
      <x:c r="F36" s="10" t="s">
        <x:v>97</x:v>
      </x:c>
      <x:c r="G36" s="10" t="s">
        <x:v>104</x:v>
      </x:c>
      <x:c r="H36" s="10" t="s">
        <x:v>97</x:v>
      </x:c>
      <x:c r="I36" s="10" t="s">
        <x:v>100</x:v>
      </x:c>
      <x:c r="J36" s="10" t="s">
        <x:v>97</x:v>
      </x:c>
      <x:c r="K36" s="10" t="s">
        <x:v>104</x:v>
      </x:c>
      <x:c r="L36" s="10" t="s">
        <x:v>97</x:v>
      </x:c>
      <x:c r="M36" s="10" t="s">
        <x:v>106</x:v>
      </x:c>
      <x:c r="N36" s="10" t="s">
        <x:v>97</x:v>
      </x:c>
      <x:c r="O36" s="10"/>
      <x:c r="P36" s="10"/>
      <x:c r="Q36" t="s">
        <x:v>105</x:v>
      </x:c>
    </x:row>
    <x:row r="37">
      <x:c r="B37">
        <x:v>35</x:v>
      </x:c>
      <x:c r="C37">
        <x:v>4</x:v>
      </x:c>
      <x:c r="D37">
        <x:v>5</x:v>
      </x:c>
      <x:c r="E37" s="10" t="s">
        <x:v>102</x:v>
      </x:c>
      <x:c r="F37" s="10" t="s">
        <x:v>97</x:v>
      </x:c>
      <x:c r="G37" s="10" t="s">
        <x:v>98</x:v>
      </x:c>
      <x:c r="H37" s="10" t="s">
        <x:v>97</x:v>
      </x:c>
      <x:c r="I37" s="10" t="s">
        <x:v>102</x:v>
      </x:c>
      <x:c r="J37" s="10" t="s">
        <x:v>97</x:v>
      </x:c>
      <x:c r="K37" s="10" t="s">
        <x:v>98</x:v>
      </x:c>
      <x:c r="L37" s="10" t="s">
        <x:v>97</x:v>
      </x:c>
      <x:c r="M37" s="10" t="s">
        <x:v>102</x:v>
      </x:c>
      <x:c r="N37" s="10" t="s">
        <x:v>43</x:v>
      </x:c>
      <x:c r="O37" s="10"/>
      <x:c r="P37" s="10"/>
      <x:c r="Q37" t="s">
        <x:v>105</x:v>
      </x:c>
    </x:row>
    <x:row r="38">
      <x:c r="B38">
        <x:v>36</x:v>
      </x:c>
      <x:c r="C38">
        <x:v>4</x:v>
      </x:c>
      <x:c r="D38">
        <x:v>6</x:v>
      </x:c>
      <x:c r="E38" s="10" t="s">
        <x:v>104</x:v>
      </x:c>
      <x:c r="F38" s="10" t="s">
        <x:v>97</x:v>
      </x:c>
      <x:c r="G38" s="10" t="s">
        <x:v>106</x:v>
      </x:c>
      <x:c r="H38" s="10" t="s">
        <x:v>97</x:v>
      </x:c>
      <x:c r="I38" s="10" t="s">
        <x:v>104</x:v>
      </x:c>
      <x:c r="J38" s="10" t="s">
        <x:v>97</x:v>
      </x:c>
      <x:c r="K38" s="10" t="s">
        <x:v>100</x:v>
      </x:c>
      <x:c r="L38" s="10" t="s">
        <x:v>97</x:v>
      </x:c>
      <x:c r="M38" s="10" t="s">
        <x:v>106</x:v>
      </x:c>
      <x:c r="N38" s="10" t="s">
        <x:v>97</x:v>
      </x:c>
      <x:c r="O38" s="10"/>
      <x:c r="P38" s="10"/>
      <x:c r="Q38" t="s">
        <x:v>105</x:v>
      </x:c>
    </x:row>
    <x:row r="39">
      <x:c r="B39">
        <x:v>37</x:v>
      </x:c>
      <x:c r="C39">
        <x:v>4</x:v>
      </x:c>
      <x:c r="D39">
        <x:v>7</x:v>
      </x:c>
      <x:c r="E39" s="10" t="s">
        <x:v>98</x:v>
      </x:c>
      <x:c r="F39" s="10" t="s">
        <x:v>97</x:v>
      </x:c>
      <x:c r="G39" s="10" t="s">
        <x:v>102</x:v>
      </x:c>
      <x:c r="H39" s="10" t="s">
        <x:v>97</x:v>
      </x:c>
      <x:c r="I39" s="10" t="s">
        <x:v>98</x:v>
      </x:c>
      <x:c r="J39" s="10" t="s">
        <x:v>97</x:v>
      </x:c>
      <x:c r="K39" s="10" t="s">
        <x:v>102</x:v>
      </x:c>
      <x:c r="L39" s="10" t="s">
        <x:v>97</x:v>
      </x:c>
      <x:c r="M39" s="10" t="s">
        <x:v>98</x:v>
      </x:c>
      <x:c r="N39" s="10" t="s">
        <x:v>43</x:v>
      </x:c>
      <x:c r="O39" s="10"/>
      <x:c r="P39" s="10"/>
      <x:c r="Q39" t="s">
        <x:v>105</x:v>
      </x:c>
    </x:row>
    <x:row r="40">
      <x:c r="B40">
        <x:v>38</x:v>
      </x:c>
      <x:c r="C40">
        <x:v>4</x:v>
      </x:c>
      <x:c r="D40">
        <x:v>8</x:v>
      </x:c>
      <x:c r="E40" s="10" t="s">
        <x:v>100</x:v>
      </x:c>
      <x:c r="F40" s="10" t="s">
        <x:v>97</x:v>
      </x:c>
      <x:c r="G40" s="10" t="s">
        <x:v>104</x:v>
      </x:c>
      <x:c r="H40" s="10" t="s">
        <x:v>97</x:v>
      </x:c>
      <x:c r="I40" s="10" t="s">
        <x:v>100</x:v>
      </x:c>
      <x:c r="J40" s="10" t="s">
        <x:v>97</x:v>
      </x:c>
      <x:c r="K40" s="10" t="s">
        <x:v>104</x:v>
      </x:c>
      <x:c r="L40" s="10" t="s">
        <x:v>97</x:v>
      </x:c>
      <x:c r="M40" s="10" t="s">
        <x:v>106</x:v>
      </x:c>
      <x:c r="N40" s="10" t="s">
        <x:v>43</x:v>
      </x:c>
      <x:c r="O40" s="10"/>
      <x:c r="P40" s="10"/>
      <x:c r="Q40" t="s">
        <x:v>105</x:v>
      </x:c>
    </x:row>
    <x:row r="41">
      <x:c r="B41">
        <x:v>39</x:v>
      </x:c>
      <x:c r="C41">
        <x:v>4</x:v>
      </x:c>
      <x:c r="D41">
        <x:v>9</x:v>
      </x:c>
      <x:c r="E41" s="10" t="s">
        <x:v>102</x:v>
      </x:c>
      <x:c r="F41" s="10" t="s">
        <x:v>97</x:v>
      </x:c>
      <x:c r="G41" s="10" t="s">
        <x:v>106</x:v>
      </x:c>
      <x:c r="H41" s="10" t="s">
        <x:v>43</x:v>
      </x:c>
      <x:c r="I41" s="10" t="s">
        <x:v>102</x:v>
      </x:c>
      <x:c r="J41" s="10" t="s">
        <x:v>97</x:v>
      </x:c>
      <x:c r="K41" s="10" t="s">
        <x:v>98</x:v>
      </x:c>
      <x:c r="L41" s="10" t="s">
        <x:v>97</x:v>
      </x:c>
      <x:c r="M41" s="10" t="s">
        <x:v>102</x:v>
      </x:c>
      <x:c r="N41" s="10" t="s">
        <x:v>43</x:v>
      </x:c>
      <x:c r="O41" s="10"/>
      <x:c r="P41" s="10"/>
      <x:c r="Q41" t="s">
        <x:v>105</x:v>
      </x:c>
    </x:row>
    <x:row r="42">
      <x:c r="B42">
        <x:v>40</x:v>
      </x:c>
      <x:c r="C42">
        <x:v>4</x:v>
      </x:c>
      <x:c r="D42">
        <x:v>10</x:v>
      </x:c>
      <x:c r="E42" s="10" t="s">
        <x:v>104</x:v>
      </x:c>
      <x:c r="F42" s="10" t="s">
        <x:v>97</x:v>
      </x:c>
      <x:c r="G42" s="10" t="s">
        <x:v>100</x:v>
      </x:c>
      <x:c r="H42" s="10" t="s">
        <x:v>97</x:v>
      </x:c>
      <x:c r="I42" s="10" t="s">
        <x:v>104</x:v>
      </x:c>
      <x:c r="J42" s="10" t="s">
        <x:v>97</x:v>
      </x:c>
      <x:c r="K42" s="10" t="s">
        <x:v>100</x:v>
      </x:c>
      <x:c r="L42" s="10" t="s">
        <x:v>97</x:v>
      </x:c>
      <x:c r="M42" s="10" t="s">
        <x:v>106</x:v>
      </x:c>
      <x:c r="N42" s="10" t="s">
        <x:v>43</x:v>
      </x:c>
      <x:c r="O42" s="10"/>
      <x:c r="P42" s="10"/>
      <x:c r="Q42" t="s">
        <x:v>105</x:v>
      </x:c>
    </x:row>
    <x:row r="43">
      <x:c r="B43">
        <x:v>41</x:v>
      </x:c>
      <x:c r="C43">
        <x:v>5</x:v>
      </x:c>
      <x:c r="D43">
        <x:v>1</x:v>
      </x:c>
      <x:c r="E43" s="10" t="s">
        <x:v>106</x:v>
      </x:c>
      <x:c r="F43" s="10" t="s">
        <x:v>97</x:v>
      </x:c>
      <x:c r="G43" s="10" t="s">
        <x:v>100</x:v>
      </x:c>
      <x:c r="H43" s="10" t="s">
        <x:v>97</x:v>
      </x:c>
      <x:c r="I43" s="10" t="s">
        <x:v>104</x:v>
      </x:c>
      <x:c r="J43" s="10" t="s">
        <x:v>97</x:v>
      </x:c>
      <x:c r="K43" s="10" t="s">
        <x:v>107</x:v>
      </x:c>
      <x:c r="L43" s="10" t="s">
        <x:v>43</x:v>
      </x:c>
      <x:c r="M43" s="10"/>
      <x:c r="N43" s="10"/>
      <x:c r="O43" s="10"/>
      <x:c r="P43" s="10"/>
      <x:c r="Q43" t="s">
        <x:v>108</x:v>
      </x:c>
    </x:row>
    <x:row r="44">
      <x:c r="B44">
        <x:v>42</x:v>
      </x:c>
      <x:c r="C44">
        <x:v>5</x:v>
      </x:c>
      <x:c r="D44">
        <x:v>2</x:v>
      </x:c>
      <x:c r="E44" s="10" t="s">
        <x:v>96</x:v>
      </x:c>
      <x:c r="F44" s="10" t="s">
        <x:v>97</x:v>
      </x:c>
      <x:c r="G44" s="10" t="s">
        <x:v>102</x:v>
      </x:c>
      <x:c r="H44" s="10" t="s">
        <x:v>97</x:v>
      </x:c>
      <x:c r="I44" s="10" t="s">
        <x:v>106</x:v>
      </x:c>
      <x:c r="J44" s="10" t="s">
        <x:v>43</x:v>
      </x:c>
      <x:c r="K44" s="10" t="s">
        <x:v>107</x:v>
      </x:c>
      <x:c r="L44" s="10" t="s">
        <x:v>43</x:v>
      </x:c>
      <x:c r="M44" s="10"/>
      <x:c r="N44" s="10"/>
      <x:c r="O44" s="10"/>
      <x:c r="P44" s="10"/>
      <x:c r="Q44" t="s">
        <x:v>108</x:v>
      </x:c>
    </x:row>
    <x:row r="45">
      <x:c r="B45">
        <x:v>43</x:v>
      </x:c>
      <x:c r="C45">
        <x:v>5</x:v>
      </x:c>
      <x:c r="D45">
        <x:v>3</x:v>
      </x:c>
      <x:c r="E45" s="10" t="s">
        <x:v>100</x:v>
      </x:c>
      <x:c r="F45" s="10" t="s">
        <x:v>97</x:v>
      </x:c>
      <x:c r="G45" s="10" t="s">
        <x:v>104</x:v>
      </x:c>
      <x:c r="H45" s="10" t="s">
        <x:v>97</x:v>
      </x:c>
      <x:c r="I45" s="10" t="s">
        <x:v>96</x:v>
      </x:c>
      <x:c r="J45" s="10" t="s">
        <x:v>97</x:v>
      </x:c>
      <x:c r="K45" s="10" t="s">
        <x:v>107</x:v>
      </x:c>
      <x:c r="L45" s="10" t="s">
        <x:v>43</x:v>
      </x:c>
      <x:c r="M45" s="10"/>
      <x:c r="N45" s="10"/>
      <x:c r="O45" s="10"/>
      <x:c r="P45" s="10"/>
      <x:c r="Q45" t="s">
        <x:v>108</x:v>
      </x:c>
    </x:row>
    <x:row r="46">
      <x:c r="B46">
        <x:v>44</x:v>
      </x:c>
      <x:c r="C46">
        <x:v>5</x:v>
      </x:c>
      <x:c r="D46">
        <x:v>4</x:v>
      </x:c>
      <x:c r="E46" s="10" t="s">
        <x:v>102</x:v>
      </x:c>
      <x:c r="F46" s="10" t="s">
        <x:v>97</x:v>
      </x:c>
      <x:c r="G46" s="10" t="s">
        <x:v>106</x:v>
      </x:c>
      <x:c r="H46" s="10" t="s">
        <x:v>43</x:v>
      </x:c>
      <x:c r="I46" s="10" t="s">
        <x:v>100</x:v>
      </x:c>
      <x:c r="J46" s="10" t="s">
        <x:v>97</x:v>
      </x:c>
      <x:c r="K46" s="10" t="s">
        <x:v>107</x:v>
      </x:c>
      <x:c r="L46" s="10" t="s">
        <x:v>43</x:v>
      </x:c>
      <x:c r="M46" s="10"/>
      <x:c r="N46" s="10"/>
      <x:c r="O46" s="10"/>
      <x:c r="P46" s="10"/>
      <x:c r="Q46" t="s">
        <x:v>108</x:v>
      </x:c>
    </x:row>
    <x:row r="47">
      <x:c r="B47">
        <x:v>45</x:v>
      </x:c>
      <x:c r="C47">
        <x:v>5</x:v>
      </x:c>
      <x:c r="D47">
        <x:v>5</x:v>
      </x:c>
      <x:c r="E47" s="10" t="s">
        <x:v>104</x:v>
      </x:c>
      <x:c r="F47" s="10" t="s">
        <x:v>97</x:v>
      </x:c>
      <x:c r="G47" s="10" t="s">
        <x:v>96</x:v>
      </x:c>
      <x:c r="H47" s="10" t="s">
        <x:v>97</x:v>
      </x:c>
      <x:c r="I47" s="10" t="s">
        <x:v>102</x:v>
      </x:c>
      <x:c r="J47" s="10" t="s">
        <x:v>97</x:v>
      </x:c>
      <x:c r="K47" s="10" t="s">
        <x:v>106</x:v>
      </x:c>
      <x:c r="L47" s="10" t="s">
        <x:v>43</x:v>
      </x:c>
      <x:c r="M47" s="10" t="s">
        <x:v>107</x:v>
      </x:c>
      <x:c r="N47" s="10" t="s">
        <x:v>43</x:v>
      </x:c>
      <x:c r="O47" s="10"/>
      <x:c r="P47" s="10"/>
      <x:c r="Q47" t="s">
        <x:v>108</x:v>
      </x:c>
    </x:row>
    <x:row r="48">
      <x:c r="B48">
        <x:v>46</x:v>
      </x:c>
      <x:c r="C48">
        <x:v>5</x:v>
      </x:c>
      <x:c r="D48">
        <x:v>6</x:v>
      </x:c>
      <x:c r="E48" s="10" t="s">
        <x:v>106</x:v>
      </x:c>
      <x:c r="F48" s="10" t="s">
        <x:v>43</x:v>
      </x:c>
      <x:c r="G48" s="10" t="s">
        <x:v>100</x:v>
      </x:c>
      <x:c r="H48" s="10" t="s">
        <x:v>43</x:v>
      </x:c>
      <x:c r="I48" s="10" t="s">
        <x:v>104</x:v>
      </x:c>
      <x:c r="J48" s="10" t="s">
        <x:v>43</x:v>
      </x:c>
      <x:c r="K48" s="10" t="s">
        <x:v>102</x:v>
      </x:c>
      <x:c r="L48" s="10" t="s">
        <x:v>43</x:v>
      </x:c>
      <x:c r="M48" s="10" t="s">
        <x:v>107</x:v>
      </x:c>
      <x:c r="N48" s="10" t="s">
        <x:v>43</x:v>
      </x:c>
      <x:c r="O48" s="10"/>
      <x:c r="P48" s="10"/>
      <x:c r="Q48" t="s">
        <x:v>108</x:v>
      </x:c>
    </x:row>
    <x:row r="49">
      <x:c r="B49">
        <x:v>47</x:v>
      </x:c>
      <x:c r="C49">
        <x:v>5</x:v>
      </x:c>
      <x:c r="D49">
        <x:v>7</x:v>
      </x:c>
      <x:c r="E49" s="10" t="s">
        <x:v>96</x:v>
      </x:c>
      <x:c r="F49" s="10" t="s">
        <x:v>97</x:v>
      </x:c>
      <x:c r="G49" s="10" t="s">
        <x:v>106</x:v>
      </x:c>
      <x:c r="H49" s="10" t="s">
        <x:v>43</x:v>
      </x:c>
      <x:c r="I49" s="10" t="s">
        <x:v>102</x:v>
      </x:c>
      <x:c r="J49" s="10" t="s">
        <x:v>43</x:v>
      </x:c>
      <x:c r="K49" s="10" t="s">
        <x:v>100</x:v>
      </x:c>
      <x:c r="L49" s="10" t="s">
        <x:v>43</x:v>
      </x:c>
      <x:c r="M49" s="10" t="s">
        <x:v>107</x:v>
      </x:c>
      <x:c r="N49" s="10" t="s">
        <x:v>43</x:v>
      </x:c>
      <x:c r="O49" s="10"/>
      <x:c r="P49" s="10"/>
      <x:c r="Q49" t="s">
        <x:v>108</x:v>
      </x:c>
    </x:row>
    <x:row r="50">
      <x:c r="B50">
        <x:v>48</x:v>
      </x:c>
      <x:c r="C50">
        <x:v>5</x:v>
      </x:c>
      <x:c r="D50">
        <x:v>8</x:v>
      </x:c>
      <x:c r="E50" s="10" t="s">
        <x:v>104</x:v>
      </x:c>
      <x:c r="F50" s="10" t="s">
        <x:v>43</x:v>
      </x:c>
      <x:c r="G50" s="10" t="s">
        <x:v>102</x:v>
      </x:c>
      <x:c r="H50" s="10" t="s">
        <x:v>43</x:v>
      </x:c>
      <x:c r="I50" s="10" t="s">
        <x:v>106</x:v>
      </x:c>
      <x:c r="J50" s="10" t="s">
        <x:v>43</x:v>
      </x:c>
      <x:c r="K50" s="10" t="s">
        <x:v>107</x:v>
      </x:c>
      <x:c r="L50" s="10" t="s">
        <x:v>43</x:v>
      </x:c>
      <x:c r="M50" s="10" t="s">
        <x:v>100</x:v>
      </x:c>
      <x:c r="N50" s="10" t="s">
        <x:v>43</x:v>
      </x:c>
      <x:c r="O50" s="10"/>
      <x:c r="P50" s="10"/>
      <x:c r="Q50" t="s">
        <x:v>108</x:v>
      </x:c>
    </x:row>
    <x:row r="51">
      <x:c r="B51">
        <x:v>49</x:v>
      </x:c>
      <x:c r="C51">
        <x:v>5</x:v>
      </x:c>
      <x:c r="D51">
        <x:v>9</x:v>
      </x:c>
      <x:c r="E51" s="10" t="s">
        <x:v>106</x:v>
      </x:c>
      <x:c r="F51" s="10" t="s">
        <x:v>43</x:v>
      </x:c>
      <x:c r="G51" s="10" t="s">
        <x:v>100</x:v>
      </x:c>
      <x:c r="H51" s="10" t="s">
        <x:v>43</x:v>
      </x:c>
      <x:c r="I51" s="10" t="s">
        <x:v>107</x:v>
      </x:c>
      <x:c r="J51" s="10" t="s">
        <x:v>43</x:v>
      </x:c>
      <x:c r="K51" s="10" t="s">
        <x:v>102</x:v>
      </x:c>
      <x:c r="L51" s="10" t="s">
        <x:v>43</x:v>
      </x:c>
      <x:c r="M51" s="10" t="s">
        <x:v>104</x:v>
      </x:c>
      <x:c r="N51" s="10" t="s">
        <x:v>109</x:v>
      </x:c>
      <x:c r="O51" s="10"/>
      <x:c r="P51" s="10"/>
      <x:c r="Q51" t="s">
        <x:v>108</x:v>
      </x:c>
    </x:row>
    <x:row r="52">
      <x:c r="B52">
        <x:v>50</x:v>
      </x:c>
      <x:c r="C52">
        <x:v>5</x:v>
      </x:c>
      <x:c r="D52">
        <x:v>10</x:v>
      </x:c>
      <x:c r="E52" s="10" t="s">
        <x:v>102</x:v>
      </x:c>
      <x:c r="F52" s="10" t="s">
        <x:v>43</x:v>
      </x:c>
      <x:c r="G52" s="10" t="s">
        <x:v>106</x:v>
      </x:c>
      <x:c r="H52" s="10" t="s">
        <x:v>43</x:v>
      </x:c>
      <x:c r="I52" s="10" t="s">
        <x:v>104</x:v>
      </x:c>
      <x:c r="J52" s="10" t="s">
        <x:v>43</x:v>
      </x:c>
      <x:c r="K52" s="10" t="s">
        <x:v>100</x:v>
      </x:c>
      <x:c r="L52" s="10" t="s">
        <x:v>43</x:v>
      </x:c>
      <x:c r="M52" s="10" t="s">
        <x:v>107</x:v>
      </x:c>
      <x:c r="N52" s="10" t="s">
        <x:v>109</x:v>
      </x:c>
      <x:c r="O52" s="10"/>
      <x:c r="P52" s="10"/>
      <x:c r="Q52" t="s">
        <x:v>108</x:v>
      </x:c>
    </x:row>
    <x:row r="53">
      <x:c r="B53">
        <x:v>51</x:v>
      </x:c>
      <x:c r="C53">
        <x:v>6</x:v>
      </x:c>
      <x:c r="D53">
        <x:v>1</x:v>
      </x:c>
      <x:c r="E53" s="10" t="s">
        <x:v>102</x:v>
      </x:c>
      <x:c r="F53" s="10" t="s">
        <x:v>97</x:v>
      </x:c>
      <x:c r="G53" s="10" t="s">
        <x:v>106</x:v>
      </x:c>
      <x:c r="H53" s="10" t="s">
        <x:v>43</x:v>
      </x:c>
      <x:c r="I53" s="10" t="s">
        <x:v>98</x:v>
      </x:c>
      <x:c r="J53" s="10" t="s">
        <x:v>97</x:v>
      </x:c>
      <x:c r="K53" s="10" t="s">
        <x:v>107</x:v>
      </x:c>
      <x:c r="L53" s="10" t="s">
        <x:v>43</x:v>
      </x:c>
      <x:c r="M53" s="10" t="s">
        <x:v>100</x:v>
      </x:c>
      <x:c r="N53" s="10" t="s">
        <x:v>43</x:v>
      </x:c>
      <x:c r="O53" s="10"/>
      <x:c r="P53" s="10"/>
      <x:c r="Q53" t="s">
        <x:v>110</x:v>
      </x:c>
    </x:row>
    <x:row r="54">
      <x:c r="B54">
        <x:v>52</x:v>
      </x:c>
      <x:c r="C54">
        <x:v>6</x:v>
      </x:c>
      <x:c r="D54">
        <x:v>2</x:v>
      </x:c>
      <x:c r="E54" s="10" t="s">
        <x:v>104</x:v>
      </x:c>
      <x:c r="F54" s="10" t="s">
        <x:v>97</x:v>
      </x:c>
      <x:c r="G54" s="10" t="s">
        <x:v>102</x:v>
      </x:c>
      <x:c r="H54" s="10" t="s">
        <x:v>97</x:v>
      </x:c>
      <x:c r="I54" s="10" t="s">
        <x:v>106</x:v>
      </x:c>
      <x:c r="J54" s="10" t="s">
        <x:v>43</x:v>
      </x:c>
      <x:c r="K54" s="10" t="s">
        <x:v>96</x:v>
      </x:c>
      <x:c r="L54" s="10" t="s">
        <x:v>43</x:v>
      </x:c>
      <x:c r="M54" s="10" t="s">
        <x:v>107</x:v>
      </x:c>
      <x:c r="N54" s="10" t="s">
        <x:v>43</x:v>
      </x:c>
      <x:c r="O54" s="10"/>
      <x:c r="P54" s="10"/>
      <x:c r="Q54" t="s">
        <x:v>110</x:v>
      </x:c>
    </x:row>
    <x:row r="55">
      <x:c r="B55">
        <x:v>53</x:v>
      </x:c>
      <x:c r="C55">
        <x:v>6</x:v>
      </x:c>
      <x:c r="D55">
        <x:v>3</x:v>
      </x:c>
      <x:c r="E55" s="10" t="s">
        <x:v>106</x:v>
      </x:c>
      <x:c r="F55" s="10" t="s">
        <x:v>43</x:v>
      </x:c>
      <x:c r="G55" s="10" t="s">
        <x:v>98</x:v>
      </x:c>
      <x:c r="H55" s="10" t="s">
        <x:v>97</x:v>
      </x:c>
      <x:c r="I55" s="10" t="s">
        <x:v>102</x:v>
      </x:c>
      <x:c r="J55" s="10" t="s">
        <x:v>97</x:v>
      </x:c>
      <x:c r="K55" s="10" t="s">
        <x:v>100</x:v>
      </x:c>
      <x:c r="L55" s="10" t="s">
        <x:v>43</x:v>
      </x:c>
      <x:c r="M55" s="10" t="s">
        <x:v>107</x:v>
      </x:c>
      <x:c r="N55" s="10" t="s">
        <x:v>43</x:v>
      </x:c>
      <x:c r="O55" s="10"/>
      <x:c r="P55" s="10"/>
      <x:c r="Q55" t="s">
        <x:v>110</x:v>
      </x:c>
    </x:row>
    <x:row r="56">
      <x:c r="B56">
        <x:v>54</x:v>
      </x:c>
      <x:c r="C56">
        <x:v>6</x:v>
      </x:c>
      <x:c r="D56">
        <x:v>4</x:v>
      </x:c>
      <x:c r="E56" s="10" t="s">
        <x:v>107</x:v>
      </x:c>
      <x:c r="F56" s="10" t="s">
        <x:v>43</x:v>
      </x:c>
      <x:c r="G56" s="10" t="s">
        <x:v>96</x:v>
      </x:c>
      <x:c r="H56" s="10" t="s">
        <x:v>97</x:v>
      </x:c>
      <x:c r="I56" s="10" t="s">
        <x:v>102</x:v>
      </x:c>
      <x:c r="J56" s="10" t="s">
        <x:v>97</x:v>
      </x:c>
      <x:c r="K56" s="10" t="s">
        <x:v>106</x:v>
      </x:c>
      <x:c r="L56" s="10" t="s">
        <x:v>43</x:v>
      </x:c>
      <x:c r="M56" s="10" t="s">
        <x:v>104</x:v>
      </x:c>
      <x:c r="N56" s="10" t="s">
        <x:v>43</x:v>
      </x:c>
      <x:c r="O56" s="10"/>
      <x:c r="P56" s="10"/>
      <x:c r="Q56" t="s">
        <x:v>110</x:v>
      </x:c>
    </x:row>
    <x:row r="57">
      <x:c r="B57">
        <x:v>55</x:v>
      </x:c>
      <x:c r="C57">
        <x:v>6</x:v>
      </x:c>
      <x:c r="D57">
        <x:v>5</x:v>
      </x:c>
      <x:c r="E57" s="10" t="s">
        <x:v>102</x:v>
      </x:c>
      <x:c r="F57" s="10" t="s">
        <x:v>43</x:v>
      </x:c>
      <x:c r="G57" s="10" t="s">
        <x:v>100</x:v>
      </x:c>
      <x:c r="H57" s="10" t="s">
        <x:v>43</x:v>
      </x:c>
      <x:c r="I57" s="10" t="s">
        <x:v>106</x:v>
      </x:c>
      <x:c r="J57" s="10" t="s">
        <x:v>43</x:v>
      </x:c>
      <x:c r="K57" s="10" t="s">
        <x:v>107</x:v>
      </x:c>
      <x:c r="L57" s="10" t="s">
        <x:v>43</x:v>
      </x:c>
      <x:c r="M57" s="10" t="s">
        <x:v>98</x:v>
      </x:c>
      <x:c r="N57" s="10" t="s">
        <x:v>43</x:v>
      </x:c>
      <x:c r="O57" s="10"/>
      <x:c r="P57" s="10"/>
      <x:c r="Q57" t="s">
        <x:v>110</x:v>
      </x:c>
    </x:row>
    <x:row r="58">
      <x:c r="B58">
        <x:v>56</x:v>
      </x:c>
      <x:c r="C58">
        <x:v>6</x:v>
      </x:c>
      <x:c r="D58">
        <x:v>6</x:v>
      </x:c>
      <x:c r="E58" s="10" t="s">
        <x:v>106</x:v>
      </x:c>
      <x:c r="F58" s="10" t="s">
        <x:v>43</x:v>
      </x:c>
      <x:c r="G58" s="10" t="s">
        <x:v>104</x:v>
      </x:c>
      <x:c r="H58" s="10" t="s">
        <x:v>43</x:v>
      </x:c>
      <x:c r="I58" s="10" t="s">
        <x:v>102</x:v>
      </x:c>
      <x:c r="J58" s="10" t="s">
        <x:v>43</x:v>
      </x:c>
      <x:c r="K58" s="10" t="s">
        <x:v>96</x:v>
      </x:c>
      <x:c r="L58" s="10" t="s">
        <x:v>43</x:v>
      </x:c>
      <x:c r="M58" s="10" t="s">
        <x:v>107</x:v>
      </x:c>
      <x:c r="N58" s="10" t="s">
        <x:v>43</x:v>
      </x:c>
      <x:c r="O58" s="10"/>
      <x:c r="P58" s="10"/>
      <x:c r="Q58" t="s">
        <x:v>110</x:v>
      </x:c>
    </x:row>
    <x:row r="59">
      <x:c r="B59">
        <x:v>57</x:v>
      </x:c>
      <x:c r="C59">
        <x:v>6</x:v>
      </x:c>
      <x:c r="D59">
        <x:v>7</x:v>
      </x:c>
      <x:c r="E59" s="10" t="s">
        <x:v>107</x:v>
      </x:c>
      <x:c r="F59" s="10" t="s">
        <x:v>43</x:v>
      </x:c>
      <x:c r="G59" s="10" t="s">
        <x:v>102</x:v>
      </x:c>
      <x:c r="H59" s="10" t="s">
        <x:v>43</x:v>
      </x:c>
      <x:c r="I59" s="10" t="s">
        <x:v>106</x:v>
      </x:c>
      <x:c r="J59" s="10" t="s">
        <x:v>43</x:v>
      </x:c>
      <x:c r="K59" s="10" t="s">
        <x:v>100</x:v>
      </x:c>
      <x:c r="L59" s="10" t="s">
        <x:v>43</x:v>
      </x:c>
      <x:c r="M59" s="10" t="s">
        <x:v>104</x:v>
      </x:c>
      <x:c r="N59" s="10" t="s">
        <x:v>43</x:v>
      </x:c>
      <x:c r="O59" s="10"/>
      <x:c r="P59" s="10"/>
      <x:c r="Q59" t="s">
        <x:v>110</x:v>
      </x:c>
    </x:row>
    <x:row r="60">
      <x:c r="B60">
        <x:v>58</x:v>
      </x:c>
      <x:c r="C60">
        <x:v>6</x:v>
      </x:c>
      <x:c r="D60">
        <x:v>8</x:v>
      </x:c>
      <x:c r="E60" s="10" t="s">
        <x:v>102</x:v>
      </x:c>
      <x:c r="F60" s="10" t="s">
        <x:v>43</x:v>
      </x:c>
      <x:c r="G60" s="10" t="s">
        <x:v>106</x:v>
      </x:c>
      <x:c r="H60" s="10" t="s">
        <x:v>43</x:v>
      </x:c>
      <x:c r="I60" s="10" t="s">
        <x:v>98</x:v>
      </x:c>
      <x:c r="J60" s="10" t="s">
        <x:v>43</x:v>
      </x:c>
      <x:c r="K60" s="10" t="s">
        <x:v>107</x:v>
      </x:c>
      <x:c r="L60" s="10" t="s">
        <x:v>109</x:v>
      </x:c>
      <x:c r="M60" s="10" t="s">
        <x:v>100</x:v>
      </x:c>
      <x:c r="N60" s="10" t="s">
        <x:v>109</x:v>
      </x:c>
      <x:c r="O60" s="10"/>
      <x:c r="P60" s="10"/>
      <x:c r="Q60" t="s">
        <x:v>110</x:v>
      </x:c>
    </x:row>
    <x:row r="61">
      <x:c r="B61">
        <x:v>59</x:v>
      </x:c>
      <x:c r="C61">
        <x:v>6</x:v>
      </x:c>
      <x:c r="D61">
        <x:v>9</x:v>
      </x:c>
      <x:c r="E61" s="10" t="s">
        <x:v>106</x:v>
      </x:c>
      <x:c r="F61" s="10" t="s">
        <x:v>43</x:v>
      </x:c>
      <x:c r="G61" s="10" t="s">
        <x:v>107</x:v>
      </x:c>
      <x:c r="H61" s="10" t="s">
        <x:v>43</x:v>
      </x:c>
      <x:c r="I61" s="10" t="s">
        <x:v>102</x:v>
      </x:c>
      <x:c r="J61" s="10" t="s">
        <x:v>43</x:v>
      </x:c>
      <x:c r="K61" s="10" t="s">
        <x:v>104</x:v>
      </x:c>
      <x:c r="L61" s="10" t="s">
        <x:v>109</x:v>
      </x:c>
      <x:c r="M61" s="10" t="s">
        <x:v>96</x:v>
      </x:c>
      <x:c r="N61" s="10" t="s">
        <x:v>109</x:v>
      </x:c>
      <x:c r="O61" s="10"/>
      <x:c r="P61" s="10"/>
      <x:c r="Q61" t="s">
        <x:v>110</x:v>
      </x:c>
    </x:row>
    <x:row r="62">
      <x:c r="B62">
        <x:v>60</x:v>
      </x:c>
      <x:c r="C62">
        <x:v>6</x:v>
      </x:c>
      <x:c r="D62">
        <x:v>10</x:v>
      </x:c>
      <x:c r="E62" s="10" t="s">
        <x:v>107</x:v>
      </x:c>
      <x:c r="F62" s="10" t="s">
        <x:v>43</x:v>
      </x:c>
      <x:c r="G62" s="10" t="s">
        <x:v>102</x:v>
      </x:c>
      <x:c r="H62" s="10" t="s">
        <x:v>43</x:v>
      </x:c>
      <x:c r="I62" s="10" t="s">
        <x:v>106</x:v>
      </x:c>
      <x:c r="J62" s="10" t="s">
        <x:v>109</x:v>
      </x:c>
      <x:c r="K62" s="10" t="s">
        <x:v>100</x:v>
      </x:c>
      <x:c r="L62" s="10" t="s">
        <x:v>109</x:v>
      </x:c>
      <x:c r="M62" s="10" t="s">
        <x:v>98</x:v>
      </x:c>
      <x:c r="N62" s="10" t="s">
        <x:v>109</x:v>
      </x:c>
      <x:c r="O62" s="10"/>
      <x:c r="P62" s="10"/>
      <x:c r="Q62" t="s">
        <x:v>110</x:v>
      </x:c>
    </x:row>
    <x:row r="63">
      <x:c r="B63">
        <x:v>61</x:v>
      </x:c>
      <x:c r="C63">
        <x:v>7</x:v>
      </x:c>
      <x:c r="D63">
        <x:v>1</x:v>
      </x:c>
      <x:c r="E63" s="10" t="s">
        <x:v>102</x:v>
      </x:c>
      <x:c r="F63" s="10" t="s">
        <x:v>43</x:v>
      </x:c>
      <x:c r="G63" s="10" t="s">
        <x:v>106</x:v>
      </x:c>
      <x:c r="H63" s="10" t="s">
        <x:v>43</x:v>
      </x:c>
      <x:c r="I63" s="10" t="s">
        <x:v>104</x:v>
      </x:c>
      <x:c r="J63" s="10" t="s">
        <x:v>43</x:v>
      </x:c>
      <x:c r="K63" s="10" t="s">
        <x:v>107</x:v>
      </x:c>
      <x:c r="L63" s="10" t="s">
        <x:v>43</x:v>
      </x:c>
      <x:c r="M63" s="10" t="s">
        <x:v>111</x:v>
      </x:c>
      <x:c r="N63" s="10" t="s">
        <x:v>43</x:v>
      </x:c>
      <x:c r="O63" s="10"/>
      <x:c r="P63" s="10"/>
      <x:c r="Q63" t="s">
        <x:v>112</x:v>
      </x:c>
    </x:row>
    <x:row r="64">
      <x:c r="B64">
        <x:v>62</x:v>
      </x:c>
      <x:c r="C64">
        <x:v>7</x:v>
      </x:c>
      <x:c r="D64">
        <x:v>2</x:v>
      </x:c>
      <x:c r="E64" s="10" t="s">
        <x:v>104</x:v>
      </x:c>
      <x:c r="F64" s="10" t="s">
        <x:v>43</x:v>
      </x:c>
      <x:c r="G64" s="10" t="s">
        <x:v>102</x:v>
      </x:c>
      <x:c r="H64" s="10" t="s">
        <x:v>43</x:v>
      </x:c>
      <x:c r="I64" s="10" t="s">
        <x:v>106</x:v>
      </x:c>
      <x:c r="J64" s="10" t="s">
        <x:v>43</x:v>
      </x:c>
      <x:c r="K64" s="10" t="s">
        <x:v>107</x:v>
      </x:c>
      <x:c r="L64" s="10" t="s">
        <x:v>43</x:v>
      </x:c>
      <x:c r="M64" s="10" t="s">
        <x:v>111</x:v>
      </x:c>
      <x:c r="N64" s="10" t="s">
        <x:v>43</x:v>
      </x:c>
      <x:c r="O64" s="10"/>
      <x:c r="P64" s="10"/>
      <x:c r="Q64" t="s">
        <x:v>112</x:v>
      </x:c>
    </x:row>
    <x:row r="65">
      <x:c r="B65">
        <x:v>63</x:v>
      </x:c>
      <x:c r="C65">
        <x:v>7</x:v>
      </x:c>
      <x:c r="D65">
        <x:v>3</x:v>
      </x:c>
      <x:c r="E65" s="10" t="s">
        <x:v>106</x:v>
      </x:c>
      <x:c r="F65" s="10" t="s">
        <x:v>43</x:v>
      </x:c>
      <x:c r="G65" s="10" t="s">
        <x:v>102</x:v>
      </x:c>
      <x:c r="H65" s="10" t="s">
        <x:v>43</x:v>
      </x:c>
      <x:c r="I65" s="10" t="s">
        <x:v>107</x:v>
      </x:c>
      <x:c r="J65" s="10" t="s">
        <x:v>43</x:v>
      </x:c>
      <x:c r="K65" s="10" t="s">
        <x:v>104</x:v>
      </x:c>
      <x:c r="L65" s="10" t="s">
        <x:v>43</x:v>
      </x:c>
      <x:c r="M65" s="10" t="s">
        <x:v>111</x:v>
      </x:c>
      <x:c r="N65" s="10" t="s">
        <x:v>43</x:v>
      </x:c>
      <x:c r="O65" s="10"/>
      <x:c r="P65" s="10"/>
      <x:c r="Q65" t="s">
        <x:v>112</x:v>
      </x:c>
    </x:row>
    <x:row r="66">
      <x:c r="B66">
        <x:v>64</x:v>
      </x:c>
      <x:c r="C66">
        <x:v>7</x:v>
      </x:c>
      <x:c r="D66">
        <x:v>4</x:v>
      </x:c>
      <x:c r="E66" s="10" t="s">
        <x:v>107</x:v>
      </x:c>
      <x:c r="F66" s="10" t="s">
        <x:v>43</x:v>
      </x:c>
      <x:c r="G66" s="10" t="s">
        <x:v>104</x:v>
      </x:c>
      <x:c r="H66" s="10" t="s">
        <x:v>43</x:v>
      </x:c>
      <x:c r="I66" s="10" t="s">
        <x:v>102</x:v>
      </x:c>
      <x:c r="J66" s="10" t="s">
        <x:v>43</x:v>
      </x:c>
      <x:c r="K66" s="10" t="s">
        <x:v>106</x:v>
      </x:c>
      <x:c r="L66" s="10" t="s">
        <x:v>43</x:v>
      </x:c>
      <x:c r="M66" s="10" t="s">
        <x:v>111</x:v>
      </x:c>
      <x:c r="N66" s="10" t="s">
        <x:v>43</x:v>
      </x:c>
      <x:c r="O66" s="10"/>
      <x:c r="P66" s="10"/>
      <x:c r="Q66" t="s">
        <x:v>112</x:v>
      </x:c>
    </x:row>
    <x:row r="67">
      <x:c r="B67">
        <x:v>65</x:v>
      </x:c>
      <x:c r="C67">
        <x:v>7</x:v>
      </x:c>
      <x:c r="D67">
        <x:v>5</x:v>
      </x:c>
      <x:c r="E67" s="10" t="s">
        <x:v>102</x:v>
      </x:c>
      <x:c r="F67" s="10" t="s">
        <x:v>43</x:v>
      </x:c>
      <x:c r="G67" s="10" t="s">
        <x:v>107</x:v>
      </x:c>
      <x:c r="H67" s="10" t="s">
        <x:v>43</x:v>
      </x:c>
      <x:c r="I67" s="10" t="s">
        <x:v>106</x:v>
      </x:c>
      <x:c r="J67" s="10" t="s">
        <x:v>43</x:v>
      </x:c>
      <x:c r="K67" s="10" t="s">
        <x:v>104</x:v>
      </x:c>
      <x:c r="L67" s="10" t="s">
        <x:v>43</x:v>
      </x:c>
      <x:c r="M67" s="10" t="s">
        <x:v>111</x:v>
      </x:c>
      <x:c r="N67" s="10" t="s">
        <x:v>43</x:v>
      </x:c>
      <x:c r="O67" s="10"/>
      <x:c r="P67" s="10"/>
      <x:c r="Q67" t="s">
        <x:v>112</x:v>
      </x:c>
    </x:row>
    <x:row r="68">
      <x:c r="B68">
        <x:v>66</x:v>
      </x:c>
      <x:c r="C68">
        <x:v>7</x:v>
      </x:c>
      <x:c r="D68">
        <x:v>6</x:v>
      </x:c>
      <x:c r="E68" s="10" t="s">
        <x:v>104</x:v>
      </x:c>
      <x:c r="F68" s="10" t="s">
        <x:v>43</x:v>
      </x:c>
      <x:c r="G68" s="10" t="s">
        <x:v>106</x:v>
      </x:c>
      <x:c r="H68" s="10" t="s">
        <x:v>43</x:v>
      </x:c>
      <x:c r="I68" s="10" t="s">
        <x:v>102</x:v>
      </x:c>
      <x:c r="J68" s="10" t="s">
        <x:v>43</x:v>
      </x:c>
      <x:c r="K68" s="10" t="s">
        <x:v>107</x:v>
      </x:c>
      <x:c r="L68" s="10" t="s">
        <x:v>43</x:v>
      </x:c>
      <x:c r="M68" s="10" t="s">
        <x:v>111</x:v>
      </x:c>
      <x:c r="N68" s="10" t="s">
        <x:v>43</x:v>
      </x:c>
      <x:c r="O68" s="10"/>
      <x:c r="P68" s="10"/>
      <x:c r="Q68" t="s">
        <x:v>112</x:v>
      </x:c>
    </x:row>
    <x:row r="69">
      <x:c r="B69">
        <x:v>67</x:v>
      </x:c>
      <x:c r="C69">
        <x:v>7</x:v>
      </x:c>
      <x:c r="D69">
        <x:v>7</x:v>
      </x:c>
      <x:c r="E69" s="10" t="s">
        <x:v>106</x:v>
      </x:c>
      <x:c r="F69" s="10" t="s">
        <x:v>43</x:v>
      </x:c>
      <x:c r="G69" s="10" t="s">
        <x:v>107</x:v>
      </x:c>
      <x:c r="H69" s="10" t="s">
        <x:v>43</x:v>
      </x:c>
      <x:c r="I69" s="10" t="s">
        <x:v>104</x:v>
      </x:c>
      <x:c r="J69" s="10" t="s">
        <x:v>43</x:v>
      </x:c>
      <x:c r="K69" s="10" t="s">
        <x:v>102</x:v>
      </x:c>
      <x:c r="L69" s="10" t="s">
        <x:v>43</x:v>
      </x:c>
      <x:c r="M69" s="10" t="s">
        <x:v>111</x:v>
      </x:c>
      <x:c r="N69" s="10" t="s">
        <x:v>43</x:v>
      </x:c>
      <x:c r="O69" s="10"/>
      <x:c r="P69" s="10"/>
      <x:c r="Q69" t="s">
        <x:v>112</x:v>
      </x:c>
    </x:row>
    <x:row r="70">
      <x:c r="B70">
        <x:v>68</x:v>
      </x:c>
      <x:c r="C70">
        <x:v>7</x:v>
      </x:c>
      <x:c r="D70">
        <x:v>8</x:v>
      </x:c>
      <x:c r="E70" s="10" t="s">
        <x:v>107</x:v>
      </x:c>
      <x:c r="F70" s="10" t="s">
        <x:v>43</x:v>
      </x:c>
      <x:c r="G70" s="10" t="s">
        <x:v>102</x:v>
      </x:c>
      <x:c r="H70" s="10" t="s">
        <x:v>43</x:v>
      </x:c>
      <x:c r="I70" s="10" t="s">
        <x:v>106</x:v>
      </x:c>
      <x:c r="J70" s="10" t="s">
        <x:v>43</x:v>
      </x:c>
      <x:c r="K70" s="10" t="s">
        <x:v>104</x:v>
      </x:c>
      <x:c r="L70" s="10" t="s">
        <x:v>43</x:v>
      </x:c>
      <x:c r="M70" s="10" t="s">
        <x:v>111</x:v>
      </x:c>
      <x:c r="N70" s="10" t="s">
        <x:v>109</x:v>
      </x:c>
      <x:c r="O70" s="10"/>
      <x:c r="P70" s="10"/>
      <x:c r="Q70" t="s">
        <x:v>112</x:v>
      </x:c>
    </x:row>
    <x:row r="71">
      <x:c r="B71">
        <x:v>69</x:v>
      </x:c>
      <x:c r="C71">
        <x:v>7</x:v>
      </x:c>
      <x:c r="D71">
        <x:v>9</x:v>
      </x:c>
      <x:c r="E71" s="10" t="s">
        <x:v>104</x:v>
      </x:c>
      <x:c r="F71" s="10" t="s">
        <x:v>43</x:v>
      </x:c>
      <x:c r="G71" s="10" t="s">
        <x:v>107</x:v>
      </x:c>
      <x:c r="H71" s="10" t="s">
        <x:v>43</x:v>
      </x:c>
      <x:c r="I71" s="10" t="s">
        <x:v>102</x:v>
      </x:c>
      <x:c r="J71" s="10" t="s">
        <x:v>43</x:v>
      </x:c>
      <x:c r="K71" s="10" t="s">
        <x:v>106</x:v>
      </x:c>
      <x:c r="L71" s="10" t="s">
        <x:v>109</x:v>
      </x:c>
      <x:c r="M71" s="10" t="s">
        <x:v>111</x:v>
      </x:c>
      <x:c r="N71" s="10" t="s">
        <x:v>109</x:v>
      </x:c>
      <x:c r="O71" s="10"/>
      <x:c r="P71" s="10"/>
      <x:c r="Q71" t="s">
        <x:v>112</x:v>
      </x:c>
    </x:row>
    <x:row r="72">
      <x:c r="B72">
        <x:v>70</x:v>
      </x:c>
      <x:c r="C72">
        <x:v>7</x:v>
      </x:c>
      <x:c r="D72">
        <x:v>10</x:v>
      </x:c>
      <x:c r="E72" s="10" t="s">
        <x:v>106</x:v>
      </x:c>
      <x:c r="F72" s="10" t="s">
        <x:v>43</x:v>
      </x:c>
      <x:c r="G72" s="10" t="s">
        <x:v>104</x:v>
      </x:c>
      <x:c r="H72" s="10" t="s">
        <x:v>43</x:v>
      </x:c>
      <x:c r="I72" s="10" t="s">
        <x:v>107</x:v>
      </x:c>
      <x:c r="J72" s="10" t="s">
        <x:v>109</x:v>
      </x:c>
      <x:c r="K72" s="10" t="s">
        <x:v>102</x:v>
      </x:c>
      <x:c r="L72" s="10" t="s">
        <x:v>109</x:v>
      </x:c>
      <x:c r="M72" s="10" t="s">
        <x:v>111</x:v>
      </x:c>
      <x:c r="N72" s="10" t="s">
        <x:v>109</x:v>
      </x:c>
      <x:c r="O72" s="10"/>
      <x:c r="P72" s="10"/>
      <x:c r="Q72" t="s">
        <x:v>112</x:v>
      </x:c>
    </x:row>
    <x:row r="73">
      <x:c r="B73">
        <x:v>71</x:v>
      </x:c>
      <x:c r="C73">
        <x:v>8</x:v>
      </x:c>
      <x:c r="D73">
        <x:v>1</x:v>
      </x:c>
      <x:c r="E73" s="10" t="s">
        <x:v>98</x:v>
      </x:c>
      <x:c r="F73" s="10" t="s">
        <x:v>43</x:v>
      </x:c>
      <x:c r="G73" s="10" t="s">
        <x:v>106</x:v>
      </x:c>
      <x:c r="H73" s="10" t="s">
        <x:v>43</x:v>
      </x:c>
      <x:c r="I73" s="10" t="s">
        <x:v>104</x:v>
      </x:c>
      <x:c r="J73" s="10" t="s">
        <x:v>43</x:v>
      </x:c>
      <x:c r="K73" s="10" t="s">
        <x:v>107</x:v>
      </x:c>
      <x:c r="L73" s="10" t="s">
        <x:v>43</x:v>
      </x:c>
      <x:c r="M73" s="10" t="s">
        <x:v>111</x:v>
      </x:c>
      <x:c r="N73" s="10" t="s">
        <x:v>43</x:v>
      </x:c>
      <x:c r="O73" s="10"/>
      <x:c r="P73" s="10"/>
      <x:c r="Q73" t="s">
        <x:v>113</x:v>
      </x:c>
    </x:row>
    <x:row r="74">
      <x:c r="B74">
        <x:v>72</x:v>
      </x:c>
      <x:c r="C74">
        <x:v>8</x:v>
      </x:c>
      <x:c r="D74">
        <x:v>2</x:v>
      </x:c>
      <x:c r="E74" s="10" t="s">
        <x:v>96</x:v>
      </x:c>
      <x:c r="F74" s="10" t="s">
        <x:v>43</x:v>
      </x:c>
      <x:c r="G74" s="10" t="s">
        <x:v>102</x:v>
      </x:c>
      <x:c r="H74" s="10" t="s">
        <x:v>43</x:v>
      </x:c>
      <x:c r="I74" s="10" t="s">
        <x:v>106</x:v>
      </x:c>
      <x:c r="J74" s="10" t="s">
        <x:v>43</x:v>
      </x:c>
      <x:c r="K74" s="10" t="s">
        <x:v>107</x:v>
      </x:c>
      <x:c r="L74" s="10" t="s">
        <x:v>43</x:v>
      </x:c>
      <x:c r="M74" s="10" t="s">
        <x:v>111</x:v>
      </x:c>
      <x:c r="N74" s="10" t="s">
        <x:v>43</x:v>
      </x:c>
      <x:c r="O74" s="10"/>
      <x:c r="P74" s="10"/>
      <x:c r="Q74" t="s">
        <x:v>113</x:v>
      </x:c>
    </x:row>
    <x:row r="75">
      <x:c r="B75">
        <x:v>73</x:v>
      </x:c>
      <x:c r="C75">
        <x:v>8</x:v>
      </x:c>
      <x:c r="D75">
        <x:v>3</x:v>
      </x:c>
      <x:c r="E75" s="10" t="s">
        <x:v>100</x:v>
      </x:c>
      <x:c r="F75" s="10" t="s">
        <x:v>43</x:v>
      </x:c>
      <x:c r="G75" s="10" t="s">
        <x:v>104</x:v>
      </x:c>
      <x:c r="H75" s="10" t="s">
        <x:v>43</x:v>
      </x:c>
      <x:c r="I75" s="10" t="s">
        <x:v>102</x:v>
      </x:c>
      <x:c r="J75" s="10" t="s">
        <x:v>43</x:v>
      </x:c>
      <x:c r="K75" s="10" t="s">
        <x:v>106</x:v>
      </x:c>
      <x:c r="L75" s="10" t="s">
        <x:v>43</x:v>
      </x:c>
      <x:c r="M75" s="10" t="s">
        <x:v>111</x:v>
      </x:c>
      <x:c r="N75" s="10" t="s">
        <x:v>43</x:v>
      </x:c>
      <x:c r="O75" s="10"/>
      <x:c r="P75" s="10"/>
      <x:c r="Q75" t="s">
        <x:v>113</x:v>
      </x:c>
    </x:row>
    <x:row r="76">
      <x:c r="B76">
        <x:v>74</x:v>
      </x:c>
      <x:c r="C76">
        <x:v>8</x:v>
      </x:c>
      <x:c r="D76">
        <x:v>4</x:v>
      </x:c>
      <x:c r="E76" s="10" t="s">
        <x:v>102</x:v>
      </x:c>
      <x:c r="F76" s="10" t="s">
        <x:v>43</x:v>
      </x:c>
      <x:c r="G76" s="10" t="s">
        <x:v>107</x:v>
      </x:c>
      <x:c r="H76" s="10" t="s">
        <x:v>43</x:v>
      </x:c>
      <x:c r="I76" s="10" t="s">
        <x:v>98</x:v>
      </x:c>
      <x:c r="J76" s="10" t="s">
        <x:v>43</x:v>
      </x:c>
      <x:c r="K76" s="10" t="s">
        <x:v>106</x:v>
      </x:c>
      <x:c r="L76" s="10" t="s">
        <x:v>43</x:v>
      </x:c>
      <x:c r="M76" s="10" t="s">
        <x:v>111</x:v>
      </x:c>
      <x:c r="N76" s="10" t="s">
        <x:v>43</x:v>
      </x:c>
      <x:c r="O76" s="10"/>
      <x:c r="P76" s="10"/>
      <x:c r="Q76" t="s">
        <x:v>113</x:v>
      </x:c>
    </x:row>
    <x:row r="77">
      <x:c r="B77">
        <x:v>75</x:v>
      </x:c>
      <x:c r="C77">
        <x:v>8</x:v>
      </x:c>
      <x:c r="D77">
        <x:v>5</x:v>
      </x:c>
      <x:c r="E77" s="10" t="s">
        <x:v>106</x:v>
      </x:c>
      <x:c r="F77" s="10" t="s">
        <x:v>43</x:v>
      </x:c>
      <x:c r="G77" s="10" t="s">
        <x:v>100</x:v>
      </x:c>
      <x:c r="H77" s="10" t="s">
        <x:v>43</x:v>
      </x:c>
      <x:c r="I77" s="10" t="s">
        <x:v>104</x:v>
      </x:c>
      <x:c r="J77" s="10" t="s">
        <x:v>43</x:v>
      </x:c>
      <x:c r="K77" s="10" t="s">
        <x:v>107</x:v>
      </x:c>
      <x:c r="L77" s="10" t="s">
        <x:v>43</x:v>
      </x:c>
      <x:c r="M77" s="10" t="s">
        <x:v>111</x:v>
      </x:c>
      <x:c r="N77" s="10" t="s">
        <x:v>43</x:v>
      </x:c>
      <x:c r="O77" s="10"/>
      <x:c r="P77" s="10"/>
      <x:c r="Q77" t="s">
        <x:v>113</x:v>
      </x:c>
    </x:row>
    <x:row r="78">
      <x:c r="B78">
        <x:v>76</x:v>
      </x:c>
      <x:c r="C78">
        <x:v>8</x:v>
      </x:c>
      <x:c r="D78">
        <x:v>6</x:v>
      </x:c>
      <x:c r="E78" s="10" t="s">
        <x:v>107</x:v>
      </x:c>
      <x:c r="F78" s="10" t="s">
        <x:v>43</x:v>
      </x:c>
      <x:c r="G78" s="10" t="s">
        <x:v>96</x:v>
      </x:c>
      <x:c r="H78" s="10" t="s">
        <x:v>43</x:v>
      </x:c>
      <x:c r="I78" s="10" t="s">
        <x:v>102</x:v>
      </x:c>
      <x:c r="J78" s="10" t="s">
        <x:v>43</x:v>
      </x:c>
      <x:c r="K78" s="10" t="s">
        <x:v>106</x:v>
      </x:c>
      <x:c r="L78" s="10" t="s">
        <x:v>43</x:v>
      </x:c>
      <x:c r="M78" s="10" t="s">
        <x:v>111</x:v>
      </x:c>
      <x:c r="N78" s="10" t="s">
        <x:v>43</x:v>
      </x:c>
      <x:c r="O78" s="10"/>
      <x:c r="P78" s="10"/>
      <x:c r="Q78" t="s">
        <x:v>113</x:v>
      </x:c>
    </x:row>
    <x:row r="79">
      <x:c r="B79">
        <x:v>77</x:v>
      </x:c>
      <x:c r="C79">
        <x:v>8</x:v>
      </x:c>
      <x:c r="D79">
        <x:v>7</x:v>
      </x:c>
      <x:c r="E79" s="10" t="s">
        <x:v>104</x:v>
      </x:c>
      <x:c r="F79" s="10" t="s">
        <x:v>43</x:v>
      </x:c>
      <x:c r="G79" s="10" t="s">
        <x:v>106</x:v>
      </x:c>
      <x:c r="H79" s="10" t="s">
        <x:v>43</x:v>
      </x:c>
      <x:c r="I79" s="10" t="s">
        <x:v>98</x:v>
      </x:c>
      <x:c r="J79" s="10" t="s">
        <x:v>43</x:v>
      </x:c>
      <x:c r="K79" s="10" t="s">
        <x:v>107</x:v>
      </x:c>
      <x:c r="L79" s="10" t="s">
        <x:v>109</x:v>
      </x:c>
      <x:c r="M79" s="10" t="s">
        <x:v>111</x:v>
      </x:c>
      <x:c r="N79" s="10" t="s">
        <x:v>43</x:v>
      </x:c>
      <x:c r="O79" s="10"/>
      <x:c r="P79" s="10"/>
      <x:c r="Q79" t="s">
        <x:v>113</x:v>
      </x:c>
    </x:row>
    <x:row r="80">
      <x:c r="B80">
        <x:v>78</x:v>
      </x:c>
      <x:c r="C80">
        <x:v>8</x:v>
      </x:c>
      <x:c r="D80">
        <x:v>8</x:v>
      </x:c>
      <x:c r="E80" s="10" t="s">
        <x:v>102</x:v>
      </x:c>
      <x:c r="F80" s="10" t="s">
        <x:v>43</x:v>
      </x:c>
      <x:c r="G80" s="10" t="s">
        <x:v>100</x:v>
      </x:c>
      <x:c r="H80" s="10" t="s">
        <x:v>43</x:v>
      </x:c>
      <x:c r="I80" s="10" t="s">
        <x:v>106</x:v>
      </x:c>
      <x:c r="J80" s="10" t="s">
        <x:v>109</x:v>
      </x:c>
      <x:c r="K80" s="10" t="s">
        <x:v>104</x:v>
      </x:c>
      <x:c r="L80" s="10" t="s">
        <x:v>109</x:v>
      </x:c>
      <x:c r="M80" s="10" t="s">
        <x:v>107</x:v>
      </x:c>
      <x:c r="N80" s="10" t="s">
        <x:v>109</x:v>
      </x:c>
      <x:c r="O80" s="10" t="s">
        <x:v>111</x:v>
      </x:c>
      <x:c r="P80" s="10" t="s">
        <x:v>43</x:v>
      </x:c>
      <x:c r="Q80" t="s">
        <x:v>113</x:v>
      </x:c>
    </x:row>
    <x:row r="81">
      <x:c r="B81">
        <x:v>79</x:v>
      </x:c>
      <x:c r="C81">
        <x:v>8</x:v>
      </x:c>
      <x:c r="D81">
        <x:v>9</x:v>
      </x:c>
      <x:c r="E81" s="10" t="s">
        <x:v>96</x:v>
      </x:c>
      <x:c r="F81" s="10" t="s">
        <x:v>43</x:v>
      </x:c>
      <x:c r="G81" s="10" t="s">
        <x:v>107</x:v>
      </x:c>
      <x:c r="H81" s="10" t="s">
        <x:v>43</x:v>
      </x:c>
      <x:c r="I81" s="10" t="s">
        <x:v>102</x:v>
      </x:c>
      <x:c r="J81" s="10" t="s">
        <x:v>109</x:v>
      </x:c>
      <x:c r="K81" s="10" t="s">
        <x:v>106</x:v>
      </x:c>
      <x:c r="L81" s="10" t="s">
        <x:v>109</x:v>
      </x:c>
      <x:c r="M81" s="10" t="s">
        <x:v>104</x:v>
      </x:c>
      <x:c r="N81" s="10" t="s">
        <x:v>109</x:v>
      </x:c>
      <x:c r="O81" s="10" t="s">
        <x:v>111</x:v>
      </x:c>
      <x:c r="P81" s="10" t="s">
        <x:v>109</x:v>
      </x:c>
      <x:c r="Q81" t="s">
        <x:v>113</x:v>
      </x:c>
    </x:row>
    <x:row r="82">
      <x:c r="B82">
        <x:v>80</x:v>
      </x:c>
      <x:c r="C82">
        <x:v>8</x:v>
      </x:c>
      <x:c r="D82">
        <x:v>10</x:v>
      </x:c>
      <x:c r="E82" s="10" t="s">
        <x:v>98</x:v>
      </x:c>
      <x:c r="F82" s="10" t="s">
        <x:v>43</x:v>
      </x:c>
      <x:c r="G82" s="10" t="s">
        <x:v>106</x:v>
      </x:c>
      <x:c r="H82" s="10" t="s">
        <x:v>43</x:v>
      </x:c>
      <x:c r="I82" s="10" t="s">
        <x:v>107</x:v>
      </x:c>
      <x:c r="J82" s="10" t="s">
        <x:v>43</x:v>
      </x:c>
      <x:c r="K82" s="10" t="s">
        <x:v>111</x:v>
      </x:c>
      <x:c r="L82" s="10" t="s">
        <x:v>109</x:v>
      </x:c>
      <x:c r="M82" s="10" t="s">
        <x:v>102</x:v>
      </x:c>
      <x:c r="N82" s="10" t="s">
        <x:v>109</x:v>
      </x:c>
      <x:c r="O82" s="10" t="s">
        <x:v>104</x:v>
      </x:c>
      <x:c r="P82" s="10" t="s">
        <x:v>109</x:v>
      </x:c>
      <x:c r="Q82" t="s">
        <x:v>113</x:v>
      </x:c>
    </x:row>
    <x:row r="83">
      <x:c r="B83">
        <x:v>81</x:v>
      </x:c>
      <x:c r="C83">
        <x:v>9</x:v>
      </x:c>
      <x:c r="D83">
        <x:v>1</x:v>
      </x:c>
      <x:c r="E83" s="10" t="s">
        <x:v>102</x:v>
      </x:c>
      <x:c r="F83" s="10" t="s">
        <x:v>43</x:v>
      </x:c>
      <x:c r="G83" s="10" t="s">
        <x:v>106</x:v>
      </x:c>
      <x:c r="H83" s="10" t="s">
        <x:v>43</x:v>
      </x:c>
      <x:c r="I83" s="10" t="s">
        <x:v>111</x:v>
      </x:c>
      <x:c r="J83" s="10" t="s">
        <x:v>43</x:v>
      </x:c>
      <x:c r="K83" s="10" t="s">
        <x:v>107</x:v>
      </x:c>
      <x:c r="L83" s="10" t="s">
        <x:v>43</x:v>
      </x:c>
      <x:c r="M83" s="10" t="s">
        <x:v>104</x:v>
      </x:c>
      <x:c r="N83" s="10" t="s">
        <x:v>109</x:v>
      </x:c>
      <x:c r="O83" s="10"/>
      <x:c r="P83" s="10"/>
      <x:c r="Q83" t="s">
        <x:v>114</x:v>
      </x:c>
    </x:row>
    <x:row r="84">
      <x:c r="B84">
        <x:v>82</x:v>
      </x:c>
      <x:c r="C84">
        <x:v>9</x:v>
      </x:c>
      <x:c r="D84">
        <x:v>2</x:v>
      </x:c>
      <x:c r="E84" s="10" t="s">
        <x:v>100</x:v>
      </x:c>
      <x:c r="F84" s="10" t="s">
        <x:v>43</x:v>
      </x:c>
      <x:c r="G84" s="10" t="s">
        <x:v>107</x:v>
      </x:c>
      <x:c r="H84" s="10" t="s">
        <x:v>43</x:v>
      </x:c>
      <x:c r="I84" s="10" t="s">
        <x:v>106</x:v>
      </x:c>
      <x:c r="J84" s="10" t="s">
        <x:v>43</x:v>
      </x:c>
      <x:c r="K84" s="10" t="s">
        <x:v>111</x:v>
      </x:c>
      <x:c r="L84" s="10" t="s">
        <x:v>43</x:v>
      </x:c>
      <x:c r="M84" s="10" t="s">
        <x:v>102</x:v>
      </x:c>
      <x:c r="N84" s="10" t="s">
        <x:v>109</x:v>
      </x:c>
      <x:c r="O84" s="10"/>
      <x:c r="P84" s="10"/>
      <x:c r="Q84" t="s">
        <x:v>114</x:v>
      </x:c>
    </x:row>
    <x:row r="85">
      <x:c r="B85">
        <x:v>83</x:v>
      </x:c>
      <x:c r="C85">
        <x:v>9</x:v>
      </x:c>
      <x:c r="D85">
        <x:v>3</x:v>
      </x:c>
      <x:c r="E85" s="10" t="s">
        <x:v>96</x:v>
      </x:c>
      <x:c r="F85" s="10" t="s">
        <x:v>43</x:v>
      </x:c>
      <x:c r="G85" s="10" t="s">
        <x:v>104</x:v>
      </x:c>
      <x:c r="H85" s="10" t="s">
        <x:v>43</x:v>
      </x:c>
      <x:c r="I85" s="10" t="s">
        <x:v>107</x:v>
      </x:c>
      <x:c r="J85" s="10" t="s">
        <x:v>43</x:v>
      </x:c>
      <x:c r="K85" s="10" t="s">
        <x:v>106</x:v>
      </x:c>
      <x:c r="L85" s="10" t="s">
        <x:v>109</x:v>
      </x:c>
      <x:c r="M85" s="10" t="s">
        <x:v>111</x:v>
      </x:c>
      <x:c r="N85" s="10" t="s">
        <x:v>109</x:v>
      </x:c>
      <x:c r="O85" s="10"/>
      <x:c r="P85" s="10"/>
      <x:c r="Q85" t="s">
        <x:v>114</x:v>
      </x:c>
    </x:row>
    <x:row r="86">
      <x:c r="B86">
        <x:v>84</x:v>
      </x:c>
      <x:c r="C86">
        <x:v>9</x:v>
      </x:c>
      <x:c r="D86">
        <x:v>4</x:v>
      </x:c>
      <x:c r="E86" s="10" t="s">
        <x:v>98</x:v>
      </x:c>
      <x:c r="F86" s="10" t="s">
        <x:v>43</x:v>
      </x:c>
      <x:c r="G86" s="10" t="s">
        <x:v>102</x:v>
      </x:c>
      <x:c r="H86" s="10" t="s">
        <x:v>43</x:v>
      </x:c>
      <x:c r="I86" s="10" t="s">
        <x:v>106</x:v>
      </x:c>
      <x:c r="J86" s="10" t="s">
        <x:v>109</x:v>
      </x:c>
      <x:c r="K86" s="10" t="s">
        <x:v>104</x:v>
      </x:c>
      <x:c r="L86" s="10" t="s">
        <x:v>109</x:v>
      </x:c>
      <x:c r="M86" s="10" t="s">
        <x:v>111</x:v>
      </x:c>
      <x:c r="N86" s="10" t="s">
        <x:v>109</x:v>
      </x:c>
      <x:c r="O86" s="10"/>
      <x:c r="P86" s="10"/>
      <x:c r="Q86" t="s">
        <x:v>114</x:v>
      </x:c>
    </x:row>
    <x:row r="87">
      <x:c r="B87">
        <x:v>85</x:v>
      </x:c>
      <x:c r="C87">
        <x:v>9</x:v>
      </x:c>
      <x:c r="D87">
        <x:v>5</x:v>
      </x:c>
      <x:c r="E87" s="10" t="s">
        <x:v>107</x:v>
      </x:c>
      <x:c r="F87" s="10" t="s">
        <x:v>43</x:v>
      </x:c>
      <x:c r="G87" s="10" t="s">
        <x:v>100</x:v>
      </x:c>
      <x:c r="H87" s="10" t="s">
        <x:v>43</x:v>
      </x:c>
      <x:c r="I87" s="10" t="s">
        <x:v>111</x:v>
      </x:c>
      <x:c r="J87" s="10" t="s">
        <x:v>43</x:v>
      </x:c>
      <x:c r="K87" s="10" t="s">
        <x:v>106</x:v>
      </x:c>
      <x:c r="L87" s="10" t="s">
        <x:v>109</x:v>
      </x:c>
      <x:c r="M87" s="10" t="s">
        <x:v>102</x:v>
      </x:c>
      <x:c r="N87" s="10" t="s">
        <x:v>109</x:v>
      </x:c>
      <x:c r="O87" s="10"/>
      <x:c r="P87" s="10"/>
      <x:c r="Q87" t="s">
        <x:v>114</x:v>
      </x:c>
    </x:row>
    <x:row r="88">
      <x:c r="B88">
        <x:v>86</x:v>
      </x:c>
      <x:c r="C88">
        <x:v>9</x:v>
      </x:c>
      <x:c r="D88">
        <x:v>6</x:v>
      </x:c>
      <x:c r="E88" s="10" t="s">
        <x:v>106</x:v>
      </x:c>
      <x:c r="F88" s="10" t="s">
        <x:v>43</x:v>
      </x:c>
      <x:c r="G88" s="10" t="s">
        <x:v>96</x:v>
      </x:c>
      <x:c r="H88" s="10" t="s">
        <x:v>43</x:v>
      </x:c>
      <x:c r="I88" s="10" t="s">
        <x:v>104</x:v>
      </x:c>
      <x:c r="J88" s="10" t="s">
        <x:v>109</x:v>
      </x:c>
      <x:c r="K88" s="10" t="s">
        <x:v>107</x:v>
      </x:c>
      <x:c r="L88" s="10" t="s">
        <x:v>109</x:v>
      </x:c>
      <x:c r="M88" s="10" t="s">
        <x:v>111</x:v>
      </x:c>
      <x:c r="N88" s="10" t="s">
        <x:v>109</x:v>
      </x:c>
      <x:c r="O88" s="10" t="s">
        <x:v>102</x:v>
      </x:c>
      <x:c r="P88" s="10" t="s">
        <x:v>43</x:v>
      </x:c>
      <x:c r="Q88" t="s">
        <x:v>114</x:v>
      </x:c>
    </x:row>
    <x:row r="89">
      <x:c r="B89">
        <x:v>87</x:v>
      </x:c>
      <x:c r="C89">
        <x:v>9</x:v>
      </x:c>
      <x:c r="D89">
        <x:v>7</x:v>
      </x:c>
      <x:c r="E89" s="10" t="s">
        <x:v>102</x:v>
      </x:c>
      <x:c r="F89" s="10" t="s">
        <x:v>43</x:v>
      </x:c>
      <x:c r="G89" s="10" t="s">
        <x:v>111</x:v>
      </x:c>
      <x:c r="H89" s="10" t="s">
        <x:v>43</x:v>
      </x:c>
      <x:c r="I89" s="10" t="s">
        <x:v>106</x:v>
      </x:c>
      <x:c r="J89" s="10" t="s">
        <x:v>109</x:v>
      </x:c>
      <x:c r="K89" s="10" t="s">
        <x:v>107</x:v>
      </x:c>
      <x:c r="L89" s="10" t="s">
        <x:v>109</x:v>
      </x:c>
      <x:c r="M89" s="10" t="s">
        <x:v>104</x:v>
      </x:c>
      <x:c r="N89" s="10" t="s">
        <x:v>109</x:v>
      </x:c>
      <x:c r="O89" s="10" t="s">
        <x:v>100</x:v>
      </x:c>
      <x:c r="P89" s="10" t="s">
        <x:v>43</x:v>
      </x:c>
      <x:c r="Q89" t="s">
        <x:v>114</x:v>
      </x:c>
    </x:row>
    <x:row r="90">
      <x:c r="B90">
        <x:v>88</x:v>
      </x:c>
      <x:c r="C90">
        <x:v>9</x:v>
      </x:c>
      <x:c r="D90">
        <x:v>8</x:v>
      </x:c>
      <x:c r="E90" s="10" t="s">
        <x:v>104</x:v>
      </x:c>
      <x:c r="F90" s="10" t="s">
        <x:v>43</x:v>
      </x:c>
      <x:c r="G90" s="10" t="s">
        <x:v>106</x:v>
      </x:c>
      <x:c r="H90" s="10" t="s">
        <x:v>43</x:v>
      </x:c>
      <x:c r="I90" s="10" t="s">
        <x:v>111</x:v>
      </x:c>
      <x:c r="J90" s="10" t="s">
        <x:v>109</x:v>
      </x:c>
      <x:c r="K90" s="10" t="s">
        <x:v>102</x:v>
      </x:c>
      <x:c r="L90" s="10" t="s">
        <x:v>109</x:v>
      </x:c>
      <x:c r="M90" s="10" t="s">
        <x:v>107</x:v>
      </x:c>
      <x:c r="N90" s="10" t="s">
        <x:v>109</x:v>
      </x:c>
      <x:c r="O90" s="10" t="s">
        <x:v>96</x:v>
      </x:c>
      <x:c r="P90" s="10" t="s">
        <x:v>43</x:v>
      </x:c>
      <x:c r="Q90" t="s">
        <x:v>114</x:v>
      </x:c>
    </x:row>
    <x:row r="91">
      <x:c r="B91">
        <x:v>89</x:v>
      </x:c>
      <x:c r="C91">
        <x:v>9</x:v>
      </x:c>
      <x:c r="D91">
        <x:v>9</x:v>
      </x:c>
      <x:c r="E91" s="10" t="s">
        <x:v>107</x:v>
      </x:c>
      <x:c r="F91" s="10" t="s">
        <x:v>43</x:v>
      </x:c>
      <x:c r="G91" s="10" t="s">
        <x:v>102</x:v>
      </x:c>
      <x:c r="H91" s="10" t="s">
        <x:v>43</x:v>
      </x:c>
      <x:c r="I91" s="10" t="s">
        <x:v>106</x:v>
      </x:c>
      <x:c r="J91" s="10" t="s">
        <x:v>109</x:v>
      </x:c>
      <x:c r="K91" s="10" t="s">
        <x:v>111</x:v>
      </x:c>
      <x:c r="L91" s="10" t="s">
        <x:v>109</x:v>
      </x:c>
      <x:c r="M91" s="10" t="s">
        <x:v>104</x:v>
      </x:c>
      <x:c r="N91" s="10" t="s">
        <x:v>109</x:v>
      </x:c>
      <x:c r="O91" s="10" t="s">
        <x:v>98</x:v>
      </x:c>
      <x:c r="P91" s="10" t="s">
        <x:v>109</x:v>
      </x:c>
      <x:c r="Q91" t="s">
        <x:v>114</x:v>
      </x:c>
    </x:row>
    <x:row r="92">
      <x:c r="B92">
        <x:v>90</x:v>
      </x:c>
      <x:c r="C92">
        <x:v>9</x:v>
      </x:c>
      <x:c r="D92">
        <x:v>10</x:v>
      </x:c>
      <x:c r="E92" s="10" t="s">
        <x:v>111</x:v>
      </x:c>
      <x:c r="F92" s="10" t="s">
        <x:v>43</x:v>
      </x:c>
      <x:c r="G92" s="10" t="s">
        <x:v>106</x:v>
      </x:c>
      <x:c r="H92" s="10" t="s">
        <x:v>43</x:v>
      </x:c>
      <x:c r="I92" s="10" t="s">
        <x:v>107</x:v>
      </x:c>
      <x:c r="J92" s="10" t="s">
        <x:v>109</x:v>
      </x:c>
      <x:c r="K92" s="10" t="s">
        <x:v>102</x:v>
      </x:c>
      <x:c r="L92" s="10" t="s">
        <x:v>109</x:v>
      </x:c>
      <x:c r="M92" s="10" t="s">
        <x:v>104</x:v>
      </x:c>
      <x:c r="N92" s="10" t="s">
        <x:v>109</x:v>
      </x:c>
      <x:c r="O92" s="10" t="s">
        <x:v>100</x:v>
      </x:c>
      <x:c r="P92" s="10" t="s">
        <x:v>109</x:v>
      </x:c>
      <x:c r="Q92" t="s">
        <x:v>114</x:v>
      </x:c>
    </x:row>
    <x:row r="93">
      <x:c r="B93">
        <x:v>91</x:v>
      </x:c>
      <x:c r="C93">
        <x:v>10</x:v>
      </x:c>
      <x:c r="D93">
        <x:v>1</x:v>
      </x:c>
      <x:c r="E93" s="10" t="s">
        <x:v>106</x:v>
      </x:c>
      <x:c r="F93" s="10" t="s">
        <x:v>43</x:v>
      </x:c>
      <x:c r="G93" s="10" t="s">
        <x:v>107</x:v>
      </x:c>
      <x:c r="H93" s="10" t="s">
        <x:v>43</x:v>
      </x:c>
      <x:c r="I93" s="10" t="s">
        <x:v>111</x:v>
      </x:c>
      <x:c r="J93" s="10" t="s">
        <x:v>109</x:v>
      </x:c>
      <x:c r="K93" s="10" t="s">
        <x:v>102</x:v>
      </x:c>
      <x:c r="L93" s="10" t="s">
        <x:v>109</x:v>
      </x:c>
      <x:c r="M93" s="10" t="s">
        <x:v>104</x:v>
      </x:c>
      <x:c r="N93" s="10" t="s">
        <x:v>109</x:v>
      </x:c>
      <x:c r="O93" s="10" t="s">
        <x:v>98</x:v>
      </x:c>
      <x:c r="P93" s="10" t="s">
        <x:v>109</x:v>
      </x:c>
      <x:c r="Q93" t="s">
        <x:v>115</x:v>
      </x:c>
    </x:row>
    <x:row r="94">
      <x:c r="B94">
        <x:v>92</x:v>
      </x:c>
      <x:c r="C94">
        <x:v>10</x:v>
      </x:c>
      <x:c r="D94">
        <x:v>2</x:v>
      </x:c>
      <x:c r="E94" s="10" t="s">
        <x:v>102</x:v>
      </x:c>
      <x:c r="F94" s="10" t="s">
        <x:v>43</x:v>
      </x:c>
      <x:c r="G94" s="10" t="s">
        <x:v>106</x:v>
      </x:c>
      <x:c r="H94" s="10" t="s">
        <x:v>43</x:v>
      </x:c>
      <x:c r="I94" s="10" t="s">
        <x:v>104</x:v>
      </x:c>
      <x:c r="J94" s="10" t="s">
        <x:v>109</x:v>
      </x:c>
      <x:c r="K94" s="10" t="s">
        <x:v>111</x:v>
      </x:c>
      <x:c r="L94" s="10" t="s">
        <x:v>109</x:v>
      </x:c>
      <x:c r="M94" s="10" t="s">
        <x:v>107</x:v>
      </x:c>
      <x:c r="N94" s="10" t="s">
        <x:v>109</x:v>
      </x:c>
      <x:c r="O94" s="10" t="s">
        <x:v>100</x:v>
      </x:c>
      <x:c r="P94" s="10" t="s">
        <x:v>109</x:v>
      </x:c>
      <x:c r="Q94" t="s">
        <x:v>115</x:v>
      </x:c>
    </x:row>
    <x:row r="95">
      <x:c r="B95">
        <x:v>93</x:v>
      </x:c>
      <x:c r="C95">
        <x:v>10</x:v>
      </x:c>
      <x:c r="D95">
        <x:v>3</x:v>
      </x:c>
      <x:c r="E95" s="10" t="s">
        <x:v>107</x:v>
      </x:c>
      <x:c r="F95" s="10" t="s">
        <x:v>43</x:v>
      </x:c>
      <x:c r="G95" s="10" t="s">
        <x:v>111</x:v>
      </x:c>
      <x:c r="H95" s="10" t="s">
        <x:v>43</x:v>
      </x:c>
      <x:c r="I95" s="10" t="s">
        <x:v>106</x:v>
      </x:c>
      <x:c r="J95" s="10" t="s">
        <x:v>109</x:v>
      </x:c>
      <x:c r="K95" s="10" t="s">
        <x:v>102</x:v>
      </x:c>
      <x:c r="L95" s="10" t="s">
        <x:v>109</x:v>
      </x:c>
      <x:c r="M95" s="10" t="s">
        <x:v>104</x:v>
      </x:c>
      <x:c r="N95" s="10" t="s">
        <x:v>109</x:v>
      </x:c>
      <x:c r="O95" s="10" t="s">
        <x:v>96</x:v>
      </x:c>
      <x:c r="P95" s="10" t="s">
        <x:v>109</x:v>
      </x:c>
      <x:c r="Q95" t="s">
        <x:v>115</x:v>
      </x:c>
    </x:row>
    <x:row r="96">
      <x:c r="B96">
        <x:v>94</x:v>
      </x:c>
      <x:c r="C96">
        <x:v>10</x:v>
      </x:c>
      <x:c r="D96">
        <x:v>4</x:v>
      </x:c>
      <x:c r="E96" s="10" t="s">
        <x:v>104</x:v>
      </x:c>
      <x:c r="F96" s="10" t="s">
        <x:v>43</x:v>
      </x:c>
      <x:c r="G96" s="10" t="s">
        <x:v>102</x:v>
      </x:c>
      <x:c r="H96" s="10" t="s">
        <x:v>43</x:v>
      </x:c>
      <x:c r="I96" s="10" t="s">
        <x:v>111</x:v>
      </x:c>
      <x:c r="J96" s="10" t="s">
        <x:v>109</x:v>
      </x:c>
      <x:c r="K96" s="10" t="s">
        <x:v>107</x:v>
      </x:c>
      <x:c r="L96" s="10" t="s">
        <x:v>109</x:v>
      </x:c>
      <x:c r="M96" s="10" t="s">
        <x:v>106</x:v>
      </x:c>
      <x:c r="N96" s="10" t="s">
        <x:v>109</x:v>
      </x:c>
      <x:c r="O96" s="10" t="s">
        <x:v>98</x:v>
      </x:c>
      <x:c r="P96" s="10" t="s">
        <x:v>109</x:v>
      </x:c>
      <x:c r="Q96" t="s">
        <x:v>115</x:v>
      </x:c>
    </x:row>
    <x:row r="97">
      <x:c r="B97">
        <x:v>95</x:v>
      </x:c>
      <x:c r="C97">
        <x:v>10</x:v>
      </x:c>
      <x:c r="D97">
        <x:v>5</x:v>
      </x:c>
      <x:c r="E97" s="10" t="s">
        <x:v>111</x:v>
      </x:c>
      <x:c r="F97" s="10" t="s">
        <x:v>43</x:v>
      </x:c>
      <x:c r="G97" s="10" t="s">
        <x:v>106</x:v>
      </x:c>
      <x:c r="H97" s="10" t="s">
        <x:v>109</x:v>
      </x:c>
      <x:c r="I97" s="10" t="s">
        <x:v>102</x:v>
      </x:c>
      <x:c r="J97" s="10" t="s">
        <x:v>109</x:v>
      </x:c>
      <x:c r="K97" s="10" t="s">
        <x:v>104</x:v>
      </x:c>
      <x:c r="L97" s="10" t="s">
        <x:v>109</x:v>
      </x:c>
      <x:c r="M97" s="10" t="s">
        <x:v>107</x:v>
      </x:c>
      <x:c r="N97" s="10" t="s">
        <x:v>109</x:v>
      </x:c>
      <x:c r="O97" s="10" t="s">
        <x:v>100</x:v>
      </x:c>
      <x:c r="P97" s="10" t="s">
        <x:v>109</x:v>
      </x:c>
      <x:c r="Q97" t="s">
        <x:v>115</x:v>
      </x:c>
    </x:row>
    <x:row r="98">
      <x:c r="B98">
        <x:v>96</x:v>
      </x:c>
      <x:c r="C98">
        <x:v>10</x:v>
      </x:c>
      <x:c r="D98">
        <x:v>6</x:v>
      </x:c>
      <x:c r="E98" s="10" t="s">
        <x:v>106</x:v>
      </x:c>
      <x:c r="F98" s="10" t="s">
        <x:v>43</x:v>
      </x:c>
      <x:c r="G98" s="10" t="s">
        <x:v>111</x:v>
      </x:c>
      <x:c r="H98" s="10" t="s">
        <x:v>43</x:v>
      </x:c>
      <x:c r="I98" s="10" t="s">
        <x:v>107</x:v>
      </x:c>
      <x:c r="J98" s="10" t="s">
        <x:v>109</x:v>
      </x:c>
      <x:c r="K98" s="10" t="s">
        <x:v>104</x:v>
      </x:c>
      <x:c r="L98" s="10" t="s">
        <x:v>109</x:v>
      </x:c>
      <x:c r="M98" s="10" t="s">
        <x:v>102</x:v>
      </x:c>
      <x:c r="N98" s="10" t="s">
        <x:v>109</x:v>
      </x:c>
      <x:c r="O98" s="10" t="s">
        <x:v>96</x:v>
      </x:c>
      <x:c r="P98" s="10" t="s">
        <x:v>109</x:v>
      </x:c>
      <x:c r="Q98" t="s">
        <x:v>115</x:v>
      </x:c>
    </x:row>
    <x:row r="99">
      <x:c r="B99">
        <x:v>97</x:v>
      </x:c>
      <x:c r="C99">
        <x:v>10</x:v>
      </x:c>
      <x:c r="D99">
        <x:v>7</x:v>
      </x:c>
      <x:c r="E99" s="10" t="s">
        <x:v>102</x:v>
      </x:c>
      <x:c r="F99" s="10" t="s">
        <x:v>43</x:v>
      </x:c>
      <x:c r="G99" s="10" t="s">
        <x:v>106</x:v>
      </x:c>
      <x:c r="H99" s="10" t="s">
        <x:v>109</x:v>
      </x:c>
      <x:c r="I99" s="10" t="s">
        <x:v>111</x:v>
      </x:c>
      <x:c r="J99" s="10" t="s">
        <x:v>109</x:v>
      </x:c>
      <x:c r="K99" s="10" t="s">
        <x:v>107</x:v>
      </x:c>
      <x:c r="L99" s="10" t="s">
        <x:v>109</x:v>
      </x:c>
      <x:c r="M99" s="10" t="s">
        <x:v>104</x:v>
      </x:c>
      <x:c r="N99" s="10" t="s">
        <x:v>109</x:v>
      </x:c>
      <x:c r="O99" s="10" t="s">
        <x:v>98</x:v>
      </x:c>
      <x:c r="P99" s="10" t="s">
        <x:v>109</x:v>
      </x:c>
      <x:c r="Q99" t="s">
        <x:v>115</x:v>
      </x:c>
    </x:row>
    <x:row r="100">
      <x:c r="B100">
        <x:v>98</x:v>
      </x:c>
      <x:c r="C100">
        <x:v>10</x:v>
      </x:c>
      <x:c r="D100">
        <x:v>8</x:v>
      </x:c>
      <x:c r="E100" s="10" t="s">
        <x:v>107</x:v>
      </x:c>
      <x:c r="F100" s="10" t="s">
        <x:v>43</x:v>
      </x:c>
      <x:c r="G100" s="10" t="s">
        <x:v>104</x:v>
      </x:c>
      <x:c r="H100" s="10" t="s">
        <x:v>109</x:v>
      </x:c>
      <x:c r="I100" s="10" t="s">
        <x:v>102</x:v>
      </x:c>
      <x:c r="J100" s="10" t="s">
        <x:v>109</x:v>
      </x:c>
      <x:c r="K100" s="10" t="s">
        <x:v>111</x:v>
      </x:c>
      <x:c r="L100" s="10" t="s">
        <x:v>109</x:v>
      </x:c>
      <x:c r="M100" s="10" t="s">
        <x:v>106</x:v>
      </x:c>
      <x:c r="N100" s="10" t="s">
        <x:v>109</x:v>
      </x:c>
      <x:c r="O100" s="10" t="s">
        <x:v>100</x:v>
      </x:c>
      <x:c r="P100" s="10" t="s">
        <x:v>109</x:v>
      </x:c>
      <x:c r="Q100" t="s">
        <x:v>115</x:v>
      </x:c>
    </x:row>
    <x:row r="101">
      <x:c r="B101">
        <x:v>99</x:v>
      </x:c>
      <x:c r="C101">
        <x:v>10</x:v>
      </x:c>
      <x:c r="D101">
        <x:v>9</x:v>
      </x:c>
      <x:c r="E101" s="10" t="s">
        <x:v>111</x:v>
      </x:c>
      <x:c r="F101" s="10" t="s">
        <x:v>43</x:v>
      </x:c>
      <x:c r="G101" s="10" t="s">
        <x:v>106</x:v>
      </x:c>
      <x:c r="H101" s="10" t="s">
        <x:v>109</x:v>
      </x:c>
      <x:c r="I101" s="10" t="s">
        <x:v>107</x:v>
      </x:c>
      <x:c r="J101" s="10" t="s">
        <x:v>109</x:v>
      </x:c>
      <x:c r="K101" s="10" t="s">
        <x:v>102</x:v>
      </x:c>
      <x:c r="L101" s="10" t="s">
        <x:v>109</x:v>
      </x:c>
      <x:c r="M101" s="10" t="s">
        <x:v>104</x:v>
      </x:c>
      <x:c r="N101" s="10" t="s">
        <x:v>109</x:v>
      </x:c>
      <x:c r="O101" s="10" t="s">
        <x:v>96</x:v>
      </x:c>
      <x:c r="P101" s="10" t="s">
        <x:v>109</x:v>
      </x:c>
      <x:c r="Q101" t="s">
        <x:v>115</x:v>
      </x:c>
    </x:row>
    <x:row r="102">
      <x:c r="B102">
        <x:v>100</x:v>
      </x:c>
      <x:c r="C102">
        <x:v>10</x:v>
      </x:c>
      <x:c r="D102">
        <x:v>10</x:v>
      </x:c>
      <x:c r="E102" s="10" t="s">
        <x:v>106</x:v>
      </x:c>
      <x:c r="F102" s="10" t="s">
        <x:v>43</x:v>
      </x:c>
      <x:c r="G102" s="10" t="s">
        <x:v>111</x:v>
      </x:c>
      <x:c r="H102" s="10" t="s">
        <x:v>109</x:v>
      </x:c>
      <x:c r="I102" s="10" t="s">
        <x:v>102</x:v>
      </x:c>
      <x:c r="J102" s="10" t="s">
        <x:v>109</x:v>
      </x:c>
      <x:c r="K102" s="10" t="s">
        <x:v>107</x:v>
      </x:c>
      <x:c r="L102" s="10" t="s">
        <x:v>109</x:v>
      </x:c>
      <x:c r="M102" s="10" t="s">
        <x:v>104</x:v>
      </x:c>
      <x:c r="N102" s="10" t="s">
        <x:v>109</x:v>
      </x:c>
      <x:c r="O102" s="10" t="s">
        <x:v>98</x:v>
      </x:c>
      <x:c r="P102" s="10" t="s">
        <x:v>109</x:v>
      </x:c>
      <x:c r="Q102" t="s">
        <x:v>115</x:v>
      </x:c>
    </x:row>
    <x:row r="103"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</x:row>
    <x:row r="104"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</x:row>
    <x:row r="105"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</x:row>
    <x:row r="106"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</x:row>
    <x:row r="107"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</x:row>
    <x:row r="108"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</x:row>
    <x:row r="109"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</x:row>
    <x:row r="110"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</x:row>
    <x:row r="111"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</x:row>
    <x:row r="112"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</x:row>
    <x:row r="113"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</x:row>
    <x:row r="114"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</x:row>
    <x:row r="115"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</x:row>
    <x:row r="116"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</x:row>
    <x:row r="117"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</x:row>
    <x:row r="118"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</x:row>
    <x:row r="119"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</x:row>
    <x:row r="120"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</x:row>
    <x:row r="121"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</x:row>
    <x:row r="122"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</x:row>
    <x:row r="123"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</x:row>
    <x:row r="124"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</x:row>
    <x:row r="125"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</x:row>
    <x:row r="126"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</x:row>
    <x:row r="127"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theme="0" tint="-0.49998"/>
  </x:sheetPr>
  <x:sheetFormatPr defaultRowHeight="16.5"/>
  <x:sheetData>
    <x:row r="1">
      <x:c r="A1" t="s">
        <x:v>116</x:v>
      </x:c>
      <x:c r="B1" t="s">
        <x:v>117</x:v>
      </x:c>
    </x:row>
    <x:row r="2">
      <x:c r="A2" t="s">
        <x:v>118</x:v>
      </x:c>
      <x:c r="B2" t="s">
        <x:v>97</x:v>
      </x:c>
    </x:row>
    <x:row r="3">
      <x:c r="A3" t="s">
        <x:v>98</x:v>
      </x:c>
      <x:c r="B3" t="s">
        <x:v>43</x:v>
      </x:c>
    </x:row>
    <x:row r="4">
      <x:c r="A4" t="s">
        <x:v>96</x:v>
      </x:c>
      <x:c r="B4" t="s">
        <x:v>109</x:v>
      </x:c>
    </x:row>
    <x:row r="5">
      <x:c r="A5" t="s">
        <x:v>106</x:v>
      </x:c>
    </x:row>
    <x:row r="6">
      <x:c r="A6" t="s">
        <x:v>102</x:v>
      </x:c>
    </x:row>
    <x:row r="7">
      <x:c r="A7" t="s">
        <x:v>111</x:v>
      </x:c>
    </x:row>
    <x:row r="8">
      <x:c r="A8" t="s">
        <x:v>107</x:v>
      </x:c>
    </x:row>
    <x:row r="9">
      <x:c r="A9" t="s">
        <x:v>100</x:v>
      </x:c>
    </x:row>
    <x:row r="10">
      <x:c r="A10" t="s">
        <x:v>104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6.5"/>
  <x:cols>
    <x:col min="2" max="2" width="64" hidden="0" customWidth="1"/>
  </x:cols>
  <x:sheetData>
    <x:row r="2">
      <x:c r="B2" t="inlineStr">
        <x:is>
          <x:t xml:space="preserve">변수명</x:t>
        </x:is>
      </x:c>
      <x:c r="C2" t="inlineStr">
        <x:is>
          <x:t xml:space="preserve">변수 타입</x:t>
        </x:is>
      </x:c>
      <x:c r="D2" t="inlineStr">
        <x:is>
          <x:t xml:space="preserve">값1</x:t>
        </x:is>
      </x:c>
      <x:c r="E2" t="inlineStr">
        <x:is>
          <x:t xml:space="preserve">값2</x:t>
        </x:is>
      </x:c>
      <x:c r="F2" t="inlineStr">
        <x:is>
          <x:t xml:space="preserve">값3</x:t>
        </x:is>
      </x:c>
    </x:row>
    <x:row r="3">
      <x:c r="B3" t="inlineStr">
        <x:is>
          <x:t xml:space="preserve">playerSpeed</x:t>
        </x:is>
      </x:c>
      <x:c r="C3" t="inlineStr">
        <x:is>
          <x:t xml:space="preserve">float</x:t>
        </x:is>
      </x:c>
      <x:c r="D3">
        <x:v>8</x:v>
      </x:c>
    </x:row>
    <x:row r="4">
      <x:c r="B4" t="inlineStr">
        <x:is>
          <x:t xml:space="preserve">playerDefaultAtt</x:t>
        </x:is>
      </x:c>
      <x:c r="C4" t="inlineStr">
        <x:is>
          <x:t xml:space="preserve">float</x:t>
        </x:is>
      </x:c>
      <x:c r="D4" t="n">
        <x:v>8</x:v>
      </x:c>
    </x:row>
    <x:row r="5">
      <x:c r="B5" t="inlineStr">
        <x:is>
          <x:t xml:space="preserve">playerDefaultHp</x:t>
        </x:is>
      </x:c>
      <x:c r="C5" t="inlineStr">
        <x:is>
          <x:t xml:space="preserve">float</x:t>
        </x:is>
      </x:c>
      <x:c r="D5" t="n">
        <x:v>60</x:v>
      </x:c>
    </x:row>
    <x:row r="6">
      <x:c r="B6" t="inlineStr">
        <x:is>
          <x:t xml:space="preserve">misspleSpeed</x:t>
        </x:is>
      </x:c>
      <x:c r="C6" t="inlineStr">
        <x:is>
          <x:t xml:space="preserve">float</x:t>
        </x:is>
      </x:c>
      <x:c r="D6">
        <x:v>32</x:v>
      </x:c>
    </x:row>
    <x:row r="7">
      <x:c r="B7" t="inlineStr">
        <x:is>
          <x:t xml:space="preserve">missileDuration</x:t>
        </x:is>
      </x:c>
      <x:c r="C7" t="inlineStr">
        <x:is>
          <x:t xml:space="preserve">float</x:t>
        </x:is>
      </x:c>
      <x:c r="D7">
        <x:v>1.25</x:v>
      </x:c>
      <x:c r="G7" t="n">
        <x:f>D6*D7</x:f>
        <x:v>40</x:v>
      </x:c>
    </x:row>
    <x:row r="8">
      <x:c r="B8" t="str">
        <x:v>playerDefaultFireRate</x:v>
      </x:c>
      <x:c r="C8" t="str">
        <x:v>float</x:v>
      </x:c>
      <x:c r="D8" t="n">
        <x:v>1.6</x:v>
      </x:c>
    </x:row>
    <x:row r="9">
      <x:c r="B9" t="str">
        <x:v>playerDefaultMissileCount</x:v>
      </x:c>
      <x:c r="C9" t="str">
        <x:v>float</x:v>
      </x:c>
      <x:c r="D9" t="n">
        <x:v>1</x:v>
      </x:c>
    </x:row>
    <x:row r="10">
      <x:c r="B10" t="str">
        <x:v>playerSpeed_Noryangjin_MapTool_Mode_SR18</x:v>
      </x:c>
      <x:c r="C10" t="str">
        <x:v>float</x:v>
      </x:c>
      <x:c r="D10" t="n">
        <x:f>'밸런스 조정'!C59</x:f>
        <x:v>8.84</x:v>
      </x:c>
      <x:c r="E10"/>
      <x:c r="F10"/>
      <x:c r="G10"/>
    </x:row>
    <x:row r="11">
      <x:c r="B11" t="str">
        <x:v>playerSpeed_HighWay</x:v>
      </x:c>
      <x:c r="C11" t="str">
        <x:v>float</x:v>
      </x:c>
      <x:c r="D11" t="n">
        <x:f>'밸런스 조정'!C60</x:f>
        <x:v>7.8</x:v>
      </x:c>
      <x:c r="E11"/>
      <x:c r="F11"/>
      <x:c r="G11"/>
    </x:row>
    <x:row r="12">
      <x:c r="B12" t="str">
        <x:v>playerSpeed_RestStop</x:v>
      </x:c>
      <x:c r="C12" t="str">
        <x:v>float</x:v>
      </x:c>
      <x:c r="D12" t="n">
        <x:f>'밸런스 조정'!C88</x:f>
        <x:v>7.8</x:v>
      </x:c>
      <x:c r="E12"/>
      <x:c r="F12"/>
    </x:row>
    <x:row r="13">
      <x:c r="B13" t="str">
        <x:v>progressRewardInterval</x:v>
      </x:c>
      <x:c r="C13" t="str">
        <x:v>float</x:v>
      </x:c>
      <x:c r="D13" t="n">
        <x:f>'밸런스 조정'!C95</x:f>
        <x:v>15</x:v>
      </x:c>
      <x:c r="E13"/>
      <x:c r="F13"/>
    </x:row>
    <x:row r="14">
      <x:c r="B14" t="str">
        <x:v>progressCoinPerCheckpoint_HighWay</x:v>
      </x:c>
      <x:c r="C14" t="str">
        <x:v>float</x:v>
      </x:c>
      <x:c r="D14" t="n">
        <x:f>'밸런스 조정'!C96</x:f>
        <x:v>150</x:v>
      </x:c>
      <x:c r="E14"/>
      <x:c r="F14"/>
    </x:row>
    <x:row r="15">
      <x:c r="B15" t="str">
        <x:v>progressCoinPerCheckpoint_RestStop</x:v>
      </x:c>
      <x:c r="C15" t="str">
        <x:v>float</x:v>
      </x:c>
      <x:c r="D15" t="n">
        <x:f>'밸런스 조정'!C97</x:f>
        <x:v>300</x:v>
      </x:c>
      <x:c r="E15"/>
      <x:c r="F15"/>
    </x:row>
    <x:row r="16">
      <x:c r="B16" t="str">
        <x:v>progressRewardMaximum</x:v>
      </x:c>
      <x:c r="C16" t="str">
        <x:v>float</x:v>
      </x:c>
      <x:c r="D16" t="n">
        <x:f>'밸런스 조정'!C98</x:f>
        <x:v>20</x:v>
      </x:c>
      <x:c r="E16"/>
      <x:c r="F16"/>
    </x:row>
    <x:row r="17">
      <x:c r="B17" t="str">
        <x:v>progressCoinPerCheckpoint_Noryangjin_MapTool_Mode_SR18</x:v>
      </x:c>
      <x:c r="C17" t="str">
        <x:v>float</x:v>
      </x:c>
      <x:c r="D17" t="n">
        <x:f>'밸런스 조정'!C99</x:f>
        <x:v>0</x:v>
      </x:c>
      <x:c r="E17"/>
      <x:c r="F17"/>
    </x:row>
    <x:row r="18">
      <x:c r="B18" t="str">
        <x:v>firstClearJewels_Noryangjin_MapTool_Mode_SR18</x:v>
      </x:c>
      <x:c r="C18" t="str">
        <x:v>float</x:v>
      </x:c>
      <x:c r="D18" t="n">
        <x:f>'밸런스 조정'!C100</x:f>
        <x:v>20</x:v>
      </x:c>
      <x:c r="E18"/>
      <x:c r="F18"/>
    </x:row>
    <x:row r="19">
      <x:c r="B19" t="str">
        <x:v>replayClearJewels_Noryangjin_MapTool_Mode_SR18</x:v>
      </x:c>
      <x:c r="C19" t="str">
        <x:v>float</x:v>
      </x:c>
      <x:c r="D19" t="n">
        <x:f>'밸런스 조정'!C101</x:f>
        <x:v>5</x:v>
      </x:c>
      <x:c r="E19"/>
      <x:c r="F19"/>
    </x:row>
    <x:row r="20">
      <x:c r="B20" t="str">
        <x:v>firstClearJewels_HighWay</x:v>
      </x:c>
      <x:c r="C20" t="str">
        <x:v>float</x:v>
      </x:c>
      <x:c r="D20" t="n">
        <x:f>'밸런스 조정'!C102</x:f>
        <x:v>25</x:v>
      </x:c>
      <x:c r="E20"/>
      <x:c r="F20"/>
    </x:row>
    <x:row r="21">
      <x:c r="B21" t="str">
        <x:v>replayClearJewels_HighWay</x:v>
      </x:c>
      <x:c r="C21" t="str">
        <x:v>float</x:v>
      </x:c>
      <x:c r="D21" t="n">
        <x:f>'밸런스 조정'!C103</x:f>
        <x:v>5</x:v>
      </x:c>
      <x:c r="E21"/>
      <x:c r="F21"/>
    </x:row>
    <x:row r="22">
      <x:c r="B22" t="str">
        <x:v>firstClearJewels_RestStop</x:v>
      </x:c>
      <x:c r="C22" t="str">
        <x:v>float</x:v>
      </x:c>
      <x:c r="D22" t="n">
        <x:f>'밸런스 조정'!C104</x:f>
        <x:v>30</x:v>
      </x:c>
      <x:c r="E22"/>
      <x:c r="F22"/>
    </x:row>
    <x:row r="23">
      <x:c r="B23" t="str">
        <x:v>replayClearJewels_RestStop</x:v>
      </x:c>
      <x:c r="C23" t="str">
        <x:v>float</x:v>
      </x:c>
      <x:c r="D23" t="n">
        <x:f>'밸런스 조정'!C105</x:f>
        <x:v>5</x:v>
      </x:c>
      <x:c r="E23"/>
      <x:c r="F23"/>
    </x:row>
    <x:row r="24">
      <x:c r="B24" t="str">
        <x:v>coinPickupRadius_HighWay</x:v>
      </x:c>
      <x:c r="C24" t="str">
        <x:v>float</x:v>
      </x:c>
      <x:c r="D24" t="n">
        <x:v>3.5</x:v>
      </x:c>
      <x:c r="E24"/>
      <x:c r="F24"/>
    </x:row>
    <x:row r="25">
      <x:c r="B25" t="str">
        <x:v>coinPickupRadius_RestStop</x:v>
      </x:c>
      <x:c r="C25" t="str">
        <x:v>float</x:v>
      </x:c>
      <x:c r="D25" t="n">
        <x:v>3.5</x:v>
      </x:c>
      <x:c r="E25"/>
      <x:c r="F25"/>
    </x:row>
    <x:row r="26">
      <x:c r="B26" t="str">
        <x:v>highwayOncomingWarning</x:v>
      </x:c>
      <x:c r="C26" t="str">
        <x:v>float</x:v>
      </x:c>
      <x:c r="D26" t="n">
        <x:f>'밸런스 조정'!C110</x:f>
        <x:v>2.2</x:v>
      </x:c>
    </x:row>
    <x:row r="27">
      <x:c r="B27" t="str">
        <x:v>highwayOncomingSpeed</x:v>
      </x:c>
      <x:c r="C27" t="str">
        <x:v>float</x:v>
      </x:c>
      <x:c r="D27" t="n">
        <x:f>'밸런스 조정'!C111</x:f>
        <x:v>16</x:v>
      </x:c>
    </x:row>
    <x:row r="28">
      <x:c r="B28" t="str">
        <x:v>highwayOncomingDamage</x:v>
      </x:c>
      <x:c r="C28" t="str">
        <x:v>float</x:v>
      </x:c>
      <x:c r="D28" t="n">
        <x:f>'밸런스 조정'!C112</x:f>
        <x:v>220</x:v>
      </x:c>
    </x:row>
    <x:row r="29">
      <x:c r="B29" t="str">
        <x:v>highwayBypassHeal</x:v>
      </x:c>
      <x:c r="C29" t="str">
        <x:v>float</x:v>
      </x:c>
      <x:c r="D29" t="n">
        <x:f>'밸런스 조정'!C113</x:f>
        <x:v>0.1</x:v>
      </x:c>
    </x:row>
    <x:row r="30">
      <x:c r="B30" t="str">
        <x:v>reststopHoldoutSeconds</x:v>
      </x:c>
      <x:c r="C30" t="str">
        <x:v>float</x:v>
      </x:c>
      <x:c r="D30" t="n">
        <x:f>'밸런스 조정'!C114</x:f>
        <x:v>30</x:v>
      </x:c>
    </x:row>
    <x:row r="31">
      <x:c r="B31" t="str">
        <x:v>reststopPoliceHealth</x:v>
      </x:c>
      <x:c r="C31" t="str">
        <x:v>float</x:v>
      </x:c>
      <x:c r="D31" t="n">
        <x:f>'밸런스 조정'!C115</x:f>
        <x:v>700</x:v>
      </x:c>
    </x:row>
    <x:row r="32">
      <x:c r="B32" t="str">
        <x:v>reststopPoliceSpeed</x:v>
      </x:c>
      <x:c r="C32" t="str">
        <x:v>float</x:v>
      </x:c>
      <x:c r="D32" t="n">
        <x:f>'밸런스 조정'!C116</x:f>
        <x:v>3.8</x:v>
      </x:c>
    </x:row>
    <x:row r="33">
      <x:c r="B33" t="str">
        <x:v>reststopPoliceInterval</x:v>
      </x:c>
      <x:c r="C33" t="str">
        <x:v>float</x:v>
      </x:c>
      <x:c r="D33" t="n">
        <x:f>'밸런스 조정'!C117</x:f>
        <x:v>1.05</x:v>
      </x:c>
    </x:row>
    <x:row r="34">
      <x:c r="B34" t="str">
        <x:v>reststopHoldoutHeal</x:v>
      </x:c>
      <x:c r="C34" t="str">
        <x:v>float</x:v>
      </x:c>
      <x:c r="D34" t="n">
        <x:f>'밸런스 조정'!C118</x:f>
        <x:v>0.12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6.5"/>
  <x:cols>
    <x:col min="2" max="2" width="8" customWidth="1"/>
    <x:col min="3" max="3" width="12" customWidth="1"/>
    <x:col min="4" max="7" width="16" customWidth="1"/>
    <x:col min="8" max="8" width="28" customWidth="1"/>
    <x:col min="11" max="11" width="7.75" customWidth="1"/>
    <x:col min="12" max="13" width="11.625" customWidth="1"/>
  </x:cols>
  <x:sheetData>
    <x:row r="2" ht="24" customHeight="1">
      <x:c r="B2" s="13" t="s">
        <x:v>78</x:v>
      </x:c>
      <x:c r="C2" s="13" t="s">
        <x:v>80</x:v>
      </x:c>
      <x:c r="D2" s="13" t="s">
        <x:v>119</x:v>
      </x:c>
      <x:c r="E2" s="13" t="s">
        <x:v>120</x:v>
      </x:c>
      <x:c r="F2" s="13" t="s">
        <x:v>121</x:v>
      </x:c>
      <x:c r="G2" s="13" t="s">
        <x:v>122</x:v>
      </x:c>
      <x:c r="H2" s="13" t="s">
        <x:v>123</x:v>
      </x:c>
    </x:row>
    <x:row r="3" ht="20.100000381469727" customHeight="1">
      <x:c r="B3" s="14">
        <x:v>1</x:v>
      </x:c>
      <x:c r="C3" s="14" t="s">
        <x:v>43</x:v>
      </x:c>
      <x:c r="D3" s="16" t="n">
        <x:f>VLOOKUP($C3,$K$5:$O$7,2,FALSE)*$H3</x:f>
        <x:v>33</x:v>
      </x:c>
      <x:c r="E3" s="16" t="n">
        <x:f>VLOOKUP($C3,$K$5:$O$7,3,FALSE)*$H3</x:f>
        <x:v>330</x:v>
      </x:c>
      <x:c r="F3" s="16" t="n">
        <x:f>VLOOKUP($C3,$K$5:$O$7,4,FALSE)*$H3</x:f>
        <x:v>55</x:v>
      </x:c>
      <x:c r="G3" s="16" t="n">
        <x:f>VLOOKUP($C3,$K$5:$O$7,5,FALSE)*$H3</x:f>
        <x:v>550</x:v>
      </x:c>
      <x:c r="H3" s="16">
        <x:v>1</x:v>
      </x:c>
    </x:row>
    <x:row r="4" ht="20.100000381469727" customHeight="1">
      <x:c r="B4" s="14">
        <x:v>1</x:v>
      </x:c>
      <x:c r="C4" s="14" t="s">
        <x:v>81</x:v>
      </x:c>
      <x:c r="D4" s="16" t="n">
        <x:f t="shared" ref="D4:D17" si="0">VLOOKUP($C4,$K$5:$O$7,2,FALSE)*$H4</x:f>
        <x:v>55</x:v>
      </x:c>
      <x:c r="E4" s="16" t="n">
        <x:f t="shared" ref="E4:E17" si="1">VLOOKUP($C4,$K$5:$O$7,3,FALSE)*$H4</x:f>
        <x:v>550</x:v>
      </x:c>
      <x:c r="F4" s="16" t="n">
        <x:f t="shared" ref="F4:F17" si="2">VLOOKUP($C4,$K$5:$O$7,4,FALSE)*$H4</x:f>
        <x:v>110</x:v>
      </x:c>
      <x:c r="G4" s="16" t="n">
        <x:f t="shared" ref="G4:G17" si="3">VLOOKUP($C4,$K$5:$O$7,5,FALSE)*$H4</x:f>
        <x:v>1100</x:v>
      </x:c>
      <x:c r="H4" s="16">
        <x:v>1</x:v>
      </x:c>
      <x:c r="K4" s="15" t="s">
        <x:v>124</x:v>
      </x:c>
      <x:c r="L4" s="15" t="s">
        <x:v>119</x:v>
      </x:c>
      <x:c r="M4" s="15" t="s">
        <x:v>120</x:v>
      </x:c>
      <x:c r="N4" s="15" t="s">
        <x:v>121</x:v>
      </x:c>
      <x:c r="O4" s="15" t="s">
        <x:v>122</x:v>
      </x:c>
    </x:row>
    <x:row r="5" ht="20.100000381469727" customHeight="1">
      <x:c r="B5" s="14">
        <x:v>1</x:v>
      </x:c>
      <x:c r="C5" s="14" t="s">
        <x:v>82</x:v>
      </x:c>
      <x:c r="D5" s="16">
        <x:f t="shared" si="0"/>
        <x:v>165</x:v>
      </x:c>
      <x:c r="E5" s="16">
        <x:f t="shared" si="1"/>
        <x:v>1650</x:v>
      </x:c>
      <x:c r="F5" s="16">
        <x:f t="shared" si="2"/>
        <x:v>190</x:v>
      </x:c>
      <x:c r="G5" s="16">
        <x:f t="shared" si="3"/>
        <x:v>1870</x:v>
      </x:c>
      <x:c r="H5" s="16">
        <x:v>1</x:v>
      </x:c>
      <x:c r="K5" s="14" t="s">
        <x:v>43</x:v>
      </x:c>
      <x:c r="L5" s="16">
        <x:v>33</x:v>
      </x:c>
      <x:c r="M5" s="16">
        <x:v>330</x:v>
      </x:c>
      <x:c r="N5" s="16">
        <x:v>55</x:v>
      </x:c>
      <x:c r="O5" s="16">
        <x:v>550</x:v>
      </x:c>
    </x:row>
    <x:row r="6">
      <x:c r="B6" s="14">
        <x:v>2</x:v>
      </x:c>
      <x:c r="C6" s="14" t="s">
        <x:v>43</x:v>
      </x:c>
      <x:c r="D6" s="16">
        <x:f t="shared" si="0"/>
        <x:v>66</x:v>
      </x:c>
      <x:c r="E6" s="16">
        <x:f t="shared" si="1"/>
        <x:v>660</x:v>
      </x:c>
      <x:c r="F6" s="16">
        <x:f t="shared" si="2"/>
        <x:v>110</x:v>
      </x:c>
      <x:c r="G6" s="16">
        <x:f t="shared" si="3"/>
        <x:v>1100</x:v>
      </x:c>
      <x:c r="H6" s="16">
        <x:v>2</x:v>
      </x:c>
      <x:c r="K6" s="14" t="s">
        <x:v>81</x:v>
      </x:c>
      <x:c r="L6" s="16">
        <x:v>55</x:v>
      </x:c>
      <x:c r="M6" s="16">
        <x:v>550</x:v>
      </x:c>
      <x:c r="N6" s="16">
        <x:v>110</x:v>
      </x:c>
      <x:c r="O6" s="16">
        <x:v>1100</x:v>
      </x:c>
    </x:row>
    <x:row r="7">
      <x:c r="B7" s="14">
        <x:v>2</x:v>
      </x:c>
      <x:c r="C7" s="14" t="s">
        <x:v>81</x:v>
      </x:c>
      <x:c r="D7" s="16">
        <x:f t="shared" si="0"/>
        <x:v>110</x:v>
      </x:c>
      <x:c r="E7" s="16">
        <x:f t="shared" si="1"/>
        <x:v>1100</x:v>
      </x:c>
      <x:c r="F7" s="16">
        <x:f t="shared" si="2"/>
        <x:v>220</x:v>
      </x:c>
      <x:c r="G7" s="16">
        <x:f t="shared" si="3"/>
        <x:v>2200</x:v>
      </x:c>
      <x:c r="H7" s="16">
        <x:v>2</x:v>
      </x:c>
      <x:c r="K7" s="14" t="s">
        <x:v>82</x:v>
      </x:c>
      <x:c r="L7" s="16">
        <x:v>165</x:v>
      </x:c>
      <x:c r="M7" s="16">
        <x:v>1650</x:v>
      </x:c>
      <x:c r="N7" s="16">
        <x:v>190</x:v>
      </x:c>
      <x:c r="O7" s="16">
        <x:v>1870</x:v>
      </x:c>
    </x:row>
    <x:row r="8">
      <x:c r="B8" s="14">
        <x:v>2</x:v>
      </x:c>
      <x:c r="C8" s="14" t="s">
        <x:v>82</x:v>
      </x:c>
      <x:c r="D8" s="16">
        <x:f t="shared" si="0"/>
        <x:v>330</x:v>
      </x:c>
      <x:c r="E8" s="16">
        <x:f t="shared" si="1"/>
        <x:v>3300</x:v>
      </x:c>
      <x:c r="F8" s="16">
        <x:f t="shared" si="2"/>
        <x:v>380</x:v>
      </x:c>
      <x:c r="G8" s="16">
        <x:f t="shared" si="3"/>
        <x:v>3740</x:v>
      </x:c>
      <x:c r="H8" s="16">
        <x:v>2</x:v>
      </x:c>
    </x:row>
    <x:row r="9">
      <x:c r="B9" s="14">
        <x:v>3</x:v>
      </x:c>
      <x:c r="C9" s="14" t="s">
        <x:v>43</x:v>
      </x:c>
      <x:c r="D9" s="16">
        <x:f t="shared" si="0"/>
        <x:v>99</x:v>
      </x:c>
      <x:c r="E9" s="16">
        <x:f t="shared" si="1"/>
        <x:v>990</x:v>
      </x:c>
      <x:c r="F9" s="16">
        <x:f t="shared" si="2"/>
        <x:v>165</x:v>
      </x:c>
      <x:c r="G9" s="16">
        <x:f t="shared" si="3"/>
        <x:v>1650</x:v>
      </x:c>
      <x:c r="H9" s="16">
        <x:v>3</x:v>
      </x:c>
    </x:row>
    <x:row r="10">
      <x:c r="B10" s="14">
        <x:v>3</x:v>
      </x:c>
      <x:c r="C10" s="14" t="s">
        <x:v>81</x:v>
      </x:c>
      <x:c r="D10" s="16">
        <x:f t="shared" si="0"/>
        <x:v>165</x:v>
      </x:c>
      <x:c r="E10" s="16">
        <x:f t="shared" si="1"/>
        <x:v>1650</x:v>
      </x:c>
      <x:c r="F10" s="16">
        <x:f t="shared" si="2"/>
        <x:v>330</x:v>
      </x:c>
      <x:c r="G10" s="16">
        <x:f t="shared" si="3"/>
        <x:v>3300</x:v>
      </x:c>
      <x:c r="H10" s="16">
        <x:v>3</x:v>
      </x:c>
    </x:row>
    <x:row r="11">
      <x:c r="B11" s="14">
        <x:v>3</x:v>
      </x:c>
      <x:c r="C11" s="14" t="s">
        <x:v>82</x:v>
      </x:c>
      <x:c r="D11" s="16">
        <x:f t="shared" si="0"/>
        <x:v>495</x:v>
      </x:c>
      <x:c r="E11" s="16">
        <x:f t="shared" si="1"/>
        <x:v>4950</x:v>
      </x:c>
      <x:c r="F11" s="16">
        <x:f t="shared" si="2"/>
        <x:v>570</x:v>
      </x:c>
      <x:c r="G11" s="16">
        <x:f t="shared" si="3"/>
        <x:v>5610</x:v>
      </x:c>
      <x:c r="H11" s="16">
        <x:v>3</x:v>
      </x:c>
    </x:row>
    <x:row r="12">
      <x:c r="B12" s="14">
        <x:v>4</x:v>
      </x:c>
      <x:c r="C12" s="14" t="s">
        <x:v>43</x:v>
      </x:c>
      <x:c r="D12" s="16">
        <x:f t="shared" si="0"/>
        <x:v>132</x:v>
      </x:c>
      <x:c r="E12" s="16">
        <x:f t="shared" si="1"/>
        <x:v>1320</x:v>
      </x:c>
      <x:c r="F12" s="16">
        <x:f t="shared" si="2"/>
        <x:v>220</x:v>
      </x:c>
      <x:c r="G12" s="16">
        <x:f t="shared" si="3"/>
        <x:v>2200</x:v>
      </x:c>
      <x:c r="H12" s="16">
        <x:v>4</x:v>
      </x:c>
    </x:row>
    <x:row r="13">
      <x:c r="B13" s="14">
        <x:v>4</x:v>
      </x:c>
      <x:c r="C13" s="14" t="s">
        <x:v>81</x:v>
      </x:c>
      <x:c r="D13" s="16">
        <x:f t="shared" si="0"/>
        <x:v>220</x:v>
      </x:c>
      <x:c r="E13" s="16">
        <x:f t="shared" si="1"/>
        <x:v>2200</x:v>
      </x:c>
      <x:c r="F13" s="16">
        <x:f t="shared" si="2"/>
        <x:v>440</x:v>
      </x:c>
      <x:c r="G13" s="16">
        <x:f t="shared" si="3"/>
        <x:v>4400</x:v>
      </x:c>
      <x:c r="H13" s="16">
        <x:v>4</x:v>
      </x:c>
    </x:row>
    <x:row r="14">
      <x:c r="B14" s="14">
        <x:v>4</x:v>
      </x:c>
      <x:c r="C14" s="14" t="s">
        <x:v>82</x:v>
      </x:c>
      <x:c r="D14" s="16">
        <x:f t="shared" si="0"/>
        <x:v>660</x:v>
      </x:c>
      <x:c r="E14" s="16">
        <x:f t="shared" si="1"/>
        <x:v>6600</x:v>
      </x:c>
      <x:c r="F14" s="16">
        <x:f t="shared" si="2"/>
        <x:v>760</x:v>
      </x:c>
      <x:c r="G14" s="16">
        <x:f t="shared" si="3"/>
        <x:v>7480</x:v>
      </x:c>
      <x:c r="H14" s="16">
        <x:v>4</x:v>
      </x:c>
    </x:row>
    <x:row r="15">
      <x:c r="B15" s="14">
        <x:v>5</x:v>
      </x:c>
      <x:c r="C15" s="14" t="s">
        <x:v>43</x:v>
      </x:c>
      <x:c r="D15" s="16">
        <x:f t="shared" si="0"/>
        <x:v>165</x:v>
      </x:c>
      <x:c r="E15" s="16">
        <x:f t="shared" si="1"/>
        <x:v>1650</x:v>
      </x:c>
      <x:c r="F15" s="16">
        <x:f t="shared" si="2"/>
        <x:v>275</x:v>
      </x:c>
      <x:c r="G15" s="16">
        <x:f t="shared" si="3"/>
        <x:v>2750</x:v>
      </x:c>
      <x:c r="H15" s="16">
        <x:v>5</x:v>
      </x:c>
    </x:row>
    <x:row r="16">
      <x:c r="B16" s="14">
        <x:v>5</x:v>
      </x:c>
      <x:c r="C16" s="14" t="s">
        <x:v>81</x:v>
      </x:c>
      <x:c r="D16" s="16">
        <x:f t="shared" si="0"/>
        <x:v>275</x:v>
      </x:c>
      <x:c r="E16" s="16">
        <x:f t="shared" si="1"/>
        <x:v>2750</x:v>
      </x:c>
      <x:c r="F16" s="16">
        <x:f t="shared" si="2"/>
        <x:v>550</x:v>
      </x:c>
      <x:c r="G16" s="16">
        <x:f t="shared" si="3"/>
        <x:v>5500</x:v>
      </x:c>
      <x:c r="H16" s="16">
        <x:v>5</x:v>
      </x:c>
    </x:row>
    <x:row r="17">
      <x:c r="B17" s="14">
        <x:v>5</x:v>
      </x:c>
      <x:c r="C17" s="14" t="s">
        <x:v>82</x:v>
      </x:c>
      <x:c r="D17" s="16">
        <x:f t="shared" si="0"/>
        <x:v>825</x:v>
      </x:c>
      <x:c r="E17" s="16">
        <x:f t="shared" si="1"/>
        <x:v>8250</x:v>
      </x:c>
      <x:c r="F17" s="16">
        <x:f t="shared" si="2"/>
        <x:v>950</x:v>
      </x:c>
      <x:c r="G17" s="16">
        <x:f t="shared" si="3"/>
        <x:v>9350</x:v>
      </x:c>
      <x:c r="H17" s="16">
        <x:v>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55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B1" s="18" t="str">
        <x:v>보너스 선택25 : 적50 : 기믹25. 공격력·체력·드롭·코인보상은 이 표가 최종 기준입니다.</x:v>
      </x:c>
      <x:c r="C1" s="18"/>
      <x:c r="D1" s="18"/>
      <x:c r="E1" s="18"/>
      <x:c r="F1" s="18"/>
      <x:c r="G1" s="18"/>
      <x:c r="H1" s="18"/>
      <x:c r="I1" s="18"/>
      <x:c r="J1" s="18"/>
      <x:c r="K1" s="18"/>
      <x:c r="L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이벤트</x:v>
      </x:c>
      <x:c r="G2" s="20" t="str">
        <x:v>이동속도</x:v>
      </x:c>
      <x:c r="H2" s="20" t="str">
        <x:v>이동거리</x:v>
      </x:c>
      <x:c r="I2" s="20" t="str">
        <x:v>발동앞거리</x:v>
      </x:c>
      <x:c r="J2" s="20" t="str">
        <x:v>발사준비초</x:v>
      </x:c>
      <x:c r="K2" s="20" t="str">
        <x:v>투사체속도</x:v>
      </x:c>
      <x:c r="L2" s="20" t="str">
        <x:v>설명</x:v>
      </x:c>
      <x:c r="M2" s="27" t="str">
        <x:v>타입</x:v>
      </x:c>
      <x:c r="N2" s="27" t="str">
        <x:v>공격력</x:v>
      </x:c>
      <x:c r="O2" s="27" t="str">
        <x:v>체력</x:v>
      </x:c>
      <x:c r="P2" s="27" t="str">
        <x:v>체력증가율</x:v>
      </x:c>
      <x:c r="Q2" s="27" t="str">
        <x:v>보너스드롭</x:v>
      </x:c>
      <x:c r="R2" s="27" t="str">
        <x:v>코인보상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SR18_L_E01_T005_Enemy_OldMan</x:v>
      </x:c>
      <x:c r="E3" s="23" t="n">
        <x:v>1</x:v>
      </x:c>
      <x:c r="F3" s="24" t="str">
        <x:v>이동 후 공격</x:v>
      </x:c>
      <x:c r="G3" s="24" t="n">
        <x:v>1.8</x:v>
      </x:c>
      <x:c r="H3" s="24" t="n">
        <x:v>2</x:v>
      </x:c>
      <x:c r="I3" s="24" t="n">
        <x:v>12</x:v>
      </x:c>
      <x:c r="J3" s="24" t="n">
        <x:v>2</x:v>
      </x:c>
      <x:c r="K3" s="24" t="n">
        <x:v>12</x:v>
      </x:c>
      <x:c r="L3" s="21" t="str">
        <x:v>공격력·체력은 밸런스 조정 시트에서 계산.</x:v>
      </x:c>
      <x:c r="M3" s="29" t="str">
        <x:v>Normal</x:v>
      </x:c>
      <x:c r="N3" s="30" t="n">
        <x:f>'밸런스 조정'!$C$15</x:f>
        <x:v>8</x:v>
      </x:c>
      <x:c r="O3" s="30" t="n">
        <x:f>'밸런스 조정'!$C$16</x:f>
        <x:v>45</x:v>
      </x:c>
      <x:c r="P3" s="31" t="n">
        <x:v>0.1</x:v>
      </x:c>
      <x:c r="Q3" s="52" t="n">
        <x:f>'밸런스 조정'!$C$64</x:f>
        <x:v>0</x:v>
      </x:c>
      <x:c r="R3" s="52" t="n">
        <x:f>'밸런스 조정'!$C$65*IF(M3="Boss",5,IF(M3="Elite",2,1))</x:f>
        <x:v>10</x:v>
      </x:c>
    </x:row>
    <x:row r="4" ht="30" customHeight="1">
      <x:c r="B4" s="22" t="n">
        <x:v>2</x:v>
      </x:c>
      <x:c r="C4" s="18" t="str">
        <x:v>Noryangjin_MapTool_Mode_SR18</x:v>
      </x:c>
      <x:c r="D4" s="18" t="str">
        <x:v>SR18_L_E01_T005_Enemy_OldMan_Right</x:v>
      </x:c>
      <x:c r="E4" s="23" t="n">
        <x:v>1</x:v>
      </x:c>
      <x:c r="F4" s="24" t="str">
        <x:v>공격 한 번</x:v>
      </x:c>
      <x:c r="G4" s="24" t="n">
        <x:v>2</x:v>
      </x:c>
      <x:c r="H4" s="24" t="n">
        <x:v>0</x:v>
      </x:c>
      <x:c r="I4" s="24" t="n">
        <x:v>5</x:v>
      </x:c>
      <x:c r="J4" s="24" t="n">
        <x:v>2</x:v>
      </x:c>
      <x:c r="K4" s="24" t="n">
        <x:v>12</x:v>
      </x:c>
      <x:c r="L4" s="21" t="str">
        <x:v>왼쪽 적보다 체력 15% 증가. 접근 시차를 두고 발동.</x:v>
      </x:c>
      <x:c r="M4" s="29" t="str">
        <x:v>Normal</x:v>
      </x:c>
      <x:c r="N4" s="30" t="n">
        <x:f>N3</x:f>
        <x:v>8</x:v>
      </x:c>
      <x:c r="O4" s="30" t="n">
        <x:f>ROUND(O3*(1+P4),0)</x:f>
        <x:v>52</x:v>
      </x:c>
      <x:c r="P4" s="31" t="n">
        <x:v>0.15</x:v>
      </x:c>
      <x:c r="Q4" s="52" t="n">
        <x:f>'밸런스 조정'!$C$64</x:f>
        <x:v>0</x:v>
      </x:c>
      <x:c r="R4" s="52" t="n">
        <x:f>'밸런스 조정'!$C$65*IF(M4="Boss",5,IF(M4="Elite",2,1))</x:f>
        <x:v>10</x:v>
      </x:c>
    </x:row>
    <x:row r="5" ht="30" customHeight="1">
      <x:c r="B5" s="22" t="n">
        <x:v>3</x:v>
      </x:c>
      <x:c r="C5" s="18" t="str">
        <x:v>Noryangjin_MapTool_Mode_SR18</x:v>
      </x:c>
      <x:c r="D5" s="18" t="str">
        <x:v>SR18_L_E02_T017_Enemy_OldMan</x:v>
      </x:c>
      <x:c r="E5" s="23" t="n">
        <x:v>1</x:v>
      </x:c>
      <x:c r="F5" s="24" t="str">
        <x:v>공격 반복</x:v>
      </x:c>
      <x:c r="G5" s="24" t="n">
        <x:v>2</x:v>
      </x:c>
      <x:c r="H5" s="24" t="n">
        <x:v>0</x:v>
      </x:c>
      <x:c r="I5" s="24" t="n">
        <x:v>8</x:v>
      </x:c>
      <x:c r="J5" s="24" t="n">
        <x:v>2</x:v>
      </x:c>
      <x:c r="K5" s="24" t="n">
        <x:v>12</x:v>
      </x:c>
      <x:c r="L5" s="21" t="str">
        <x:v>공격력·체력은 밸런스 조정 시트에서 계산.</x:v>
      </x:c>
      <x:c r="M5" s="29" t="str">
        <x:v>Normal</x:v>
      </x:c>
      <x:c r="N5" s="30" t="n">
        <x:f>ROUND(N3*(1+'밸런스 조정'!$C$17),0)</x:f>
        <x:v>8</x:v>
      </x:c>
      <x:c r="O5" s="30" t="n">
        <x:f>'밸런스 조정'!$C$23</x:f>
        <x:v>55</x:v>
      </x:c>
      <x:c r="P5" s="31" t="n">
        <x:v>0.1</x:v>
      </x:c>
      <x:c r="Q5" s="52" t="n">
        <x:f>'밸런스 조정'!$C$64</x:f>
        <x:v>0</x:v>
      </x:c>
      <x:c r="R5" s="52" t="n">
        <x:f>'밸런스 조정'!$C$65*IF(M5="Boss",5,IF(M5="Elite",2,1))</x:f>
        <x:v>10</x:v>
      </x:c>
    </x:row>
    <x:row r="6" ht="30" customHeight="1">
      <x:c r="B6" s="22" t="n">
        <x:v>4</x:v>
      </x:c>
      <x:c r="C6" s="18" t="str">
        <x:v>Noryangjin_MapTool_Mode_SR18</x:v>
      </x:c>
      <x:c r="D6" s="18" t="str">
        <x:v>SR18_L_E02_T017_Enemy_OldMan_Right</x:v>
      </x:c>
      <x:c r="E6" s="23" t="n">
        <x:v>1</x:v>
      </x:c>
      <x:c r="F6" s="24" t="str">
        <x:v>공격 반복</x:v>
      </x:c>
      <x:c r="G6" s="24" t="n">
        <x:v>2</x:v>
      </x:c>
      <x:c r="H6" s="24" t="n">
        <x:v>0</x:v>
      </x:c>
      <x:c r="I6" s="24" t="n">
        <x:v>5</x:v>
      </x:c>
      <x:c r="J6" s="24" t="n">
        <x:v>2</x:v>
      </x:c>
      <x:c r="K6" s="24" t="n">
        <x:v>12</x:v>
      </x:c>
      <x:c r="L6" s="21" t="str">
        <x:v>왼쪽 적보다 체력 15% 증가. 접근 시차를 두고 발동.</x:v>
      </x:c>
      <x:c r="M6" s="29" t="str">
        <x:v>Normal</x:v>
      </x:c>
      <x:c r="N6" s="30" t="n">
        <x:f>N5</x:f>
        <x:v>8</x:v>
      </x:c>
      <x:c r="O6" s="30" t="n">
        <x:f>ROUND(O5*(1+P6),0)</x:f>
        <x:v>63</x:v>
      </x:c>
      <x:c r="P6" s="31" t="n">
        <x:v>0.15</x:v>
      </x:c>
      <x:c r="Q6" s="52" t="n">
        <x:f>'밸런스 조정'!$C$64</x:f>
        <x:v>0</x:v>
      </x:c>
      <x:c r="R6" s="52" t="n">
        <x:f>'밸런스 조정'!$C$65*IF(M6="Boss",5,IF(M6="Elite",2,1))</x:f>
        <x:v>10</x:v>
      </x:c>
    </x:row>
    <x:row r="7" ht="30" customHeight="1">
      <x:c r="B7" s="22" t="n">
        <x:v>5</x:v>
      </x:c>
      <x:c r="C7" s="18" t="str">
        <x:v>Noryangjin_MapTool_Mode_SR18</x:v>
      </x:c>
      <x:c r="D7" s="18" t="str">
        <x:v>SR18_L_E03_T029_Enemy_YllowMan_Sword</x:v>
      </x:c>
      <x:c r="E7" s="23" t="n">
        <x:v>1</x:v>
      </x:c>
      <x:c r="F7" s="24" t="str">
        <x:v>왕복</x:v>
      </x:c>
      <x:c r="G7" s="24" t="n">
        <x:v>2.5</x:v>
      </x:c>
      <x:c r="H7" s="24" t="n">
        <x:v>8</x:v>
      </x:c>
      <x:c r="I7" s="24" t="n">
        <x:v>18</x:v>
      </x:c>
      <x:c r="J7" s="24" t="n">
        <x:v>2</x:v>
      </x:c>
      <x:c r="K7" s="24" t="n">
        <x:v>12</x:v>
      </x:c>
      <x:c r="L7" s="21" t="str">
        <x:v>공격력·체력은 밸런스 조정 시트에서 계산.</x:v>
      </x:c>
      <x:c r="M7" s="29" t="str">
        <x:v>Normal</x:v>
      </x:c>
      <x:c r="N7" s="30" t="n">
        <x:f>ROUND(N5*(1+'밸런스 조정'!$C$17),0)</x:f>
        <x:v>8</x:v>
      </x:c>
      <x:c r="O7" s="30" t="n">
        <x:f>'밸런스 조정'!$C$24</x:f>
        <x:v>130</x:v>
      </x:c>
      <x:c r="P7" s="31" t="n">
        <x:v>0.1</x:v>
      </x:c>
      <x:c r="Q7" s="52" t="n">
        <x:f>'밸런스 조정'!$C$64</x:f>
        <x:v>0</x:v>
      </x:c>
      <x:c r="R7" s="52" t="n">
        <x:f>'밸런스 조정'!$C$65*IF(M7="Boss",5,IF(M7="Elite",2,1))</x:f>
        <x:v>10</x:v>
      </x:c>
    </x:row>
    <x:row r="8" ht="30" customHeight="1">
      <x:c r="B8" s="22" t="n">
        <x:v>6</x:v>
      </x:c>
      <x:c r="C8" s="18" t="str">
        <x:v>Noryangjin_MapTool_Mode_SR18</x:v>
      </x:c>
      <x:c r="D8" s="18" t="str">
        <x:v>SR18_L_E03_T029_Enemy_YllowMan_Sword_Right</x:v>
      </x:c>
      <x:c r="E8" s="23" t="n">
        <x:v>1</x:v>
      </x:c>
      <x:c r="F8" s="24" t="str">
        <x:v>왕복</x:v>
      </x:c>
      <x:c r="G8" s="24" t="n">
        <x:v>2.5</x:v>
      </x:c>
      <x:c r="H8" s="24" t="n">
        <x:v>8</x:v>
      </x:c>
      <x:c r="I8" s="24" t="n">
        <x:v>14</x:v>
      </x:c>
      <x:c r="J8" s="24" t="n">
        <x:v>2</x:v>
      </x:c>
      <x:c r="K8" s="24" t="n">
        <x:v>12</x:v>
      </x:c>
      <x:c r="L8" s="21" t="str">
        <x:v>왼쪽 적보다 체력 15% 증가. 접근 시차를 두고 발동.</x:v>
      </x:c>
      <x:c r="M8" s="29" t="str">
        <x:v>Normal</x:v>
      </x:c>
      <x:c r="N8" s="30" t="n">
        <x:f>N7</x:f>
        <x:v>8</x:v>
      </x:c>
      <x:c r="O8" s="30" t="n">
        <x:f>ROUND(O7*(1+P8),0)</x:f>
        <x:v>150</x:v>
      </x:c>
      <x:c r="P8" s="31" t="n">
        <x:v>0.15</x:v>
      </x:c>
      <x:c r="Q8" s="52" t="n">
        <x:f>'밸런스 조정'!$C$64</x:f>
        <x:v>0</x:v>
      </x:c>
      <x:c r="R8" s="52" t="n">
        <x:f>'밸런스 조정'!$C$65*IF(M8="Boss",5,IF(M8="Elite",2,1))</x:f>
        <x:v>10</x:v>
      </x:c>
    </x:row>
    <x:row r="9" ht="30" customHeight="1">
      <x:c r="B9" s="22" t="n">
        <x:v>7</x:v>
      </x:c>
      <x:c r="C9" s="18" t="str">
        <x:v>Noryangjin_MapTool_Mode_SR18</x:v>
      </x:c>
      <x:c r="D9" s="18" t="str">
        <x:v>SR18_L_E04_T041_Enemy_OldMan</x:v>
      </x:c>
      <x:c r="E9" s="23" t="n">
        <x:v>1</x:v>
      </x:c>
      <x:c r="F9" s="24" t="str">
        <x:v>공격 반복</x:v>
      </x:c>
      <x:c r="G9" s="24" t="n">
        <x:v>2</x:v>
      </x:c>
      <x:c r="H9" s="24" t="n">
        <x:v>0</x:v>
      </x:c>
      <x:c r="I9" s="24" t="n">
        <x:v>8</x:v>
      </x:c>
      <x:c r="J9" s="24" t="n">
        <x:v>2</x:v>
      </x:c>
      <x:c r="K9" s="24" t="n">
        <x:v>12</x:v>
      </x:c>
      <x:c r="L9" s="21" t="str">
        <x:v>공격력·체력은 밸런스 조정 시트에서 계산.</x:v>
      </x:c>
      <x:c r="M9" s="29" t="str">
        <x:v>Normal</x:v>
      </x:c>
      <x:c r="N9" s="30" t="n">
        <x:f>ROUND(N7*(1+'밸런스 조정'!$C$17),0)</x:f>
        <x:v>8</x:v>
      </x:c>
      <x:c r="O9" s="30" t="n">
        <x:f>ROUND(O7*(1+P9),0)</x:f>
        <x:v>143</x:v>
      </x:c>
      <x:c r="P9" s="31" t="n">
        <x:v>0.1</x:v>
      </x:c>
      <x:c r="Q9" s="52" t="n">
        <x:f>'밸런스 조정'!$C$64</x:f>
        <x:v>0</x:v>
      </x:c>
      <x:c r="R9" s="52" t="n">
        <x:f>'밸런스 조정'!$C$65*IF(M9="Boss",5,IF(M9="Elite",2,1))</x:f>
        <x:v>10</x:v>
      </x:c>
    </x:row>
    <x:row r="10" ht="30" customHeight="1">
      <x:c r="B10" s="22" t="n">
        <x:v>8</x:v>
      </x:c>
      <x:c r="C10" s="18" t="str">
        <x:v>Noryangjin_MapTool_Mode_SR18</x:v>
      </x:c>
      <x:c r="D10" s="18" t="str">
        <x:v>SR18_L_E04_T041_Enemy_OldMan_Right</x:v>
      </x:c>
      <x:c r="E10" s="23" t="n">
        <x:v>1</x:v>
      </x:c>
      <x:c r="F10" s="24" t="str">
        <x:v>공격 반복</x:v>
      </x:c>
      <x:c r="G10" s="24" t="n">
        <x:v>2</x:v>
      </x:c>
      <x:c r="H10" s="24" t="n">
        <x:v>0</x:v>
      </x:c>
      <x:c r="I10" s="24" t="n">
        <x:v>5</x:v>
      </x:c>
      <x:c r="J10" s="24" t="n">
        <x:v>2</x:v>
      </x:c>
      <x:c r="K10" s="24" t="n">
        <x:v>12</x:v>
      </x:c>
      <x:c r="L10" s="21" t="str">
        <x:v>왼쪽 적보다 체력 15% 증가. 접근 시차를 두고 발동.</x:v>
      </x:c>
      <x:c r="M10" s="29" t="str">
        <x:v>Normal</x:v>
      </x:c>
      <x:c r="N10" s="30" t="n">
        <x:f>N9</x:f>
        <x:v>8</x:v>
      </x:c>
      <x:c r="O10" s="30" t="n">
        <x:f>ROUND(O9*(1+P10),0)</x:f>
        <x:v>164</x:v>
      </x:c>
      <x:c r="P10" s="31" t="n">
        <x:v>0.15</x:v>
      </x:c>
      <x:c r="Q10" s="52" t="n">
        <x:f>'밸런스 조정'!$C$64</x:f>
        <x:v>0</x:v>
      </x:c>
      <x:c r="R10" s="52" t="n">
        <x:f>'밸런스 조정'!$C$65*IF(M10="Boss",5,IF(M10="Elite",2,1))</x:f>
        <x:v>10</x:v>
      </x:c>
    </x:row>
    <x:row r="11" ht="30" customHeight="1">
      <x:c r="B11" s="22" t="n">
        <x:v>9</x:v>
      </x:c>
      <x:c r="C11" s="18" t="str">
        <x:v>Noryangjin_MapTool_Mode_SR18</x:v>
      </x:c>
      <x:c r="D11" s="18" t="str">
        <x:v>SR18_L_E05_T053_Enemy_Guard</x:v>
      </x:c>
      <x:c r="E11" s="23" t="n">
        <x:v>1</x:v>
      </x:c>
      <x:c r="F11" s="24" t="str">
        <x:v>전방 매복 사격</x:v>
      </x:c>
      <x:c r="G11" s="24" t="n">
        <x:v>3</x:v>
      </x:c>
      <x:c r="H11" s="24" t="n">
        <x:v>4</x:v>
      </x:c>
      <x:c r="I11" s="24" t="n">
        <x:v>16</x:v>
      </x:c>
      <x:c r="J11" s="24" t="n">
        <x:v>0.45</x:v>
      </x:c>
      <x:c r="K11" s="24" t="n">
        <x:v>11.9</x:v>
      </x:c>
      <x:c r="L11" s="21" t="str">
        <x:v>공격력·체력은 밸런스 조정 시트에서 계산.</x:v>
      </x:c>
      <x:c r="M11" s="29" t="str">
        <x:v>Normal</x:v>
      </x:c>
      <x:c r="N11" s="30" t="n">
        <x:f>(ROUND(N9*(1+'밸런스 조정'!$C$17),0))*0.45</x:f>
        <x:v>3.6</x:v>
      </x:c>
      <x:c r="O11" s="30" t="n">
        <x:f>ROUND(O9*(1+P11),0)</x:f>
        <x:v>157</x:v>
      </x:c>
      <x:c r="P11" s="31" t="n">
        <x:v>0.1</x:v>
      </x:c>
      <x:c r="Q11" s="52" t="n">
        <x:f>'밸런스 조정'!$C$64</x:f>
        <x:v>0</x:v>
      </x:c>
      <x:c r="R11" s="52" t="n">
        <x:f>'밸런스 조정'!$C$65*IF(M11="Boss",5,IF(M11="Elite",2,1))</x:f>
        <x:v>10</x:v>
      </x:c>
    </x:row>
    <x:row r="12" ht="30" customHeight="1">
      <x:c r="B12" s="22" t="n">
        <x:v>10</x:v>
      </x:c>
      <x:c r="C12" s="18" t="str">
        <x:v>Noryangjin_MapTool_Mode_SR18</x:v>
      </x:c>
      <x:c r="D12" s="18" t="str">
        <x:v>SR18_L_E05_T053_Enemy_Guard_Right</x:v>
      </x:c>
      <x:c r="E12" s="23" t="n">
        <x:v>1</x:v>
      </x:c>
      <x:c r="F12" s="24" t="str">
        <x:v>전방 매복 사격</x:v>
      </x:c>
      <x:c r="G12" s="24" t="n">
        <x:v>3</x:v>
      </x:c>
      <x:c r="H12" s="24" t="n">
        <x:v>4</x:v>
      </x:c>
      <x:c r="I12" s="24" t="n">
        <x:v>12</x:v>
      </x:c>
      <x:c r="J12" s="24" t="n">
        <x:v>0.45</x:v>
      </x:c>
      <x:c r="K12" s="24" t="n">
        <x:v>11.9</x:v>
      </x:c>
      <x:c r="L12" s="21" t="str">
        <x:v>왼쪽 적보다 체력 15% 증가. 접근 시차를 두고 발동.</x:v>
      </x:c>
      <x:c r="M12" s="29" t="str">
        <x:v>Normal</x:v>
      </x:c>
      <x:c r="N12" s="30" t="n">
        <x:f>N11</x:f>
        <x:v>3.6</x:v>
      </x:c>
      <x:c r="O12" s="30" t="n">
        <x:f>ROUND(O11*(1+P12),0)</x:f>
        <x:v>181</x:v>
      </x:c>
      <x:c r="P12" s="31" t="n">
        <x:v>0.15</x:v>
      </x:c>
      <x:c r="Q12" s="52" t="n">
        <x:f>'밸런스 조정'!$C$64</x:f>
        <x:v>0</x:v>
      </x:c>
      <x:c r="R12" s="52" t="n">
        <x:f>'밸런스 조정'!$C$65*IF(M12="Boss",5,IF(M12="Elite",2,1))</x:f>
        <x:v>10</x:v>
      </x:c>
    </x:row>
    <x:row r="13" ht="30" customHeight="1">
      <x:c r="B13" s="22" t="n">
        <x:v>11</x:v>
      </x:c>
      <x:c r="C13" s="18" t="str">
        <x:v>Noryangjin_MapTool_Mode_SR18</x:v>
      </x:c>
      <x:c r="D13" s="18" t="str">
        <x:v>SR18_L_E06_T065_Enemy_YllowMan_Net</x:v>
      </x:c>
      <x:c r="E13" s="23" t="n">
        <x:v>0</x:v>
      </x:c>
      <x:c r="F13" s="24" t="str">
        <x:v>공격 반복</x:v>
      </x:c>
      <x:c r="G13" s="24" t="n">
        <x:v>2</x:v>
      </x:c>
      <x:c r="H13" s="24" t="n">
        <x:v>0</x:v>
      </x:c>
      <x:c r="I13" s="24" t="n">
        <x:v>8</x:v>
      </x:c>
      <x:c r="J13" s="24" t="n">
        <x:v>2</x:v>
      </x:c>
      <x:c r="K13" s="24" t="n">
        <x:v>12</x:v>
      </x:c>
      <x:c r="L13" s="21" t="str">
        <x:v>공격력·체력은 밸런스 조정 시트에서 계산.</x:v>
      </x:c>
      <x:c r="M13" s="29" t="str">
        <x:v>Normal</x:v>
      </x:c>
      <x:c r="N13" s="30" t="n">
        <x:f>ROUND(N11*(1+'밸런스 조정'!$C$17),0)</x:f>
        <x:v>8</x:v>
      </x:c>
      <x:c r="O13" s="30" t="n">
        <x:f>ROUND(O11*(1+P13),0)</x:f>
        <x:v>173</x:v>
      </x:c>
      <x:c r="P13" s="31" t="n">
        <x:v>0.1</x:v>
      </x:c>
      <x:c r="Q13" s="52" t="n">
        <x:f>'밸런스 조정'!$C$64</x:f>
        <x:v>0</x:v>
      </x:c>
      <x:c r="R13" s="52" t="n">
        <x:f>'밸런스 조정'!$C$65*IF(M13="Boss",5,IF(M13="Elite",2,1))</x:f>
        <x:v>10</x:v>
      </x:c>
    </x:row>
    <x:row r="14" ht="30" customHeight="1">
      <x:c r="B14" s="22" t="n">
        <x:v>12</x:v>
      </x:c>
      <x:c r="C14" s="18" t="str">
        <x:v>Noryangjin_MapTool_Mode_SR18</x:v>
      </x:c>
      <x:c r="D14" s="18" t="str">
        <x:v>SR18_L_E06_T065_Enemy_YllowMan_Net_Right</x:v>
      </x:c>
      <x:c r="E14" s="23" t="n">
        <x:v>1</x:v>
      </x:c>
      <x:c r="F14" s="24" t="str">
        <x:v>공격 반복</x:v>
      </x:c>
      <x:c r="G14" s="24" t="n">
        <x:v>2</x:v>
      </x:c>
      <x:c r="H14" s="24" t="n">
        <x:v>0</x:v>
      </x:c>
      <x:c r="I14" s="24" t="n">
        <x:v>5</x:v>
      </x:c>
      <x:c r="J14" s="24" t="n">
        <x:v>2</x:v>
      </x:c>
      <x:c r="K14" s="24" t="n">
        <x:v>12</x:v>
      </x:c>
      <x:c r="L14" s="21" t="str">
        <x:v>왼쪽 적보다 체력 15% 증가. 접근 시차를 두고 발동.</x:v>
      </x:c>
      <x:c r="M14" s="29" t="str">
        <x:v>Boss</x:v>
      </x:c>
      <x:c r="N14" s="30" t="n">
        <x:f>N13</x:f>
        <x:v>8</x:v>
      </x:c>
      <x:c r="O14" s="30" t="n">
        <x:f>ROUND(O13*3,0)</x:f>
        <x:v>519</x:v>
      </x:c>
      <x:c r="P14" s="31" t="n">
        <x:v>0.15</x:v>
      </x:c>
      <x:c r="Q14" s="52" t="n">
        <x:f>'밸런스 조정'!$C$64</x:f>
        <x:v>0</x:v>
      </x:c>
      <x:c r="R14" s="52" t="n">
        <x:f>'밸런스 조정'!$C$65*IF(M14="Boss",5,IF(M14="Elite",2,1))</x:f>
        <x:v>10</x:v>
      </x:c>
    </x:row>
    <x:row r="15" ht="30" customHeight="1">
      <x:c r="B15" s="22" t="n">
        <x:v>13</x:v>
      </x:c>
      <x:c r="C15" s="18" t="str">
        <x:v>Noryangjin_MapTool_Mode_SR18</x:v>
      </x:c>
      <x:c r="D15" s="18" t="str">
        <x:v>SR18_L_E07_T077_Enemy_YllowMan_Sword</x:v>
      </x:c>
      <x:c r="E15" s="23" t="n">
        <x:v>1</x:v>
      </x:c>
      <x:c r="F15" s="24" t="str">
        <x:v>왕복</x:v>
      </x:c>
      <x:c r="G15" s="24" t="n">
        <x:v>2.5</x:v>
      </x:c>
      <x:c r="H15" s="24" t="n">
        <x:v>8</x:v>
      </x:c>
      <x:c r="I15" s="24" t="n">
        <x:v>18</x:v>
      </x:c>
      <x:c r="J15" s="24" t="n">
        <x:v>2</x:v>
      </x:c>
      <x:c r="K15" s="24" t="n">
        <x:v>12</x:v>
      </x:c>
      <x:c r="L15" s="21" t="str">
        <x:v>공격력·체력은 밸런스 조정 시트에서 계산.</x:v>
      </x:c>
      <x:c r="M15" s="29" t="str">
        <x:v>Normal</x:v>
      </x:c>
      <x:c r="N15" s="30" t="n">
        <x:f>ROUND(N13*(1+'밸런스 조정'!$C$17),0)</x:f>
        <x:v>8</x:v>
      </x:c>
      <x:c r="O15" s="30" t="n">
        <x:f>ROUND(O13*(1+P15),0)</x:f>
        <x:v>190</x:v>
      </x:c>
      <x:c r="P15" s="31" t="n">
        <x:v>0.1</x:v>
      </x:c>
      <x:c r="Q15" s="52" t="n">
        <x:f>'밸런스 조정'!$C$64</x:f>
        <x:v>0</x:v>
      </x:c>
      <x:c r="R15" s="52" t="n">
        <x:f>'밸런스 조정'!$C$65*IF(M15="Boss",5,IF(M15="Elite",2,1))</x:f>
        <x:v>10</x:v>
      </x:c>
    </x:row>
    <x:row r="16" ht="30" customHeight="1">
      <x:c r="B16" s="22" t="n">
        <x:v>14</x:v>
      </x:c>
      <x:c r="C16" s="18" t="str">
        <x:v>Noryangjin_MapTool_Mode_SR18</x:v>
      </x:c>
      <x:c r="D16" s="18" t="str">
        <x:v>SR18_L_E07_T077_Enemy_YllowMan_Sword_Right</x:v>
      </x:c>
      <x:c r="E16" s="23" t="n">
        <x:v>1</x:v>
      </x:c>
      <x:c r="F16" s="24" t="str">
        <x:v>왕복</x:v>
      </x:c>
      <x:c r="G16" s="24" t="n">
        <x:v>2.5</x:v>
      </x:c>
      <x:c r="H16" s="24" t="n">
        <x:v>8</x:v>
      </x:c>
      <x:c r="I16" s="24" t="n">
        <x:v>14</x:v>
      </x:c>
      <x:c r="J16" s="24" t="n">
        <x:v>2</x:v>
      </x:c>
      <x:c r="K16" s="24" t="n">
        <x:v>12</x:v>
      </x:c>
      <x:c r="L16" s="21" t="str">
        <x:v>왼쪽 적보다 체력 15% 증가. 접근 시차를 두고 발동.</x:v>
      </x:c>
      <x:c r="M16" s="29" t="str">
        <x:v>Normal</x:v>
      </x:c>
      <x:c r="N16" s="30" t="n">
        <x:f>N15</x:f>
        <x:v>8</x:v>
      </x:c>
      <x:c r="O16" s="30" t="n">
        <x:f>ROUND(O15*(1+P16),0)</x:f>
        <x:v>218</x:v>
      </x:c>
      <x:c r="P16" s="31" t="n">
        <x:v>0.15</x:v>
      </x:c>
      <x:c r="Q16" s="52" t="n">
        <x:f>'밸런스 조정'!$C$64</x:f>
        <x:v>0</x:v>
      </x:c>
      <x:c r="R16" s="52" t="n">
        <x:f>'밸런스 조정'!$C$65*IF(M16="Boss",5,IF(M16="Elite",2,1))</x:f>
        <x:v>10</x:v>
      </x:c>
    </x:row>
    <x:row r="17" ht="30" customHeight="1">
      <x:c r="B17" s="22" t="n">
        <x:v>15</x:v>
      </x:c>
      <x:c r="C17" s="18" t="str">
        <x:v>Noryangjin_MapTool_Mode_SR18</x:v>
      </x:c>
      <x:c r="D17" s="18" t="str">
        <x:v>SR18_L_E08_T089_Enemy_FatMan</x:v>
      </x:c>
      <x:c r="E17" s="23" t="n">
        <x:v>1</x:v>
      </x:c>
      <x:c r="F17" s="24" t="str">
        <x:v>사격</x:v>
      </x:c>
      <x:c r="G17" s="24" t="n">
        <x:v>0</x:v>
      </x:c>
      <x:c r="H17" s="24" t="n">
        <x:v>0</x:v>
      </x:c>
      <x:c r="I17" s="24" t="n">
        <x:v>16</x:v>
      </x:c>
      <x:c r="J17" s="24" t="n">
        <x:v>0.62</x:v>
      </x:c>
      <x:c r="K17" s="24" t="n">
        <x:v>18</x:v>
      </x:c>
      <x:c r="L17" s="21" t="str">
        <x:v>공격력·체력은 밸런스 조정 시트에서 계산.</x:v>
      </x:c>
      <x:c r="M17" s="29" t="str">
        <x:v>Elite</x:v>
      </x:c>
      <x:c r="N17" s="30" t="n">
        <x:f>(ROUND(N15*'밸런스 조정'!$C$19,0))*0.45</x:f>
        <x:v>5.85</x:v>
      </x:c>
      <x:c r="O17" s="30" t="n">
        <x:f>ROUND(O15*'밸런스 조정'!$C$20,0)</x:f>
        <x:v>342</x:v>
      </x:c>
      <x:c r="P17" s="31"/>
      <x:c r="Q17" s="52" t="n">
        <x:f>'밸런스 조정'!$C$64</x:f>
        <x:v>0</x:v>
      </x:c>
      <x:c r="R17" s="52" t="n">
        <x:f>'밸런스 조정'!$C$65*IF(M17="Boss",5,IF(M17="Elite",2,1))</x:f>
        <x:v>20</x:v>
      </x:c>
    </x:row>
    <x:row r="18" ht="30" customHeight="1">
      <x:c r="B18" s="22" t="n">
        <x:v>16</x:v>
      </x:c>
      <x:c r="C18" s="18" t="str">
        <x:v>Noryangjin_MapTool_Mode_SR18</x:v>
      </x:c>
      <x:c r="D18" s="18" t="str">
        <x:v>SR18_L_E08_T089_Enemy_FatMan_Right</x:v>
      </x:c>
      <x:c r="E18" s="23" t="n">
        <x:v>1</x:v>
      </x:c>
      <x:c r="F18" s="24" t="str">
        <x:v>사격</x:v>
      </x:c>
      <x:c r="G18" s="24" t="n">
        <x:v>0</x:v>
      </x:c>
      <x:c r="H18" s="24" t="n">
        <x:v>0</x:v>
      </x:c>
      <x:c r="I18" s="24" t="n">
        <x:v>16</x:v>
      </x:c>
      <x:c r="J18" s="24" t="n">
        <x:v>0.62</x:v>
      </x:c>
      <x:c r="K18" s="24" t="n">
        <x:v>18</x:v>
      </x:c>
      <x:c r="L18" s="21" t="str">
        <x:v>왼쪽 적보다 체력 15% 증가. 접근 시차를 두고 발동.</x:v>
      </x:c>
      <x:c r="M18" s="29" t="str">
        <x:v>Elite</x:v>
      </x:c>
      <x:c r="N18" s="30" t="n">
        <x:f>N17</x:f>
        <x:v>5.85</x:v>
      </x:c>
      <x:c r="O18" s="30" t="n">
        <x:f>ROUND(O17*(1+P18),0)</x:f>
        <x:v>393</x:v>
      </x:c>
      <x:c r="P18" s="31" t="n">
        <x:v>0.15</x:v>
      </x:c>
      <x:c r="Q18" s="52" t="n">
        <x:f>'밸런스 조정'!$C$64</x:f>
        <x:v>0</x:v>
      </x:c>
      <x:c r="R18" s="52" t="n">
        <x:f>'밸런스 조정'!$C$65*IF(M18="Boss",5,IF(M18="Elite",2,1))</x:f>
        <x:v>20</x:v>
      </x:c>
    </x:row>
    <x:row r="19" ht="30" customHeight="1">
      <x:c r="B19" s="22" t="n">
        <x:v>17</x:v>
      </x:c>
      <x:c r="C19" s="18" t="str">
        <x:v>Noryangjin_MapTool_Mode_SR18</x:v>
      </x:c>
      <x:c r="D19" s="18" t="str">
        <x:v>SR18_L_E09_T101_Enemy_YllowMan_Net</x:v>
      </x:c>
      <x:c r="E19" s="23" t="n">
        <x:v>1</x:v>
      </x:c>
      <x:c r="F19" s="24" t="str">
        <x:v>공격 반복</x:v>
      </x:c>
      <x:c r="G19" s="24" t="n">
        <x:v>2</x:v>
      </x:c>
      <x:c r="H19" s="24" t="n">
        <x:v>0</x:v>
      </x:c>
      <x:c r="I19" s="24" t="n">
        <x:v>8</x:v>
      </x:c>
      <x:c r="J19" s="24" t="n">
        <x:v>2</x:v>
      </x:c>
      <x:c r="K19" s="24" t="n">
        <x:v>12</x:v>
      </x:c>
      <x:c r="L19" s="21" t="str">
        <x:v>공격력·체력은 밸런스 조정 시트에서 계산.</x:v>
      </x:c>
      <x:c r="M19" s="29" t="str">
        <x:v>Normal</x:v>
      </x:c>
      <x:c r="N19" s="30" t="n">
        <x:f>ROUND(N15*(1+'밸런스 조정'!$C$17),0)</x:f>
        <x:v>8</x:v>
      </x:c>
      <x:c r="O19" s="30" t="n">
        <x:f>ROUND(O15*(1+P19),0)</x:f>
        <x:v>209</x:v>
      </x:c>
      <x:c r="P19" s="31" t="n">
        <x:v>0.1</x:v>
      </x:c>
      <x:c r="Q19" s="52" t="n">
        <x:f>'밸런스 조정'!$C$64</x:f>
        <x:v>0</x:v>
      </x:c>
      <x:c r="R19" s="52" t="n">
        <x:f>'밸런스 조정'!$C$65*IF(M19="Boss",5,IF(M19="Elite",2,1))</x:f>
        <x:v>10</x:v>
      </x:c>
    </x:row>
    <x:row r="20" ht="30" customHeight="1">
      <x:c r="B20" s="22" t="n">
        <x:v>18</x:v>
      </x:c>
      <x:c r="C20" s="18" t="str">
        <x:v>Noryangjin_MapTool_Mode_SR18</x:v>
      </x:c>
      <x:c r="D20" s="18" t="str">
        <x:v>SR18_L_E09_T101_Enemy_YllowMan_Net_Right</x:v>
      </x:c>
      <x:c r="E20" s="23" t="n">
        <x:v>1</x:v>
      </x:c>
      <x:c r="F20" s="24" t="str">
        <x:v>공격 반복</x:v>
      </x:c>
      <x:c r="G20" s="24" t="n">
        <x:v>2</x:v>
      </x:c>
      <x:c r="H20" s="24" t="n">
        <x:v>0</x:v>
      </x:c>
      <x:c r="I20" s="24" t="n">
        <x:v>5</x:v>
      </x:c>
      <x:c r="J20" s="24" t="n">
        <x:v>2</x:v>
      </x:c>
      <x:c r="K20" s="24" t="n">
        <x:v>12</x:v>
      </x:c>
      <x:c r="L20" s="21" t="str">
        <x:v>왼쪽 적보다 체력 15% 증가. 접근 시차를 두고 발동.</x:v>
      </x:c>
      <x:c r="M20" s="29" t="str">
        <x:v>Normal</x:v>
      </x:c>
      <x:c r="N20" s="30" t="n">
        <x:f>N19</x:f>
        <x:v>8</x:v>
      </x:c>
      <x:c r="O20" s="30" t="n">
        <x:f>ROUND(O19*(1+P20),0)</x:f>
        <x:v>240</x:v>
      </x:c>
      <x:c r="P20" s="31" t="n">
        <x:v>0.15</x:v>
      </x:c>
      <x:c r="Q20" s="52" t="n">
        <x:f>'밸런스 조정'!$C$64</x:f>
        <x:v>0</x:v>
      </x:c>
      <x:c r="R20" s="52" t="n">
        <x:f>'밸런스 조정'!$C$65*IF(M20="Boss",5,IF(M20="Elite",2,1))</x:f>
        <x:v>10</x:v>
      </x:c>
    </x:row>
    <x:row r="21" ht="30" customHeight="1">
      <x:c r="B21" s="22" t="n">
        <x:v>19</x:v>
      </x:c>
      <x:c r="C21" s="18" t="str">
        <x:v>Noryangjin_MapTool_Mode_SR18</x:v>
      </x:c>
      <x:c r="D21" s="18" t="str">
        <x:v>SR18_L_E10_T113_Enemy_YllowMan_Sword</x:v>
      </x:c>
      <x:c r="E21" s="23" t="n">
        <x:v>1</x:v>
      </x:c>
      <x:c r="F21" s="24" t="str">
        <x:v>왕복</x:v>
      </x:c>
      <x:c r="G21" s="24" t="n">
        <x:v>1.4</x:v>
      </x:c>
      <x:c r="H21" s="24" t="n">
        <x:v>2</x:v>
      </x:c>
      <x:c r="I21" s="24" t="n">
        <x:v>18</x:v>
      </x:c>
      <x:c r="J21" s="24" t="n">
        <x:v>2</x:v>
      </x:c>
      <x:c r="K21" s="24" t="n">
        <x:v>12</x:v>
      </x:c>
      <x:c r="L21" s="21" t="str">
        <x:v>공격력·체력은 밸런스 조정 시트에서 계산.</x:v>
      </x:c>
      <x:c r="M21" s="29" t="str">
        <x:v>Normal</x:v>
      </x:c>
      <x:c r="N21" s="30" t="n">
        <x:f>ROUND(N19*(1+'밸런스 조정'!$C$17),0)</x:f>
        <x:v>8</x:v>
      </x:c>
      <x:c r="O21" s="30" t="n">
        <x:f>ROUND(O19*(1+P21),0)</x:f>
        <x:v>230</x:v>
      </x:c>
      <x:c r="P21" s="31" t="n">
        <x:v>0.1</x:v>
      </x:c>
      <x:c r="Q21" s="52" t="n">
        <x:f>'밸런스 조정'!$C$64</x:f>
        <x:v>0</x:v>
      </x:c>
      <x:c r="R21" s="52" t="n">
        <x:f>'밸런스 조정'!$C$65*IF(M21="Boss",5,IF(M21="Elite",2,1))</x:f>
        <x:v>10</x:v>
      </x:c>
    </x:row>
    <x:row r="22" ht="30" customHeight="1">
      <x:c r="B22" s="22" t="n">
        <x:v>20</x:v>
      </x:c>
      <x:c r="C22" s="18" t="str">
        <x:v>Noryangjin_MapTool_Mode_SR18</x:v>
      </x:c>
      <x:c r="D22" s="18" t="str">
        <x:v>SR18_L_E10_T113_Enemy_YllowMan_Sword_Right</x:v>
      </x:c>
      <x:c r="E22" s="23" t="n">
        <x:v>1</x:v>
      </x:c>
      <x:c r="F22" s="24" t="str">
        <x:v>왕복</x:v>
      </x:c>
      <x:c r="G22" s="24" t="n">
        <x:v>1.4</x:v>
      </x:c>
      <x:c r="H22" s="24" t="n">
        <x:v>2</x:v>
      </x:c>
      <x:c r="I22" s="24" t="n">
        <x:v>14</x:v>
      </x:c>
      <x:c r="J22" s="24" t="n">
        <x:v>2</x:v>
      </x:c>
      <x:c r="K22" s="24" t="n">
        <x:v>12</x:v>
      </x:c>
      <x:c r="L22" s="21" t="str">
        <x:v>왼쪽 적보다 체력 15% 증가. 접근 시차를 두고 발동.</x:v>
      </x:c>
      <x:c r="M22" s="29" t="str">
        <x:v>Normal</x:v>
      </x:c>
      <x:c r="N22" s="30" t="n">
        <x:f>N21</x:f>
        <x:v>8</x:v>
      </x:c>
      <x:c r="O22" s="30" t="n">
        <x:f>ROUND(O21*(1+P22),0)</x:f>
        <x:v>265</x:v>
      </x:c>
      <x:c r="P22" s="31" t="n">
        <x:v>0.15</x:v>
      </x:c>
      <x:c r="Q22" s="52" t="n">
        <x:f>'밸런스 조정'!$C$64</x:f>
        <x:v>0</x:v>
      </x:c>
      <x:c r="R22" s="52" t="n">
        <x:f>'밸런스 조정'!$C$65*IF(M22="Boss",5,IF(M22="Elite",2,1))</x:f>
        <x:v>10</x:v>
      </x:c>
    </x:row>
    <x:row r="23" ht="30" customHeight="1">
      <x:c r="B23" s="22" t="n">
        <x:v>21</x:v>
      </x:c>
      <x:c r="C23" s="18" t="str">
        <x:v>Noryangjin_MapTool_Mode_SR18</x:v>
      </x:c>
      <x:c r="D23" s="18" t="str">
        <x:v>SR18_L_E11_T125_Enemy_OldMan</x:v>
      </x:c>
      <x:c r="E23" s="23" t="n">
        <x:v>1</x:v>
      </x:c>
      <x:c r="F23" s="24" t="str">
        <x:v>공격 반복</x:v>
      </x:c>
      <x:c r="G23" s="24" t="n">
        <x:v>2</x:v>
      </x:c>
      <x:c r="H23" s="24" t="n">
        <x:v>0</x:v>
      </x:c>
      <x:c r="I23" s="24" t="n">
        <x:v>8</x:v>
      </x:c>
      <x:c r="J23" s="24" t="n">
        <x:v>2</x:v>
      </x:c>
      <x:c r="K23" s="24" t="n">
        <x:v>12</x:v>
      </x:c>
      <x:c r="L23" s="21" t="str">
        <x:v>공격력·체력은 밸런스 조정 시트에서 계산.</x:v>
      </x:c>
      <x:c r="M23" s="29" t="str">
        <x:v>Normal</x:v>
      </x:c>
      <x:c r="N23" s="30" t="n">
        <x:f>ROUND(N21*(1+'밸런스 조정'!$C$17),0)</x:f>
        <x:v>8</x:v>
      </x:c>
      <x:c r="O23" s="30" t="n">
        <x:f>ROUND(O21*(1+P23),0)</x:f>
        <x:v>253</x:v>
      </x:c>
      <x:c r="P23" s="31" t="n">
        <x:v>0.1</x:v>
      </x:c>
      <x:c r="Q23" s="52" t="n">
        <x:f>'밸런스 조정'!$C$64</x:f>
        <x:v>0</x:v>
      </x:c>
      <x:c r="R23" s="52" t="n">
        <x:f>'밸런스 조정'!$C$65*IF(M23="Boss",5,IF(M23="Elite",2,1))</x:f>
        <x:v>10</x:v>
      </x:c>
    </x:row>
    <x:row r="24" ht="30" customHeight="1">
      <x:c r="B24" s="22" t="n">
        <x:v>22</x:v>
      </x:c>
      <x:c r="C24" s="18" t="str">
        <x:v>Noryangjin_MapTool_Mode_SR18</x:v>
      </x:c>
      <x:c r="D24" s="18" t="str">
        <x:v>SR18_L_E11_T125_Enemy_OldMan_Right</x:v>
      </x:c>
      <x:c r="E24" s="23" t="n">
        <x:v>1</x:v>
      </x:c>
      <x:c r="F24" s="24" t="str">
        <x:v>공격 반복</x:v>
      </x:c>
      <x:c r="G24" s="24" t="n">
        <x:v>2</x:v>
      </x:c>
      <x:c r="H24" s="24" t="n">
        <x:v>0</x:v>
      </x:c>
      <x:c r="I24" s="24" t="n">
        <x:v>5</x:v>
      </x:c>
      <x:c r="J24" s="24" t="n">
        <x:v>2</x:v>
      </x:c>
      <x:c r="K24" s="24" t="n">
        <x:v>12</x:v>
      </x:c>
      <x:c r="L24" s="21" t="str">
        <x:v>왼쪽 적보다 체력 15% 증가. 접근 시차를 두고 발동.</x:v>
      </x:c>
      <x:c r="M24" s="29" t="str">
        <x:v>Normal</x:v>
      </x:c>
      <x:c r="N24" s="30" t="n">
        <x:f>N23</x:f>
        <x:v>8</x:v>
      </x:c>
      <x:c r="O24" s="30" t="n">
        <x:f>ROUND(O23*(1+P24),0)</x:f>
        <x:v>291</x:v>
      </x:c>
      <x:c r="P24" s="31" t="n">
        <x:v>0.15</x:v>
      </x:c>
      <x:c r="Q24" s="52" t="n">
        <x:f>'밸런스 조정'!$C$64</x:f>
        <x:v>0</x:v>
      </x:c>
      <x:c r="R24" s="52" t="n">
        <x:f>'밸런스 조정'!$C$65*IF(M24="Boss",5,IF(M24="Elite",2,1))</x:f>
        <x:v>10</x:v>
      </x:c>
    </x:row>
    <x:row r="25" ht="30" customHeight="1">
      <x:c r="B25" s="22" t="n">
        <x:v>23</x:v>
      </x:c>
      <x:c r="C25" s="18" t="str">
        <x:v>Noryangjin_MapTool_Mode_SR18</x:v>
      </x:c>
      <x:c r="D25" s="18" t="str">
        <x:v>SR18_L_E12_T137_Enemy_FatMan</x:v>
      </x:c>
      <x:c r="E25" s="23" t="n">
        <x:v>1</x:v>
      </x:c>
      <x:c r="F25" s="24" t="str">
        <x:v>사격</x:v>
      </x:c>
      <x:c r="G25" s="24" t="n">
        <x:v>0</x:v>
      </x:c>
      <x:c r="H25" s="24" t="n">
        <x:v>0</x:v>
      </x:c>
      <x:c r="I25" s="24" t="n">
        <x:v>16</x:v>
      </x:c>
      <x:c r="J25" s="24" t="n">
        <x:v>0.62</x:v>
      </x:c>
      <x:c r="K25" s="24" t="n">
        <x:v>18</x:v>
      </x:c>
      <x:c r="L25" s="21" t="str">
        <x:v>공격력·체력은 밸런스 조정 시트에서 계산.</x:v>
      </x:c>
      <x:c r="M25" s="29" t="str">
        <x:v>Elite</x:v>
      </x:c>
      <x:c r="N25" s="30" t="n">
        <x:f>(ROUND(N23*'밸런스 조정'!$C$19,0))*0.45</x:f>
        <x:v>5.85</x:v>
      </x:c>
      <x:c r="O25" s="30" t="n">
        <x:f>ROUND(O23*'밸런스 조정'!$C$20,0)</x:f>
        <x:v>455</x:v>
      </x:c>
      <x:c r="P25" s="31"/>
      <x:c r="Q25" s="52" t="n">
        <x:f>'밸런스 조정'!$C$64</x:f>
        <x:v>0</x:v>
      </x:c>
      <x:c r="R25" s="52" t="n">
        <x:f>'밸런스 조정'!$C$65*IF(M25="Boss",5,IF(M25="Elite",2,1))</x:f>
        <x:v>20</x:v>
      </x:c>
    </x:row>
    <x:row r="26" ht="30" customHeight="1">
      <x:c r="B26" s="22" t="n">
        <x:v>24</x:v>
      </x:c>
      <x:c r="C26" s="18" t="str">
        <x:v>Noryangjin_MapTool_Mode_SR18</x:v>
      </x:c>
      <x:c r="D26" s="18" t="str">
        <x:v>SR18_L_E12_T137_Enemy_FatMan_Right</x:v>
      </x:c>
      <x:c r="E26" s="23" t="n">
        <x:v>1</x:v>
      </x:c>
      <x:c r="F26" s="24" t="str">
        <x:v>사격</x:v>
      </x:c>
      <x:c r="G26" s="24" t="n">
        <x:v>0</x:v>
      </x:c>
      <x:c r="H26" s="24" t="n">
        <x:v>0</x:v>
      </x:c>
      <x:c r="I26" s="24" t="n">
        <x:v>16</x:v>
      </x:c>
      <x:c r="J26" s="24" t="n">
        <x:v>0.62</x:v>
      </x:c>
      <x:c r="K26" s="24" t="n">
        <x:v>18</x:v>
      </x:c>
      <x:c r="L26" s="21" t="str">
        <x:v>왼쪽 적보다 체력 15% 증가. 접근 시차를 두고 발동.</x:v>
      </x:c>
      <x:c r="M26" s="29" t="str">
        <x:v>Elite</x:v>
      </x:c>
      <x:c r="N26" s="30" t="n">
        <x:f>N25</x:f>
        <x:v>5.85</x:v>
      </x:c>
      <x:c r="O26" s="30" t="n">
        <x:f>ROUND(O25*(1+P26),0)</x:f>
        <x:v>523</x:v>
      </x:c>
      <x:c r="P26" s="31" t="n">
        <x:v>0.15</x:v>
      </x:c>
      <x:c r="Q26" s="52" t="n">
        <x:f>'밸런스 조정'!$C$64</x:f>
        <x:v>0</x:v>
      </x:c>
      <x:c r="R26" s="52" t="n">
        <x:f>'밸런스 조정'!$C$65*IF(M26="Boss",5,IF(M26="Elite",2,1))</x:f>
        <x:v>20</x:v>
      </x:c>
    </x:row>
    <x:row r="27" ht="30" customHeight="1">
      <x:c r="B27" s="22" t="n">
        <x:v>25</x:v>
      </x:c>
      <x:c r="C27" s="18" t="str">
        <x:v>Noryangjin_MapTool_Mode_SR18</x:v>
      </x:c>
      <x:c r="D27" s="18" t="str">
        <x:v>SR18_L_E13_T149_Enemy_OldMan</x:v>
      </x:c>
      <x:c r="E27" s="23" t="n">
        <x:v>1</x:v>
      </x:c>
      <x:c r="F27" s="24" t="str">
        <x:v>공격 반복</x:v>
      </x:c>
      <x:c r="G27" s="24" t="n">
        <x:v>2</x:v>
      </x:c>
      <x:c r="H27" s="24" t="n">
        <x:v>0</x:v>
      </x:c>
      <x:c r="I27" s="24" t="n">
        <x:v>8</x:v>
      </x:c>
      <x:c r="J27" s="24" t="n">
        <x:v>2</x:v>
      </x:c>
      <x:c r="K27" s="24" t="n">
        <x:v>12</x:v>
      </x:c>
      <x:c r="L27" s="21" t="str">
        <x:v>공격력·체력은 밸런스 조정 시트에서 계산.</x:v>
      </x:c>
      <x:c r="M27" s="29" t="str">
        <x:v>Normal</x:v>
      </x:c>
      <x:c r="N27" s="30" t="n">
        <x:f>ROUND(N23*(1+'밸런스 조정'!$C$17),0)</x:f>
        <x:v>8</x:v>
      </x:c>
      <x:c r="O27" s="30" t="n">
        <x:f>ROUND(O23*(1+P27),0)</x:f>
        <x:v>278</x:v>
      </x:c>
      <x:c r="P27" s="31" t="n">
        <x:v>0.1</x:v>
      </x:c>
      <x:c r="Q27" s="52" t="n">
        <x:f>'밸런스 조정'!$C$64</x:f>
        <x:v>0</x:v>
      </x:c>
      <x:c r="R27" s="52" t="n">
        <x:f>'밸런스 조정'!$C$65*IF(M27="Boss",5,IF(M27="Elite",2,1))</x:f>
        <x:v>10</x:v>
      </x:c>
    </x:row>
    <x:row r="28" ht="30" customHeight="1">
      <x:c r="B28" s="22" t="n">
        <x:v>26</x:v>
      </x:c>
      <x:c r="C28" s="18" t="str">
        <x:v>Noryangjin_MapTool_Mode_SR18</x:v>
      </x:c>
      <x:c r="D28" s="18" t="str">
        <x:v>SR18_L_E13_T149_Enemy_OldMan_Right</x:v>
      </x:c>
      <x:c r="E28" s="23" t="n">
        <x:v>1</x:v>
      </x:c>
      <x:c r="F28" s="24" t="str">
        <x:v>공격 반복</x:v>
      </x:c>
      <x:c r="G28" s="24" t="n">
        <x:v>2</x:v>
      </x:c>
      <x:c r="H28" s="24" t="n">
        <x:v>0</x:v>
      </x:c>
      <x:c r="I28" s="24" t="n">
        <x:v>5</x:v>
      </x:c>
      <x:c r="J28" s="24" t="n">
        <x:v>2</x:v>
      </x:c>
      <x:c r="K28" s="24" t="n">
        <x:v>12</x:v>
      </x:c>
      <x:c r="L28" s="21" t="str">
        <x:v>왼쪽 적보다 체력 15% 증가. 접근 시차를 두고 발동.</x:v>
      </x:c>
      <x:c r="M28" s="29" t="str">
        <x:v>Normal</x:v>
      </x:c>
      <x:c r="N28" s="30" t="n">
        <x:f>N27</x:f>
        <x:v>8</x:v>
      </x:c>
      <x:c r="O28" s="30" t="n">
        <x:f>ROUND(O27*(1+P28),0)</x:f>
        <x:v>320</x:v>
      </x:c>
      <x:c r="P28" s="31" t="n">
        <x:v>0.15</x:v>
      </x:c>
      <x:c r="Q28" s="52" t="n">
        <x:f>'밸런스 조정'!$C$64</x:f>
        <x:v>0</x:v>
      </x:c>
      <x:c r="R28" s="52" t="n">
        <x:f>'밸런스 조정'!$C$65*IF(M28="Boss",5,IF(M28="Elite",2,1))</x:f>
        <x:v>10</x:v>
      </x:c>
    </x:row>
    <x:row r="29" ht="30" customHeight="1">
      <x:c r="B29" s="22" t="n">
        <x:v>27</x:v>
      </x:c>
      <x:c r="C29" s="18" t="str">
        <x:v>Noryangjin_MapTool_Mode_SR18</x:v>
      </x:c>
      <x:c r="D29" s="18" t="str">
        <x:v>SR18_L_E14_T165_Enemy_OldMan</x:v>
      </x:c>
      <x:c r="E29" s="23" t="n">
        <x:v>1</x:v>
      </x:c>
      <x:c r="F29" s="24" t="str">
        <x:v>공격 반복</x:v>
      </x:c>
      <x:c r="G29" s="24" t="n">
        <x:v>2</x:v>
      </x:c>
      <x:c r="H29" s="24" t="n">
        <x:v>0</x:v>
      </x:c>
      <x:c r="I29" s="24" t="n">
        <x:v>8</x:v>
      </x:c>
      <x:c r="J29" s="24" t="n">
        <x:v>2</x:v>
      </x:c>
      <x:c r="K29" s="24" t="n">
        <x:v>12</x:v>
      </x:c>
      <x:c r="L29" s="21" t="str">
        <x:v>공격력·체력은 밸런스 조정 시트에서 계산.</x:v>
      </x:c>
      <x:c r="M29" s="29" t="str">
        <x:v>Normal</x:v>
      </x:c>
      <x:c r="N29" s="30" t="n">
        <x:f>ROUND(N27*(1+'밸런스 조정'!$C$17),0)</x:f>
        <x:v>8</x:v>
      </x:c>
      <x:c r="O29" s="30" t="n">
        <x:f>ROUND(O27*(1+P29),0)</x:f>
        <x:v>306</x:v>
      </x:c>
      <x:c r="P29" s="31" t="n">
        <x:v>0.1</x:v>
      </x:c>
      <x:c r="Q29" s="52" t="n">
        <x:f>'밸런스 조정'!$C$64</x:f>
        <x:v>0</x:v>
      </x:c>
      <x:c r="R29" s="52" t="n">
        <x:f>'밸런스 조정'!$C$65*IF(M29="Boss",5,IF(M29="Elite",2,1))</x:f>
        <x:v>10</x:v>
      </x:c>
    </x:row>
    <x:row r="30">
      <x:c r="B30" t="n">
        <x:v>28</x:v>
      </x:c>
      <x:c r="C30" t="str">
        <x:v>Noryangjin_MapTool_Mode_SR18</x:v>
      </x:c>
      <x:c r="D30" t="str">
        <x:v>SR18_L_E14_T165_Enemy_OldMan_Right</x:v>
      </x:c>
      <x:c r="E30" t="n">
        <x:v>1</x:v>
      </x:c>
      <x:c r="F30" t="str">
        <x:v>공격 반복</x:v>
      </x:c>
      <x:c r="G30" t="n">
        <x:v>2</x:v>
      </x:c>
      <x:c r="H30" t="n">
        <x:v>0</x:v>
      </x:c>
      <x:c r="I30" t="n">
        <x:v>5</x:v>
      </x:c>
      <x:c r="J30" t="n">
        <x:v>2</x:v>
      </x:c>
      <x:c r="K30" t="n">
        <x:v>12</x:v>
      </x:c>
      <x:c r="L30" t="str">
        <x:v>왼쪽 적보다 체력 15% 증가. 접근 시차를 두고 발동.</x:v>
      </x:c>
      <x:c r="M30" t="str">
        <x:v>Normal</x:v>
      </x:c>
      <x:c r="N30" t="n">
        <x:f>N29</x:f>
        <x:v>8</x:v>
      </x:c>
      <x:c r="O30" t="n">
        <x:f>ROUND(O29*(1+P30),0)</x:f>
        <x:v>352</x:v>
      </x:c>
      <x:c r="P30" t="n">
        <x:v>0.15</x:v>
      </x:c>
      <x:c r="Q30" s="52" t="n">
        <x:f>'밸런스 조정'!$C$64</x:f>
        <x:v>0</x:v>
      </x:c>
      <x:c r="R30" s="52" t="n">
        <x:f>'밸런스 조정'!$C$65*IF(M30="Boss",5,IF(M30="Elite",2,1))</x:f>
        <x:v>10</x:v>
      </x:c>
    </x:row>
    <x:row r="31">
      <x:c r="B31" t="n">
        <x:v>29</x:v>
      </x:c>
      <x:c r="C31" t="str">
        <x:v>Noryangjin_MapTool_Mode_SR18</x:v>
      </x:c>
      <x:c r="D31" t="str">
        <x:v>SR18_L_E15_T173_Enemy_YllowMan_Sword</x:v>
      </x:c>
      <x:c r="E31" t="n">
        <x:v>1</x:v>
      </x:c>
      <x:c r="F31" t="str">
        <x:v>왕복</x:v>
      </x:c>
      <x:c r="G31" t="n">
        <x:v>2.5</x:v>
      </x:c>
      <x:c r="H31" t="n">
        <x:v>8</x:v>
      </x:c>
      <x:c r="I31" t="n">
        <x:v>18</x:v>
      </x:c>
      <x:c r="J31" t="n">
        <x:v>2</x:v>
      </x:c>
      <x:c r="K31" t="n">
        <x:v>12</x:v>
      </x:c>
      <x:c r="L31" t="str">
        <x:v>공격력·체력은 밸런스 조정 시트에서 계산.</x:v>
      </x:c>
      <x:c r="M31" t="str">
        <x:v>Normal</x:v>
      </x:c>
      <x:c r="N31" t="n">
        <x:f>ROUND(N29*(1+'밸런스 조정'!$C$17),0)</x:f>
        <x:v>8</x:v>
      </x:c>
      <x:c r="O31" t="n">
        <x:f>ROUND(O29*(1+P31),0)</x:f>
        <x:v>337</x:v>
      </x:c>
      <x:c r="P31" t="n">
        <x:v>0.1</x:v>
      </x:c>
      <x:c r="Q31" s="52" t="n">
        <x:f>'밸런스 조정'!$C$64</x:f>
        <x:v>0</x:v>
      </x:c>
      <x:c r="R31" s="52" t="n">
        <x:f>'밸런스 조정'!$C$65*IF(M31="Boss",5,IF(M31="Elite",2,1))</x:f>
        <x:v>10</x:v>
      </x:c>
    </x:row>
    <x:row r="32">
      <x:c r="B32" t="n">
        <x:v>30</x:v>
      </x:c>
      <x:c r="C32" t="str">
        <x:v>Noryangjin_MapTool_Mode_SR18</x:v>
      </x:c>
      <x:c r="D32" t="str">
        <x:v>SR18_L_E15_T173_Enemy_YllowMan_Sword_Right</x:v>
      </x:c>
      <x:c r="E32" t="n">
        <x:v>1</x:v>
      </x:c>
      <x:c r="F32" t="str">
        <x:v>왕복</x:v>
      </x:c>
      <x:c r="G32" t="n">
        <x:v>2.5</x:v>
      </x:c>
      <x:c r="H32" t="n">
        <x:v>8</x:v>
      </x:c>
      <x:c r="I32" t="n">
        <x:v>14</x:v>
      </x:c>
      <x:c r="J32" t="n">
        <x:v>2</x:v>
      </x:c>
      <x:c r="K32" t="n">
        <x:v>12</x:v>
      </x:c>
      <x:c r="L32" t="str">
        <x:v>왼쪽 적보다 체력 15% 증가. 접근 시차를 두고 발동.</x:v>
      </x:c>
      <x:c r="M32" t="str">
        <x:v>Normal</x:v>
      </x:c>
      <x:c r="N32" t="n">
        <x:f>N31</x:f>
        <x:v>8</x:v>
      </x:c>
      <x:c r="O32" t="n">
        <x:f>ROUND(O31*(1+P32),0)</x:f>
        <x:v>388</x:v>
      </x:c>
      <x:c r="P32" t="n">
        <x:v>0.15</x:v>
      </x:c>
      <x:c r="Q32" s="52" t="n">
        <x:f>'밸런스 조정'!$C$64</x:f>
        <x:v>0</x:v>
      </x:c>
      <x:c r="R32" s="52" t="n">
        <x:f>'밸런스 조정'!$C$65*IF(M32="Boss",5,IF(M32="Elite",2,1))</x:f>
        <x:v>10</x:v>
      </x:c>
    </x:row>
    <x:row r="33">
      <x:c r="B33" t="n">
        <x:v>31</x:v>
      </x:c>
      <x:c r="C33" t="str">
        <x:v>Noryangjin_MapTool_Mode_SR18</x:v>
      </x:c>
      <x:c r="D33" t="str">
        <x:v>SR18_L_E16_T185_Enemy_OldMan</x:v>
      </x:c>
      <x:c r="E33" t="n">
        <x:v>1</x:v>
      </x:c>
      <x:c r="F33" t="str">
        <x:v>공격 반복</x:v>
      </x:c>
      <x:c r="G33" t="n">
        <x:v>2</x:v>
      </x:c>
      <x:c r="H33" t="n">
        <x:v>0</x:v>
      </x:c>
      <x:c r="I33" t="n">
        <x:v>8</x:v>
      </x:c>
      <x:c r="J33" t="n">
        <x:v>2</x:v>
      </x:c>
      <x:c r="K33" t="n">
        <x:v>12</x:v>
      </x:c>
      <x:c r="L33" t="str">
        <x:v>공격력·체력은 밸런스 조정 시트에서 계산.</x:v>
      </x:c>
      <x:c r="M33" t="str">
        <x:v>Normal</x:v>
      </x:c>
      <x:c r="N33" t="n">
        <x:f>ROUND(N31*(1+'밸런스 조정'!$C$17),0)</x:f>
        <x:v>8</x:v>
      </x:c>
      <x:c r="O33" t="n">
        <x:f>ROUND(O31*(1+P33),0)</x:f>
        <x:v>371</x:v>
      </x:c>
      <x:c r="P33" t="n">
        <x:v>0.1</x:v>
      </x:c>
      <x:c r="Q33" s="52" t="n">
        <x:f>'밸런스 조정'!$C$64</x:f>
        <x:v>0</x:v>
      </x:c>
      <x:c r="R33" s="52" t="n">
        <x:f>'밸런스 조정'!$C$65*IF(M33="Boss",5,IF(M33="Elite",2,1))</x:f>
        <x:v>10</x:v>
      </x:c>
    </x:row>
    <x:row r="34">
      <x:c r="B34" t="n">
        <x:v>32</x:v>
      </x:c>
      <x:c r="C34" t="str">
        <x:v>Noryangjin_MapTool_Mode_SR18</x:v>
      </x:c>
      <x:c r="D34" t="str">
        <x:v>SR18_L_E16_T185_Enemy_OldMan_Right</x:v>
      </x:c>
      <x:c r="E34" t="n">
        <x:v>1</x:v>
      </x:c>
      <x:c r="F34" t="str">
        <x:v>공격 반복</x:v>
      </x:c>
      <x:c r="G34" t="n">
        <x:v>2</x:v>
      </x:c>
      <x:c r="H34" t="n">
        <x:v>0</x:v>
      </x:c>
      <x:c r="I34" t="n">
        <x:v>5</x:v>
      </x:c>
      <x:c r="J34" t="n">
        <x:v>2</x:v>
      </x:c>
      <x:c r="K34" t="n">
        <x:v>12</x:v>
      </x:c>
      <x:c r="L34" t="str">
        <x:v>왼쪽 적보다 체력 15% 증가. 접근 시차를 두고 발동.</x:v>
      </x:c>
      <x:c r="M34" t="str">
        <x:v>Normal</x:v>
      </x:c>
      <x:c r="N34" t="n">
        <x:f>N33</x:f>
        <x:v>8</x:v>
      </x:c>
      <x:c r="O34" t="n">
        <x:f>ROUND(O33*(1+P34),0)</x:f>
        <x:v>427</x:v>
      </x:c>
      <x:c r="P34" t="n">
        <x:v>0.15</x:v>
      </x:c>
      <x:c r="Q34" s="52" t="n">
        <x:f>'밸런스 조정'!$C$64</x:f>
        <x:v>0</x:v>
      </x:c>
      <x:c r="R34" s="52" t="n">
        <x:f>'밸런스 조정'!$C$65*IF(M34="Boss",5,IF(M34="Elite",2,1))</x:f>
        <x:v>10</x:v>
      </x:c>
    </x:row>
    <x:row r="35">
      <x:c r="B35" t="n">
        <x:v>33</x:v>
      </x:c>
      <x:c r="C35" t="str">
        <x:v>Noryangjin_MapTool_Mode_SR18</x:v>
      </x:c>
      <x:c r="D35" t="str">
        <x:v>SR18_L_E17_T197_Enemy_Guard</x:v>
      </x:c>
      <x:c r="E35" t="n">
        <x:v>1</x:v>
      </x:c>
      <x:c r="F35" t="str">
        <x:v>전방 매복 사격</x:v>
      </x:c>
      <x:c r="G35" t="n">
        <x:v>3</x:v>
      </x:c>
      <x:c r="H35" t="n">
        <x:v>8</x:v>
      </x:c>
      <x:c r="I35" t="n">
        <x:v>16</x:v>
      </x:c>
      <x:c r="J35" t="n">
        <x:v>0.45</x:v>
      </x:c>
      <x:c r="K35" t="n">
        <x:v>11.9</x:v>
      </x:c>
      <x:c r="L35" t="str">
        <x:v>공격력·체력은 밸런스 조정 시트에서 계산.</x:v>
      </x:c>
      <x:c r="M35" t="str">
        <x:v>Normal</x:v>
      </x:c>
      <x:c r="N35" t="n">
        <x:f>(ROUND(N33*(1+'밸런스 조정'!$C$17),0))*0.45</x:f>
        <x:v>3.6</x:v>
      </x:c>
      <x:c r="O35" t="n">
        <x:f>ROUND(O33*(1+P35),0)</x:f>
        <x:v>408</x:v>
      </x:c>
      <x:c r="P35" t="n">
        <x:v>0.1</x:v>
      </x:c>
      <x:c r="Q35" s="52" t="n">
        <x:f>'밸런스 조정'!$C$64</x:f>
        <x:v>0</x:v>
      </x:c>
      <x:c r="R35" s="52" t="n">
        <x:f>'밸런스 조정'!$C$65*IF(M35="Boss",5,IF(M35="Elite",2,1))</x:f>
        <x:v>10</x:v>
      </x:c>
    </x:row>
    <x:row r="36">
      <x:c r="B36" t="n">
        <x:v>34</x:v>
      </x:c>
      <x:c r="C36" t="str">
        <x:v>Noryangjin_MapTool_Mode_SR18</x:v>
      </x:c>
      <x:c r="D36" t="str">
        <x:v>SR18_L_E17_T197_Enemy_Guard_Right</x:v>
      </x:c>
      <x:c r="E36" t="n">
        <x:v>1</x:v>
      </x:c>
      <x:c r="F36" t="str">
        <x:v>전방 매복 사격</x:v>
      </x:c>
      <x:c r="G36" t="n">
        <x:v>3</x:v>
      </x:c>
      <x:c r="H36" t="n">
        <x:v>8</x:v>
      </x:c>
      <x:c r="I36" t="n">
        <x:v>12</x:v>
      </x:c>
      <x:c r="J36" t="n">
        <x:v>0.45</x:v>
      </x:c>
      <x:c r="K36" t="n">
        <x:v>11.9</x:v>
      </x:c>
      <x:c r="L36" t="str">
        <x:v>왼쪽 적보다 체력 15% 증가. 접근 시차를 두고 발동.</x:v>
      </x:c>
      <x:c r="M36" t="str">
        <x:v>Normal</x:v>
      </x:c>
      <x:c r="N36" t="n">
        <x:f>N35</x:f>
        <x:v>3.6</x:v>
      </x:c>
      <x:c r="O36" t="n">
        <x:f>ROUND(O35*(1+P36),0)</x:f>
        <x:v>469</x:v>
      </x:c>
      <x:c r="P36" t="n">
        <x:v>0.15</x:v>
      </x:c>
      <x:c r="Q36" s="52" t="n">
        <x:f>'밸런스 조정'!$C$64</x:f>
        <x:v>0</x:v>
      </x:c>
      <x:c r="R36" s="52" t="n">
        <x:f>'밸런스 조정'!$C$65*IF(M36="Boss",5,IF(M36="Elite",2,1))</x:f>
        <x:v>10</x:v>
      </x:c>
    </x:row>
    <x:row r="37">
      <x:c r="B37" t="n">
        <x:v>35</x:v>
      </x:c>
      <x:c r="C37" t="str">
        <x:v>Noryangjin_MapTool_Mode_SR18</x:v>
      </x:c>
      <x:c r="D37" t="str">
        <x:v>SR18_L_E18_T209_Enemy_YllowMan_Net</x:v>
      </x:c>
      <x:c r="E37" t="n">
        <x:v>1</x:v>
      </x:c>
      <x:c r="F37" t="str">
        <x:v>공격 반복</x:v>
      </x:c>
      <x:c r="G37" t="n">
        <x:v>2</x:v>
      </x:c>
      <x:c r="H37" t="n">
        <x:v>0</x:v>
      </x:c>
      <x:c r="I37" t="n">
        <x:v>8</x:v>
      </x:c>
      <x:c r="J37" t="n">
        <x:v>2</x:v>
      </x:c>
      <x:c r="K37" t="n">
        <x:v>12</x:v>
      </x:c>
      <x:c r="L37" t="str">
        <x:v>공격력·체력은 밸런스 조정 시트에서 계산.</x:v>
      </x:c>
      <x:c r="M37" t="str">
        <x:v>Normal</x:v>
      </x:c>
      <x:c r="N37" t="n">
        <x:f>ROUND(N35*(1+'밸런스 조정'!$C$17),0)</x:f>
        <x:v>8</x:v>
      </x:c>
      <x:c r="O37" t="n">
        <x:f>ROUND(O35*(1+P37),0)</x:f>
        <x:v>449</x:v>
      </x:c>
      <x:c r="P37" t="n">
        <x:v>0.1</x:v>
      </x:c>
      <x:c r="Q37" s="52" t="n">
        <x:f>'밸런스 조정'!$C$64</x:f>
        <x:v>0</x:v>
      </x:c>
      <x:c r="R37" s="52" t="n">
        <x:f>'밸런스 조정'!$C$65*IF(M37="Boss",5,IF(M37="Elite",2,1))</x:f>
        <x:v>10</x:v>
      </x:c>
    </x:row>
    <x:row r="38">
      <x:c r="B38" t="n">
        <x:v>36</x:v>
      </x:c>
      <x:c r="C38" t="str">
        <x:v>Noryangjin_MapTool_Mode_SR18</x:v>
      </x:c>
      <x:c r="D38" t="str">
        <x:v>SR18_L_E18_T209_Enemy_YllowMan_Net_Right</x:v>
      </x:c>
      <x:c r="E38" t="n">
        <x:v>1</x:v>
      </x:c>
      <x:c r="F38" t="str">
        <x:v>공격 반복</x:v>
      </x:c>
      <x:c r="G38" t="n">
        <x:v>2</x:v>
      </x:c>
      <x:c r="H38" t="n">
        <x:v>0</x:v>
      </x:c>
      <x:c r="I38" t="n">
        <x:v>5</x:v>
      </x:c>
      <x:c r="J38" t="n">
        <x:v>2</x:v>
      </x:c>
      <x:c r="K38" t="n">
        <x:v>12</x:v>
      </x:c>
      <x:c r="L38" t="str">
        <x:v>왼쪽 적보다 체력 15% 증가. 접근 시차를 두고 발동.</x:v>
      </x:c>
      <x:c r="M38" t="str">
        <x:v>Normal</x:v>
      </x:c>
      <x:c r="N38" t="n">
        <x:f>N37</x:f>
        <x:v>8</x:v>
      </x:c>
      <x:c r="O38" t="n">
        <x:f>ROUND(O37*(1+P38),0)</x:f>
        <x:v>516</x:v>
      </x:c>
      <x:c r="P38" t="n">
        <x:v>0.15</x:v>
      </x:c>
      <x:c r="Q38" s="52" t="n">
        <x:f>'밸런스 조정'!$C$64</x:f>
        <x:v>0</x:v>
      </x:c>
      <x:c r="R38" s="52" t="n">
        <x:f>'밸런스 조정'!$C$65*IF(M38="Boss",5,IF(M38="Elite",2,1))</x:f>
        <x:v>10</x:v>
      </x:c>
    </x:row>
    <x:row r="39">
      <x:c r="B39" t="n">
        <x:v>37</x:v>
      </x:c>
      <x:c r="C39" t="str">
        <x:v>Noryangjin_MapTool_Mode_SR18</x:v>
      </x:c>
      <x:c r="D39" t="str">
        <x:v>SR18_L_E19_T221_Enemy_YllowMan_Sword</x:v>
      </x:c>
      <x:c r="E39" t="n">
        <x:v>1</x:v>
      </x:c>
      <x:c r="F39" t="str">
        <x:v>왕복</x:v>
      </x:c>
      <x:c r="G39" t="n">
        <x:v>1.4</x:v>
      </x:c>
      <x:c r="H39" t="n">
        <x:v>2</x:v>
      </x:c>
      <x:c r="I39" t="n">
        <x:v>18</x:v>
      </x:c>
      <x:c r="J39" t="n">
        <x:v>2</x:v>
      </x:c>
      <x:c r="K39" t="n">
        <x:v>12</x:v>
      </x:c>
      <x:c r="L39" t="str">
        <x:v>공격력·체력은 밸런스 조정 시트에서 계산.</x:v>
      </x:c>
      <x:c r="M39" t="str">
        <x:v>Normal</x:v>
      </x:c>
      <x:c r="N39" t="n">
        <x:f>ROUND(N37*(1+'밸런스 조정'!$C$17),0)</x:f>
        <x:v>8</x:v>
      </x:c>
      <x:c r="O39" t="n">
        <x:f>ROUND(O37*(1+P39),0)</x:f>
        <x:v>494</x:v>
      </x:c>
      <x:c r="P39" t="n">
        <x:v>0.1</x:v>
      </x:c>
      <x:c r="Q39" s="52" t="n">
        <x:f>'밸런스 조정'!$C$64</x:f>
        <x:v>0</x:v>
      </x:c>
      <x:c r="R39" s="52" t="n">
        <x:f>'밸런스 조정'!$C$65*IF(M39="Boss",5,IF(M39="Elite",2,1))</x:f>
        <x:v>10</x:v>
      </x:c>
    </x:row>
    <x:row r="40">
      <x:c r="B40" t="n">
        <x:v>38</x:v>
      </x:c>
      <x:c r="C40" t="str">
        <x:v>Noryangjin_MapTool_Mode_SR18</x:v>
      </x:c>
      <x:c r="D40" t="str">
        <x:v>SR18_L_E19_T221_Enemy_YllowMan_Sword_Right</x:v>
      </x:c>
      <x:c r="E40" t="n">
        <x:v>1</x:v>
      </x:c>
      <x:c r="F40" t="str">
        <x:v>왕복</x:v>
      </x:c>
      <x:c r="G40" t="n">
        <x:v>1.4</x:v>
      </x:c>
      <x:c r="H40" t="n">
        <x:v>2</x:v>
      </x:c>
      <x:c r="I40" t="n">
        <x:v>14</x:v>
      </x:c>
      <x:c r="J40" t="n">
        <x:v>2</x:v>
      </x:c>
      <x:c r="K40" t="n">
        <x:v>12</x:v>
      </x:c>
      <x:c r="L40" t="str">
        <x:v>왼쪽 적보다 체력 15% 증가. 접근 시차를 두고 발동.</x:v>
      </x:c>
      <x:c r="M40" t="str">
        <x:v>Normal</x:v>
      </x:c>
      <x:c r="N40" t="n">
        <x:f>N39</x:f>
        <x:v>8</x:v>
      </x:c>
      <x:c r="O40" t="n">
        <x:f>ROUND(O39*(1+P40),0)</x:f>
        <x:v>568</x:v>
      </x:c>
      <x:c r="P40" t="n">
        <x:v>0.15</x:v>
      </x:c>
      <x:c r="Q40" s="52" t="n">
        <x:f>'밸런스 조정'!$C$64</x:f>
        <x:v>0</x:v>
      </x:c>
      <x:c r="R40" s="52" t="n">
        <x:f>'밸런스 조정'!$C$65*IF(M40="Boss",5,IF(M40="Elite",2,1))</x:f>
        <x:v>10</x:v>
      </x:c>
    </x:row>
    <x:row r="41">
      <x:c r="B41" t="n">
        <x:v>39</x:v>
      </x:c>
      <x:c r="C41" t="str">
        <x:v>Noryangjin_MapTool_Mode_SR18</x:v>
      </x:c>
      <x:c r="D41" t="str">
        <x:v>SR18_L_E20_T233_Enemy_OldMan</x:v>
      </x:c>
      <x:c r="E41" t="n">
        <x:v>1</x:v>
      </x:c>
      <x:c r="F41" t="str">
        <x:v>공격 반복</x:v>
      </x:c>
      <x:c r="G41" t="n">
        <x:v>2</x:v>
      </x:c>
      <x:c r="H41" t="n">
        <x:v>0</x:v>
      </x:c>
      <x:c r="I41" t="n">
        <x:v>8</x:v>
      </x:c>
      <x:c r="J41" t="n">
        <x:v>2</x:v>
      </x:c>
      <x:c r="K41" t="n">
        <x:v>12</x:v>
      </x:c>
      <x:c r="L41" t="str">
        <x:v>공격력·체력은 밸런스 조정 시트에서 계산.</x:v>
      </x:c>
      <x:c r="M41" t="str">
        <x:v>Normal</x:v>
      </x:c>
      <x:c r="N41" t="n">
        <x:f>ROUND(N39*(1+'밸런스 조정'!$C$17),0)</x:f>
        <x:v>8</x:v>
      </x:c>
      <x:c r="O41" t="n">
        <x:f>ROUND(O39*(1+P41),0)</x:f>
        <x:v>543</x:v>
      </x:c>
      <x:c r="P41" t="n">
        <x:v>0.1</x:v>
      </x:c>
      <x:c r="Q41" s="52" t="n">
        <x:f>'밸런스 조정'!$C$64</x:f>
        <x:v>0</x:v>
      </x:c>
      <x:c r="R41" s="52" t="n">
        <x:f>'밸런스 조정'!$C$65*IF(M41="Boss",5,IF(M41="Elite",2,1))</x:f>
        <x:v>10</x:v>
      </x:c>
    </x:row>
    <x:row r="42">
      <x:c r="B42" t="n">
        <x:v>40</x:v>
      </x:c>
      <x:c r="C42" t="str">
        <x:v>Noryangjin_MapTool_Mode_SR18</x:v>
      </x:c>
      <x:c r="D42" t="str">
        <x:v>SR18_L_E20_T233_Enemy_OldMan_Right</x:v>
      </x:c>
      <x:c r="E42" t="n">
        <x:v>1</x:v>
      </x:c>
      <x:c r="F42" t="str">
        <x:v>공격 반복</x:v>
      </x:c>
      <x:c r="G42" t="n">
        <x:v>2</x:v>
      </x:c>
      <x:c r="H42" t="n">
        <x:v>0</x:v>
      </x:c>
      <x:c r="I42" t="n">
        <x:v>5</x:v>
      </x:c>
      <x:c r="J42" t="n">
        <x:v>2</x:v>
      </x:c>
      <x:c r="K42" t="n">
        <x:v>12</x:v>
      </x:c>
      <x:c r="L42" t="str">
        <x:v>왼쪽 적보다 체력 15% 증가. 접근 시차를 두고 발동.</x:v>
      </x:c>
      <x:c r="M42" t="str">
        <x:v>Normal</x:v>
      </x:c>
      <x:c r="N42" t="n">
        <x:f>N41</x:f>
        <x:v>8</x:v>
      </x:c>
      <x:c r="O42" t="n">
        <x:f>ROUND(O41*(1+P42),0)</x:f>
        <x:v>624</x:v>
      </x:c>
      <x:c r="P42" t="n">
        <x:v>0.15</x:v>
      </x:c>
      <x:c r="Q42" s="52" t="n">
        <x:f>'밸런스 조정'!$C$64</x:f>
        <x:v>0</x:v>
      </x:c>
      <x:c r="R42" s="52" t="n">
        <x:f>'밸런스 조정'!$C$65*IF(M42="Boss",5,IF(M42="Elite",2,1))</x:f>
        <x:v>10</x:v>
      </x:c>
    </x:row>
    <x:row r="43">
      <x:c r="B43" t="n">
        <x:v>41</x:v>
      </x:c>
      <x:c r="C43" t="str">
        <x:v>Noryangjin_MapTool_Mode_SR18</x:v>
      </x:c>
      <x:c r="D43" t="str">
        <x:v>SR18_L_E21_T245_Enemy_YllowMan_Net</x:v>
      </x:c>
      <x:c r="E43" t="n">
        <x:v>1</x:v>
      </x:c>
      <x:c r="F43" t="str">
        <x:v>공격 반복</x:v>
      </x:c>
      <x:c r="G43" t="n">
        <x:v>2</x:v>
      </x:c>
      <x:c r="H43" t="n">
        <x:v>0</x:v>
      </x:c>
      <x:c r="I43" t="n">
        <x:v>8</x:v>
      </x:c>
      <x:c r="J43" t="n">
        <x:v>2</x:v>
      </x:c>
      <x:c r="K43" t="n">
        <x:v>12</x:v>
      </x:c>
      <x:c r="L43" t="str">
        <x:v>공격력·체력은 밸런스 조정 시트에서 계산.</x:v>
      </x:c>
      <x:c r="M43" t="str">
        <x:v>Normal</x:v>
      </x:c>
      <x:c r="N43" t="n">
        <x:f>ROUND(N41*(1+'밸런스 조정'!$C$17),0)</x:f>
        <x:v>8</x:v>
      </x:c>
      <x:c r="O43" t="n">
        <x:f>ROUND(O41*(1+P43),0)</x:f>
        <x:v>597</x:v>
      </x:c>
      <x:c r="P43" t="n">
        <x:v>0.1</x:v>
      </x:c>
      <x:c r="Q43" s="52" t="n">
        <x:f>'밸런스 조정'!$C$64</x:f>
        <x:v>0</x:v>
      </x:c>
      <x:c r="R43" s="52" t="n">
        <x:f>'밸런스 조정'!$C$65*IF(M43="Boss",5,IF(M43="Elite",2,1))</x:f>
        <x:v>10</x:v>
      </x:c>
    </x:row>
    <x:row r="44">
      <x:c r="B44" t="n">
        <x:v>42</x:v>
      </x:c>
      <x:c r="C44" t="str">
        <x:v>Noryangjin_MapTool_Mode_SR18</x:v>
      </x:c>
      <x:c r="D44" t="str">
        <x:v>SR18_L_E21_T245_Enemy_YllowMan_Net_Right</x:v>
      </x:c>
      <x:c r="E44" t="n">
        <x:v>1</x:v>
      </x:c>
      <x:c r="F44" t="str">
        <x:v>공격 반복</x:v>
      </x:c>
      <x:c r="G44" t="n">
        <x:v>2</x:v>
      </x:c>
      <x:c r="H44" t="n">
        <x:v>0</x:v>
      </x:c>
      <x:c r="I44" t="n">
        <x:v>5</x:v>
      </x:c>
      <x:c r="J44" t="n">
        <x:v>2</x:v>
      </x:c>
      <x:c r="K44" t="n">
        <x:v>12</x:v>
      </x:c>
      <x:c r="L44" t="str">
        <x:v>왼쪽 적보다 체력 15% 증가. 접근 시차를 두고 발동.</x:v>
      </x:c>
      <x:c r="M44" t="str">
        <x:v>Normal</x:v>
      </x:c>
      <x:c r="N44" t="n">
        <x:f>N43</x:f>
        <x:v>8</x:v>
      </x:c>
      <x:c r="O44" t="n">
        <x:f>ROUND(O43*(1+P44),0)</x:f>
        <x:v>687</x:v>
      </x:c>
      <x:c r="P44" t="n">
        <x:v>0.15</x:v>
      </x:c>
      <x:c r="Q44" s="52" t="n">
        <x:f>'밸런스 조정'!$C$64</x:f>
        <x:v>0</x:v>
      </x:c>
      <x:c r="R44" s="52" t="n">
        <x:f>'밸런스 조정'!$C$65*IF(M44="Boss",5,IF(M44="Elite",2,1))</x:f>
        <x:v>10</x:v>
      </x:c>
    </x:row>
    <x:row r="45">
      <x:c r="B45" t="n">
        <x:v>43</x:v>
      </x:c>
      <x:c r="C45" t="str">
        <x:v>Noryangjin_MapTool_Mode_SR18</x:v>
      </x:c>
      <x:c r="D45" t="str">
        <x:v>SR18_L_E22_T257_Enemy_OldMan</x:v>
      </x:c>
      <x:c r="E45" t="n">
        <x:v>1</x:v>
      </x:c>
      <x:c r="F45" t="str">
        <x:v>공격 반복</x:v>
      </x:c>
      <x:c r="G45" t="n">
        <x:v>2</x:v>
      </x:c>
      <x:c r="H45" t="n">
        <x:v>0</x:v>
      </x:c>
      <x:c r="I45" t="n">
        <x:v>8</x:v>
      </x:c>
      <x:c r="J45" t="n">
        <x:v>2</x:v>
      </x:c>
      <x:c r="K45" t="n">
        <x:v>12</x:v>
      </x:c>
      <x:c r="L45" t="str">
        <x:v>공격력·체력은 밸런스 조정 시트에서 계산.</x:v>
      </x:c>
      <x:c r="M45" t="str">
        <x:v>Normal</x:v>
      </x:c>
      <x:c r="N45" t="n">
        <x:f>ROUND(N43*(1+'밸런스 조정'!$C$17),0)</x:f>
        <x:v>8</x:v>
      </x:c>
      <x:c r="O45" t="n">
        <x:f>ROUND(O43*(1+P45),0)</x:f>
        <x:v>657</x:v>
      </x:c>
      <x:c r="P45" t="n">
        <x:v>0.1</x:v>
      </x:c>
      <x:c r="Q45" s="52" t="n">
        <x:f>'밸런스 조정'!$C$64</x:f>
        <x:v>0</x:v>
      </x:c>
      <x:c r="R45" s="52" t="n">
        <x:f>'밸런스 조정'!$C$65*IF(M45="Boss",5,IF(M45="Elite",2,1))</x:f>
        <x:v>10</x:v>
      </x:c>
    </x:row>
    <x:row r="46">
      <x:c r="B46" t="n">
        <x:v>44</x:v>
      </x:c>
      <x:c r="C46" t="str">
        <x:v>Noryangjin_MapTool_Mode_SR18</x:v>
      </x:c>
      <x:c r="D46" t="str">
        <x:v>SR18_L_E22_T257_Enemy_OldMan_Right</x:v>
      </x:c>
      <x:c r="E46" t="n">
        <x:v>1</x:v>
      </x:c>
      <x:c r="F46" t="str">
        <x:v>공격 반복</x:v>
      </x:c>
      <x:c r="G46" t="n">
        <x:v>2</x:v>
      </x:c>
      <x:c r="H46" t="n">
        <x:v>0</x:v>
      </x:c>
      <x:c r="I46" t="n">
        <x:v>5</x:v>
      </x:c>
      <x:c r="J46" t="n">
        <x:v>2</x:v>
      </x:c>
      <x:c r="K46" t="n">
        <x:v>12</x:v>
      </x:c>
      <x:c r="L46" t="str">
        <x:v>왼쪽 적보다 체력 15% 증가. 접근 시차를 두고 발동.</x:v>
      </x:c>
      <x:c r="M46" t="str">
        <x:v>Normal</x:v>
      </x:c>
      <x:c r="N46" t="n">
        <x:f>N45</x:f>
        <x:v>8</x:v>
      </x:c>
      <x:c r="O46" t="n">
        <x:f>ROUND(O45*(1+P46),0)</x:f>
        <x:v>756</x:v>
      </x:c>
      <x:c r="P46" t="n">
        <x:v>0.15</x:v>
      </x:c>
      <x:c r="Q46" s="52" t="n">
        <x:f>'밸런스 조정'!$C$64</x:f>
        <x:v>0</x:v>
      </x:c>
      <x:c r="R46" s="52" t="n">
        <x:f>'밸런스 조정'!$C$65*IF(M46="Boss",5,IF(M46="Elite",2,1))</x:f>
        <x:v>10</x:v>
      </x:c>
    </x:row>
    <x:row r="47">
      <x:c r="B47" t="n">
        <x:v>45</x:v>
      </x:c>
      <x:c r="C47" t="str">
        <x:v>Noryangjin_MapTool_Mode_SR18</x:v>
      </x:c>
      <x:c r="D47" t="str">
        <x:v>SR18_L_E23_T273_Enemy_OldMan</x:v>
      </x:c>
      <x:c r="E47" t="n">
        <x:v>1</x:v>
      </x:c>
      <x:c r="F47" t="str">
        <x:v>공격 반복</x:v>
      </x:c>
      <x:c r="G47" t="n">
        <x:v>2</x:v>
      </x:c>
      <x:c r="H47" t="n">
        <x:v>0</x:v>
      </x:c>
      <x:c r="I47" t="n">
        <x:v>8</x:v>
      </x:c>
      <x:c r="J47" t="n">
        <x:v>2</x:v>
      </x:c>
      <x:c r="K47" t="n">
        <x:v>12</x:v>
      </x:c>
      <x:c r="L47" t="str">
        <x:v>공격력·체력은 밸런스 조정 시트에서 계산.</x:v>
      </x:c>
      <x:c r="M47" t="str">
        <x:v>Normal</x:v>
      </x:c>
      <x:c r="N47" t="n">
        <x:f>ROUND(N45*(1+'밸런스 조정'!$C$17),0)</x:f>
        <x:v>8</x:v>
      </x:c>
      <x:c r="O47" t="n">
        <x:f>ROUND(O45*(1+P47),0)</x:f>
        <x:v>723</x:v>
      </x:c>
      <x:c r="P47" t="n">
        <x:v>0.1</x:v>
      </x:c>
      <x:c r="Q47" s="52" t="n">
        <x:f>'밸런스 조정'!$C$64</x:f>
        <x:v>0</x:v>
      </x:c>
      <x:c r="R47" s="52" t="n">
        <x:f>'밸런스 조정'!$C$65*IF(M47="Boss",5,IF(M47="Elite",2,1))</x:f>
        <x:v>10</x:v>
      </x:c>
    </x:row>
    <x:row r="48">
      <x:c r="B48" t="n">
        <x:v>46</x:v>
      </x:c>
      <x:c r="C48" t="str">
        <x:v>Noryangjin_MapTool_Mode_SR18</x:v>
      </x:c>
      <x:c r="D48" t="str">
        <x:v>SR18_L_E23_T273_Enemy_OldMan_Right</x:v>
      </x:c>
      <x:c r="E48" t="n">
        <x:v>1</x:v>
      </x:c>
      <x:c r="F48" t="str">
        <x:v>공격 반복</x:v>
      </x:c>
      <x:c r="G48" t="n">
        <x:v>2</x:v>
      </x:c>
      <x:c r="H48" t="n">
        <x:v>0</x:v>
      </x:c>
      <x:c r="I48" t="n">
        <x:v>5</x:v>
      </x:c>
      <x:c r="J48" t="n">
        <x:v>2</x:v>
      </x:c>
      <x:c r="K48" t="n">
        <x:v>12</x:v>
      </x:c>
      <x:c r="L48" t="str">
        <x:v>왼쪽 적보다 체력 15% 증가. 접근 시차를 두고 발동.</x:v>
      </x:c>
      <x:c r="M48" t="str">
        <x:v>Normal</x:v>
      </x:c>
      <x:c r="N48" t="n">
        <x:f>N47</x:f>
        <x:v>8</x:v>
      </x:c>
      <x:c r="O48" t="n">
        <x:f>ROUND(O47*(1+P48),0)</x:f>
        <x:v>831</x:v>
      </x:c>
      <x:c r="P48" t="n">
        <x:v>0.15</x:v>
      </x:c>
      <x:c r="Q48" s="52" t="n">
        <x:f>'밸런스 조정'!$C$64</x:f>
        <x:v>0</x:v>
      </x:c>
      <x:c r="R48" s="52" t="n">
        <x:f>'밸런스 조정'!$C$65*IF(M48="Boss",5,IF(M48="Elite",2,1))</x:f>
        <x:v>10</x:v>
      </x:c>
    </x:row>
    <x:row r="49">
      <x:c r="B49" t="n">
        <x:v>47</x:v>
      </x:c>
      <x:c r="C49" t="str">
        <x:v>Noryangjin_MapTool_Mode_SR18</x:v>
      </x:c>
      <x:c r="D49" t="str">
        <x:v>SR18_L_E24_T281_Enemy_FatMan</x:v>
      </x:c>
      <x:c r="E49" t="n">
        <x:v>1</x:v>
      </x:c>
      <x:c r="F49" t="str">
        <x:v>사격</x:v>
      </x:c>
      <x:c r="G49" t="n">
        <x:v>0</x:v>
      </x:c>
      <x:c r="H49" t="n">
        <x:v>0</x:v>
      </x:c>
      <x:c r="I49" t="n">
        <x:v>16</x:v>
      </x:c>
      <x:c r="J49" t="n">
        <x:v>0.62</x:v>
      </x:c>
      <x:c r="K49" t="n">
        <x:v>18</x:v>
      </x:c>
      <x:c r="L49" t="str">
        <x:v>공격력·체력은 밸런스 조정 시트에서 계산.</x:v>
      </x:c>
      <x:c r="M49" t="str">
        <x:v>Elite</x:v>
      </x:c>
      <x:c r="N49" t="n">
        <x:f>(ROUND(N47*'밸런스 조정'!$C$19,0))*0.45</x:f>
        <x:v>5.85</x:v>
      </x:c>
      <x:c r="O49" t="n">
        <x:f>ROUND(O47*'밸런스 조정'!$C$20,0)</x:f>
        <x:v>1301</x:v>
      </x:c>
      <x:c r="P49"/>
      <x:c r="Q49" s="52" t="n">
        <x:f>'밸런스 조정'!$C$64</x:f>
        <x:v>0</x:v>
      </x:c>
      <x:c r="R49" s="52" t="n">
        <x:f>'밸런스 조정'!$C$65*IF(M49="Boss",5,IF(M49="Elite",2,1))</x:f>
        <x:v>20</x:v>
      </x:c>
    </x:row>
    <x:row r="50">
      <x:c r="B50" t="n">
        <x:v>48</x:v>
      </x:c>
      <x:c r="C50" t="str">
        <x:v>Noryangjin_MapTool_Mode_SR18</x:v>
      </x:c>
      <x:c r="D50" t="str">
        <x:v>SR18_L_E24_T281_Enemy_FatMan_Right</x:v>
      </x:c>
      <x:c r="E50" t="n">
        <x:v>1</x:v>
      </x:c>
      <x:c r="F50" t="str">
        <x:v>사격</x:v>
      </x:c>
      <x:c r="G50" t="n">
        <x:v>0</x:v>
      </x:c>
      <x:c r="H50" t="n">
        <x:v>0</x:v>
      </x:c>
      <x:c r="I50" t="n">
        <x:v>16</x:v>
      </x:c>
      <x:c r="J50" t="n">
        <x:v>0.62</x:v>
      </x:c>
      <x:c r="K50" t="n">
        <x:v>18</x:v>
      </x:c>
      <x:c r="L50" t="str">
        <x:v>왼쪽 적보다 체력 15% 증가. 접근 시차를 두고 발동.</x:v>
      </x:c>
      <x:c r="M50" t="str">
        <x:v>Elite</x:v>
      </x:c>
      <x:c r="N50" t="n">
        <x:f>N49</x:f>
        <x:v>5.85</x:v>
      </x:c>
      <x:c r="O50" t="n">
        <x:f>ROUND(O49*(1+P50),0)</x:f>
        <x:v>1496</x:v>
      </x:c>
      <x:c r="P50" t="n">
        <x:v>0.15</x:v>
      </x:c>
      <x:c r="Q50" s="52" t="n">
        <x:f>'밸런스 조정'!$C$64</x:f>
        <x:v>0</x:v>
      </x:c>
      <x:c r="R50" s="52" t="n">
        <x:f>'밸런스 조정'!$C$65*IF(M50="Boss",5,IF(M50="Elite",2,1))</x:f>
        <x:v>20</x:v>
      </x:c>
    </x:row>
    <x:row r="51">
      <x:c r="B51" t="n">
        <x:v>49</x:v>
      </x:c>
      <x:c r="C51" t="str">
        <x:v>Noryangjin_MapTool_Mode_SR18</x:v>
      </x:c>
      <x:c r="D51" t="str">
        <x:v>SR18_L_E25_T293_Enemy_Woman</x:v>
      </x:c>
      <x:c r="E51" t="n">
        <x:v>1</x:v>
      </x:c>
      <x:c r="F51" t="str">
        <x:v>공격 반복</x:v>
      </x:c>
      <x:c r="G51" t="n">
        <x:v>2</x:v>
      </x:c>
      <x:c r="H51" t="n">
        <x:v>0</x:v>
      </x:c>
      <x:c r="I51" t="n">
        <x:v>8</x:v>
      </x:c>
      <x:c r="J51" t="n">
        <x:v>2</x:v>
      </x:c>
      <x:c r="K51" t="n">
        <x:v>12</x:v>
      </x:c>
      <x:c r="L51" t="str">
        <x:v>공격력·체력은 밸런스 조정 시트에서 계산.</x:v>
      </x:c>
      <x:c r="M51" t="str">
        <x:v>Boss</x:v>
      </x:c>
      <x:c r="N51" t="n">
        <x:f>ROUND(N47*'밸런스 조정'!$C$21,0)</x:f>
        <x:v>24</x:v>
      </x:c>
      <x:c r="O51" t="n">
        <x:f>ROUND(O47*'밸런스 조정'!$C$22,0)</x:f>
        <x:v>2458</x:v>
      </x:c>
      <x:c r="P51"/>
      <x:c r="Q51" s="52" t="n">
        <x:f>'밸런스 조정'!$C$64</x:f>
        <x:v>0</x:v>
      </x:c>
      <x:c r="R51" s="52" t="n">
        <x:f>'밸런스 조정'!$C$65*IF(M51="Boss",5,IF(M51="Elite",2,1))</x:f>
        <x:v>50</x:v>
      </x:c>
    </x:row>
    <x:row r="52">
      <x:c r="B52" t="n">
        <x:v>50</x:v>
      </x:c>
      <x:c r="C52" t="str">
        <x:v>Noryangjin_MapTool_Mode_SR18</x:v>
      </x:c>
      <x:c r="D52" t="str">
        <x:v>SR18_L_E25_T293_Enemy_Woman_Right</x:v>
      </x:c>
      <x:c r="E52" t="n">
        <x:v>0</x:v>
      </x:c>
      <x:c r="F52" t="str">
        <x:v>공격 반복</x:v>
      </x:c>
      <x:c r="G52" t="n">
        <x:v>2</x:v>
      </x:c>
      <x:c r="H52" t="n">
        <x:v>0</x:v>
      </x:c>
      <x:c r="I52" t="n">
        <x:v>5</x:v>
      </x:c>
      <x:c r="J52" t="n">
        <x:v>2</x:v>
      </x:c>
      <x:c r="K52" t="n">
        <x:v>12</x:v>
      </x:c>
      <x:c r="L52" t="str">
        <x:v>왼쪽 적보다 체력 15% 증가. 접근 시차를 두고 발동.</x:v>
      </x:c>
      <x:c r="M52" t="str">
        <x:v>Boss</x:v>
      </x:c>
      <x:c r="N52" t="n">
        <x:f>N51</x:f>
        <x:v>24</x:v>
      </x:c>
      <x:c r="O52" t="n">
        <x:f>ROUND(O51*(1+P52),0)</x:f>
        <x:v>2827</x:v>
      </x:c>
      <x:c r="P52" t="n">
        <x:v>0.15</x:v>
      </x:c>
      <x:c r="Q52" s="52" t="n">
        <x:f>'밸런스 조정'!$C$64</x:f>
        <x:v>0</x:v>
      </x:c>
      <x:c r="R52" s="52" t="n">
        <x:f>'밸런스 조정'!$C$65*IF(M52="Boss",5,IF(M52="Elite",2,1))</x:f>
        <x:v>50</x:v>
      </x:c>
    </x:row>
    <x:row r="53">
      <x:c r="B53" t="n">
        <x:v>51</x:v>
      </x:c>
      <x:c r="C53" t="str">
        <x:v>HighWay</x:v>
      </x:c>
      <x:c r="D53" t="str">
        <x:v>HWY_E01_ConeMechanic</x:v>
      </x:c>
      <x:c r="E53" t="n">
        <x:v>1</x:v>
      </x:c>
      <x:c r="F53" t="str">
        <x:v>왕복</x:v>
      </x:c>
      <x:c r="G53" t="n">
        <x:v>2.4</x:v>
      </x:c>
      <x:c r="H53" t="n">
        <x:v>1.2</x:v>
      </x:c>
      <x:c r="I53" t="n">
        <x:v>42</x:v>
      </x:c>
      <x:c r="J53" t="n">
        <x:v>0.55</x:v>
      </x:c>
      <x:c r="K53" t="n">
        <x:v>12</x:v>
      </x:c>
      <x:c r="L53" t="str">
        <x:v>공격력·체력은 밸런스 조정 시트에서 계산.</x:v>
      </x:c>
      <x:c r="M53" t="str">
        <x:v>Normal</x:v>
      </x:c>
      <x:c r="N53" t="n">
        <x:f>ROUND('밸런스 조정'!$C$30*(1+'밸런스 조정'!$C$32)^0*1,0)</x:f>
        <x:v>220</x:v>
      </x:c>
      <x:c r="O53" t="n">
        <x:f>ROUND('밸런스 조정'!$C$31*(1+'밸런스 조정'!$C$33)^0*1,0)</x:f>
        <x:v>540</x:v>
      </x:c>
      <x:c r="P53" t="n">
        <x:v>0.045</x:v>
      </x:c>
      <x:c r="Q53" s="52" t="n">
        <x:f>'밸런스 조정'!$C$64</x:f>
        <x:v>0</x:v>
      </x:c>
      <x:c r="R53" s="52" t="n">
        <x:f>'밸런스 조정'!$C$91*IF(M53="Boss",5,IF(M53="Elite",2,1))</x:f>
        <x:v>150</x:v>
      </x:c>
    </x:row>
    <x:row r="54">
      <x:c r="B54" t="n">
        <x:v>52</x:v>
      </x:c>
      <x:c r="C54" t="str">
        <x:v>HighWay</x:v>
      </x:c>
      <x:c r="D54" t="str">
        <x:v>HWY_E01_ConeMechanic_Right</x:v>
      </x:c>
      <x:c r="E54" t="n">
        <x:v>1</x:v>
      </x:c>
      <x:c r="F54" t="str">
        <x:v>왕복</x:v>
      </x:c>
      <x:c r="G54" t="n">
        <x:v>2.4</x:v>
      </x:c>
      <x:c r="H54" t="n">
        <x:v>1.2</x:v>
      </x:c>
      <x:c r="I54" t="n">
        <x:v>38</x:v>
      </x:c>
      <x:c r="J54" t="n">
        <x:v>0.55</x:v>
      </x:c>
      <x:c r="K54" t="n">
        <x:v>12</x:v>
      </x:c>
      <x:c r="L54" t="str">
        <x:v>왼쪽 적보다 체력 15% 증가. 접근 시차를 두고 발동.</x:v>
      </x:c>
      <x:c r="M54" t="str">
        <x:v>Normal</x:v>
      </x:c>
      <x:c r="N54" t="n">
        <x:f>N53</x:f>
        <x:v>220</x:v>
      </x:c>
      <x:c r="O54" t="n">
        <x:f>ROUND(O53*(1+P54),0)</x:f>
        <x:v>621</x:v>
      </x:c>
      <x:c r="P54" t="n">
        <x:v>0.15</x:v>
      </x:c>
      <x:c r="Q54" s="52" t="n">
        <x:f>'밸런스 조정'!$C$64</x:f>
        <x:v>0</x:v>
      </x:c>
      <x:c r="R54" s="52" t="n">
        <x:f>'밸런스 조정'!$C$91*IF(M54="Boss",5,IF(M54="Elite",2,1))</x:f>
        <x:v>150</x:v>
      </x:c>
    </x:row>
    <x:row r="55">
      <x:c r="B55" t="n">
        <x:v>53</x:v>
      </x:c>
      <x:c r="C55" t="str">
        <x:v>HighWay</x:v>
      </x:c>
      <x:c r="D55" t="str">
        <x:v>HWY_E02_TrafficPatrol</x:v>
      </x:c>
      <x:c r="E55" t="n">
        <x:v>1</x:v>
      </x:c>
      <x:c r="F55" t="str">
        <x:v>사격</x:v>
      </x:c>
      <x:c r="G55" t="n">
        <x:v>2.4</x:v>
      </x:c>
      <x:c r="H55" t="n">
        <x:v>0</x:v>
      </x:c>
      <x:c r="I55" t="n">
        <x:v>16</x:v>
      </x:c>
      <x:c r="J55" t="n">
        <x:v>0.55</x:v>
      </x:c>
      <x:c r="K55" t="n">
        <x:v>10.2</x:v>
      </x:c>
      <x:c r="L55" t="str">
        <x:v>공격력·체력은 밸런스 조정 시트에서 계산.</x:v>
      </x:c>
      <x:c r="M55" t="str">
        <x:v>Normal</x:v>
      </x:c>
      <x:c r="N55" t="n">
        <x:f>(ROUND('밸런스 조정'!$C$30*(1+'밸런스 조정'!$C$32)^1*1,0))*0.45</x:f>
        <x:v>102.6</x:v>
      </x:c>
      <x:c r="O55" t="n">
        <x:f>ROUND('밸런스 조정'!$C$31*(1+'밸런스 조정'!$C$33)^1*1,0)</x:f>
        <x:v>581</x:v>
      </x:c>
      <x:c r="P55" t="n">
        <x:v>0.045</x:v>
      </x:c>
      <x:c r="Q55" s="52" t="n">
        <x:f>'밸런스 조정'!$C$64</x:f>
        <x:v>0</x:v>
      </x:c>
      <x:c r="R55" s="52" t="n">
        <x:f>'밸런스 조정'!$C$91*IF(M55="Boss",5,IF(M55="Elite",2,1))</x:f>
        <x:v>150</x:v>
      </x:c>
    </x:row>
    <x:row r="56">
      <x:c r="B56" t="n">
        <x:v>54</x:v>
      </x:c>
      <x:c r="C56" t="str">
        <x:v>HighWay</x:v>
      </x:c>
      <x:c r="D56" t="str">
        <x:v>HWY_E02_TrafficPatrol_Right</x:v>
      </x:c>
      <x:c r="E56" t="n">
        <x:v>1</x:v>
      </x:c>
      <x:c r="F56" t="str">
        <x:v>사격</x:v>
      </x:c>
      <x:c r="G56" t="n">
        <x:v>2.4</x:v>
      </x:c>
      <x:c r="H56" t="n">
        <x:v>0</x:v>
      </x:c>
      <x:c r="I56" t="n">
        <x:v>12</x:v>
      </x:c>
      <x:c r="J56" t="n">
        <x:v>0.8</x:v>
      </x:c>
      <x:c r="K56" t="n">
        <x:v>10.2</x:v>
      </x:c>
      <x:c r="L56" t="str">
        <x:v>왼쪽 적보다 체력 15% 증가. 접근 시차를 두고 발동.</x:v>
      </x:c>
      <x:c r="M56" t="str">
        <x:v>Normal</x:v>
      </x:c>
      <x:c r="N56" t="n">
        <x:f>N55</x:f>
        <x:v>102.6</x:v>
      </x:c>
      <x:c r="O56" t="n">
        <x:f>ROUND(O55*(1+P56),0)</x:f>
        <x:v>668</x:v>
      </x:c>
      <x:c r="P56" t="n">
        <x:v>0.15</x:v>
      </x:c>
      <x:c r="Q56" s="52" t="n">
        <x:f>'밸런스 조정'!$C$64</x:f>
        <x:v>0</x:v>
      </x:c>
      <x:c r="R56" s="52" t="n">
        <x:f>'밸런스 조정'!$C$91*IF(M56="Boss",5,IF(M56="Elite",2,1))</x:f>
        <x:v>150</x:v>
      </x:c>
    </x:row>
    <x:row r="57">
      <x:c r="B57" t="n">
        <x:v>55</x:v>
      </x:c>
      <x:c r="C57" t="str">
        <x:v>HighWay</x:v>
      </x:c>
      <x:c r="D57" t="str">
        <x:v>HWY_E03_TollgateChief</x:v>
      </x:c>
      <x:c r="E57" t="n">
        <x:v>1</x:v>
      </x:c>
      <x:c r="F57" t="str">
        <x:v>사격</x:v>
      </x:c>
      <x:c r="G57" t="n">
        <x:v>2.4</x:v>
      </x:c>
      <x:c r="H57" t="n">
        <x:v>0</x:v>
      </x:c>
      <x:c r="I57" t="n">
        <x:v>16</x:v>
      </x:c>
      <x:c r="J57" t="n">
        <x:v>0.55</x:v>
      </x:c>
      <x:c r="K57" t="n">
        <x:v>10.2</x:v>
      </x:c>
      <x:c r="L57" t="str">
        <x:v>공격력·체력은 밸런스 조정 시트에서 계산.</x:v>
      </x:c>
      <x:c r="M57" t="str">
        <x:v>Elite</x:v>
      </x:c>
      <x:c r="N57" t="n">
        <x:f>(ROUND('밸런스 조정'!$C$30*(1+'밸런스 조정'!$C$32)^2*'밸런스 조정'!$C$34,0))*0.45</x:f>
        <x:v>132.75</x:v>
      </x:c>
      <x:c r="O57" t="n">
        <x:f>ROUND('밸런스 조정'!$C$31*(1+'밸런스 조정'!$C$33)^2*'밸런스 조정'!$C$35,0)</x:f>
        <x:v>936</x:v>
      </x:c>
      <x:c r="P57" t="n">
        <x:v>0.045</x:v>
      </x:c>
      <x:c r="Q57" s="52" t="n">
        <x:f>'밸런스 조정'!$C$64</x:f>
        <x:v>0</x:v>
      </x:c>
      <x:c r="R57" s="52" t="n">
        <x:f>'밸런스 조정'!$C$91*IF(M57="Boss",5,IF(M57="Elite",2,1))</x:f>
        <x:v>300</x:v>
      </x:c>
    </x:row>
    <x:row r="58">
      <x:c r="B58" t="n">
        <x:v>56</x:v>
      </x:c>
      <x:c r="C58" t="str">
        <x:v>HighWay</x:v>
      </x:c>
      <x:c r="D58" t="str">
        <x:v>HWY_E03_TollgateChief_Right</x:v>
      </x:c>
      <x:c r="E58" t="n">
        <x:v>1</x:v>
      </x:c>
      <x:c r="F58" t="str">
        <x:v>사격</x:v>
      </x:c>
      <x:c r="G58" t="n">
        <x:v>2.4</x:v>
      </x:c>
      <x:c r="H58" t="n">
        <x:v>0</x:v>
      </x:c>
      <x:c r="I58" t="n">
        <x:v>12</x:v>
      </x:c>
      <x:c r="J58" t="n">
        <x:v>0.8</x:v>
      </x:c>
      <x:c r="K58" t="n">
        <x:v>10.2</x:v>
      </x:c>
      <x:c r="L58" t="str">
        <x:v>왼쪽 적보다 체력 15% 증가. 접근 시차를 두고 발동.</x:v>
      </x:c>
      <x:c r="M58" t="str">
        <x:v>Elite</x:v>
      </x:c>
      <x:c r="N58" t="n">
        <x:f>N57</x:f>
        <x:v>132.75</x:v>
      </x:c>
      <x:c r="O58" t="n">
        <x:f>ROUND(O57*(1+P58),0)</x:f>
        <x:v>1076</x:v>
      </x:c>
      <x:c r="P58" t="n">
        <x:v>0.15</x:v>
      </x:c>
      <x:c r="Q58" s="52" t="n">
        <x:f>'밸런스 조정'!$C$64</x:f>
        <x:v>0</x:v>
      </x:c>
      <x:c r="R58" s="52" t="n">
        <x:f>'밸런스 조정'!$C$91*IF(M58="Boss",5,IF(M58="Elite",2,1))</x:f>
        <x:v>300</x:v>
      </x:c>
    </x:row>
    <x:row r="59">
      <x:c r="B59" t="n">
        <x:v>57</x:v>
      </x:c>
      <x:c r="C59" t="str">
        <x:v>HighWay</x:v>
      </x:c>
      <x:c r="D59" t="str">
        <x:v>HWY_E04_TireBruiser</x:v>
      </x:c>
      <x:c r="E59" t="n">
        <x:v>1</x:v>
      </x:c>
      <x:c r="F59" t="str">
        <x:v>사격</x:v>
      </x:c>
      <x:c r="G59" t="n">
        <x:v>2.4</x:v>
      </x:c>
      <x:c r="H59" t="n">
        <x:v>0</x:v>
      </x:c>
      <x:c r="I59" t="n">
        <x:v>16</x:v>
      </x:c>
      <x:c r="J59" t="n">
        <x:v>0.55</x:v>
      </x:c>
      <x:c r="K59" t="n">
        <x:v>10.2</x:v>
      </x:c>
      <x:c r="L59" t="str">
        <x:v>공격력·체력은 밸런스 조정 시트에서 계산.</x:v>
      </x:c>
      <x:c r="M59" t="str">
        <x:v>Elite</x:v>
      </x:c>
      <x:c r="N59" t="n">
        <x:f>(ROUND('밸런스 조정'!$C$30*(1+'밸런스 조정'!$C$32)^3*'밸런스 조정'!$C$34,0))*0.45</x:f>
        <x:v>137.25</x:v>
      </x:c>
      <x:c r="O59" t="n">
        <x:f>ROUND('밸런스 조정'!$C$31*(1+'밸런스 조정'!$C$33)^3*'밸런스 조정'!$C$35,0)</x:f>
        <x:v>1006</x:v>
      </x:c>
      <x:c r="P59" t="n">
        <x:v>0.045</x:v>
      </x:c>
      <x:c r="Q59" s="52" t="n">
        <x:f>'밸런스 조정'!$C$64</x:f>
        <x:v>0</x:v>
      </x:c>
      <x:c r="R59" s="52" t="n">
        <x:f>'밸런스 조정'!$C$91*IF(M59="Boss",5,IF(M59="Elite",2,1))</x:f>
        <x:v>300</x:v>
      </x:c>
    </x:row>
    <x:row r="60">
      <x:c r="B60" t="n">
        <x:v>58</x:v>
      </x:c>
      <x:c r="C60" t="str">
        <x:v>HighWay</x:v>
      </x:c>
      <x:c r="D60" t="str">
        <x:v>HWY_E04_TireBruiser_Right</x:v>
      </x:c>
      <x:c r="E60" t="n">
        <x:v>1</x:v>
      </x:c>
      <x:c r="F60" t="str">
        <x:v>사격</x:v>
      </x:c>
      <x:c r="G60" t="n">
        <x:v>2.4</x:v>
      </x:c>
      <x:c r="H60" t="n">
        <x:v>0</x:v>
      </x:c>
      <x:c r="I60" t="n">
        <x:v>12</x:v>
      </x:c>
      <x:c r="J60" t="n">
        <x:v>0.8</x:v>
      </x:c>
      <x:c r="K60" t="n">
        <x:v>10.2</x:v>
      </x:c>
      <x:c r="L60" t="str">
        <x:v>왼쪽 적보다 체력 15% 증가. 접근 시차를 두고 발동.</x:v>
      </x:c>
      <x:c r="M60" t="str">
        <x:v>Elite</x:v>
      </x:c>
      <x:c r="N60" t="n">
        <x:f>N59</x:f>
        <x:v>137.25</x:v>
      </x:c>
      <x:c r="O60" t="n">
        <x:f>ROUND(O59*(1+P60),0)</x:f>
        <x:v>1157</x:v>
      </x:c>
      <x:c r="P60" t="n">
        <x:v>0.15</x:v>
      </x:c>
      <x:c r="Q60" s="52" t="n">
        <x:f>'밸런스 조정'!$C$64</x:f>
        <x:v>0</x:v>
      </x:c>
      <x:c r="R60" s="52" t="n">
        <x:f>'밸런스 조정'!$C$91*IF(M60="Boss",5,IF(M60="Elite",2,1))</x:f>
        <x:v>300</x:v>
      </x:c>
    </x:row>
    <x:row r="61">
      <x:c r="B61" t="n">
        <x:v>59</x:v>
      </x:c>
      <x:c r="C61" t="str">
        <x:v>HighWay</x:v>
      </x:c>
      <x:c r="D61" t="str">
        <x:v>HWY_E05_AsphaltWorker</x:v>
      </x:c>
      <x:c r="E61" t="n">
        <x:v>1</x:v>
      </x:c>
      <x:c r="F61" t="str">
        <x:v>왕복</x:v>
      </x:c>
      <x:c r="G61" t="n">
        <x:v>2.4</x:v>
      </x:c>
      <x:c r="H61" t="n">
        <x:v>1.2</x:v>
      </x:c>
      <x:c r="I61" t="n">
        <x:v>8</x:v>
      </x:c>
      <x:c r="J61" t="n">
        <x:v>0.55</x:v>
      </x:c>
      <x:c r="K61" t="n">
        <x:v>12</x:v>
      </x:c>
      <x:c r="L61" t="str">
        <x:v>공격력·체력은 밸런스 조정 시트에서 계산.</x:v>
      </x:c>
      <x:c r="M61" t="str">
        <x:v>Normal</x:v>
      </x:c>
      <x:c r="N61" t="n">
        <x:f>ROUND('밸런스 조정'!$C$30*(1+'밸런스 조정'!$C$32)^4*1,0)</x:f>
        <x:v>252</x:v>
      </x:c>
      <x:c r="O61" t="n">
        <x:f>ROUND('밸런스 조정'!$C$31*(1+'밸런스 조정'!$C$33)^4*1,0)</x:f>
        <x:v>721</x:v>
      </x:c>
      <x:c r="P61" t="n">
        <x:v>0.045</x:v>
      </x:c>
      <x:c r="Q61" s="52" t="n">
        <x:f>'밸런스 조정'!$C$64</x:f>
        <x:v>0</x:v>
      </x:c>
      <x:c r="R61" s="52" t="n">
        <x:f>'밸런스 조정'!$C$91*IF(M61="Boss",5,IF(M61="Elite",2,1))</x:f>
        <x:v>150</x:v>
      </x:c>
    </x:row>
    <x:row r="62">
      <x:c r="B62" t="n">
        <x:v>60</x:v>
      </x:c>
      <x:c r="C62" t="str">
        <x:v>HighWay</x:v>
      </x:c>
      <x:c r="D62" t="str">
        <x:v>HWY_E05_AsphaltWorker_Right</x:v>
      </x:c>
      <x:c r="E62" t="n">
        <x:v>1</x:v>
      </x:c>
      <x:c r="F62" t="str">
        <x:v>왕복</x:v>
      </x:c>
      <x:c r="G62" t="n">
        <x:v>2.4</x:v>
      </x:c>
      <x:c r="H62" t="n">
        <x:v>1.2</x:v>
      </x:c>
      <x:c r="I62" t="n">
        <x:v>5</x:v>
      </x:c>
      <x:c r="J62" t="n">
        <x:v>0.55</x:v>
      </x:c>
      <x:c r="K62" t="n">
        <x:v>12</x:v>
      </x:c>
      <x:c r="L62" t="str">
        <x:v>왼쪽 적보다 체력 15% 증가. 접근 시차를 두고 발동.</x:v>
      </x:c>
      <x:c r="M62" t="str">
        <x:v>Normal</x:v>
      </x:c>
      <x:c r="N62" t="n">
        <x:f>N61</x:f>
        <x:v>252</x:v>
      </x:c>
      <x:c r="O62" t="n">
        <x:f>ROUND(O61*(1+P62),0)</x:f>
        <x:v>829</x:v>
      </x:c>
      <x:c r="P62" t="n">
        <x:v>0.15</x:v>
      </x:c>
      <x:c r="Q62" s="52" t="n">
        <x:f>'밸런스 조정'!$C$64</x:f>
        <x:v>0</x:v>
      </x:c>
      <x:c r="R62" s="52" t="n">
        <x:f>'밸런스 조정'!$C$91*IF(M62="Boss",5,IF(M62="Elite",2,1))</x:f>
        <x:v>150</x:v>
      </x:c>
    </x:row>
    <x:row r="63">
      <x:c r="B63" t="n">
        <x:v>61</x:v>
      </x:c>
      <x:c r="C63" t="str">
        <x:v>HighWay</x:v>
      </x:c>
      <x:c r="D63" t="str">
        <x:v>HWY_E06_DeliveryRider</x:v>
      </x:c>
      <x:c r="E63" t="n">
        <x:v>1</x:v>
      </x:c>
      <x:c r="F63" t="str">
        <x:v>사격</x:v>
      </x:c>
      <x:c r="G63" t="n">
        <x:v>2.4</x:v>
      </x:c>
      <x:c r="H63" t="n">
        <x:v>0</x:v>
      </x:c>
      <x:c r="I63" t="n">
        <x:v>16</x:v>
      </x:c>
      <x:c r="J63" t="n">
        <x:v>0.55</x:v>
      </x:c>
      <x:c r="K63" t="n">
        <x:v>10.2</x:v>
      </x:c>
      <x:c r="L63" t="str">
        <x:v>공격력·체력은 밸런스 조정 시트에서 계산.</x:v>
      </x:c>
      <x:c r="M63" t="str">
        <x:v>Normal</x:v>
      </x:c>
      <x:c r="N63" t="n">
        <x:f>(ROUND('밸런스 조정'!$C$30*(1+'밸런스 조정'!$C$32)^5*1,0))*0.45</x:f>
        <x:v>117.45</x:v>
      </x:c>
      <x:c r="O63" t="n">
        <x:f>ROUND('밸런스 조정'!$C$31*(1+'밸런스 조정'!$C$33)^5*1,0)</x:f>
        <x:v>775</x:v>
      </x:c>
      <x:c r="P63" t="n">
        <x:v>0.045</x:v>
      </x:c>
      <x:c r="Q63" s="52" t="n">
        <x:f>'밸런스 조정'!$C$64</x:f>
        <x:v>0</x:v>
      </x:c>
      <x:c r="R63" s="52" t="n">
        <x:f>'밸런스 조정'!$C$91*IF(M63="Boss",5,IF(M63="Elite",2,1))</x:f>
        <x:v>150</x:v>
      </x:c>
    </x:row>
    <x:row r="64">
      <x:c r="B64" t="n">
        <x:v>62</x:v>
      </x:c>
      <x:c r="C64" t="str">
        <x:v>HighWay</x:v>
      </x:c>
      <x:c r="D64" t="str">
        <x:v>HWY_E06_DeliveryRider_Right</x:v>
      </x:c>
      <x:c r="E64" t="n">
        <x:v>1</x:v>
      </x:c>
      <x:c r="F64" t="str">
        <x:v>사격</x:v>
      </x:c>
      <x:c r="G64" t="n">
        <x:v>2.4</x:v>
      </x:c>
      <x:c r="H64" t="n">
        <x:v>0</x:v>
      </x:c>
      <x:c r="I64" t="n">
        <x:v>12</x:v>
      </x:c>
      <x:c r="J64" t="n">
        <x:v>0.8</x:v>
      </x:c>
      <x:c r="K64" t="n">
        <x:v>10.2</x:v>
      </x:c>
      <x:c r="L64" t="str">
        <x:v>왼쪽 적보다 체력 15% 증가. 접근 시차를 두고 발동.</x:v>
      </x:c>
      <x:c r="M64" t="str">
        <x:v>Normal</x:v>
      </x:c>
      <x:c r="N64" t="n">
        <x:f>N63</x:f>
        <x:v>117.45</x:v>
      </x:c>
      <x:c r="O64" t="n">
        <x:f>ROUND(O63*(1+P64),0)</x:f>
        <x:v>891</x:v>
      </x:c>
      <x:c r="P64" t="n">
        <x:v>0.15</x:v>
      </x:c>
      <x:c r="Q64" s="52" t="n">
        <x:f>'밸런스 조정'!$C$64</x:f>
        <x:v>0</x:v>
      </x:c>
      <x:c r="R64" s="52" t="n">
        <x:f>'밸런스 조정'!$C$91*IF(M64="Boss",5,IF(M64="Elite",2,1))</x:f>
        <x:v>150</x:v>
      </x:c>
    </x:row>
    <x:row r="65">
      <x:c r="B65" t="n">
        <x:v>63</x:v>
      </x:c>
      <x:c r="C65" t="str">
        <x:v>HighWay</x:v>
      </x:c>
      <x:c r="D65" t="str">
        <x:v>HWY_E07_ConeMechanic</x:v>
      </x:c>
      <x:c r="E65" t="n">
        <x:v>1</x:v>
      </x:c>
      <x:c r="F65" t="str">
        <x:v>왕복</x:v>
      </x:c>
      <x:c r="G65" t="n">
        <x:v>2.4</x:v>
      </x:c>
      <x:c r="H65" t="n">
        <x:v>1.2</x:v>
      </x:c>
      <x:c r="I65" t="n">
        <x:v>42</x:v>
      </x:c>
      <x:c r="J65" t="n">
        <x:v>0.55</x:v>
      </x:c>
      <x:c r="K65" t="n">
        <x:v>12</x:v>
      </x:c>
      <x:c r="L65" t="str">
        <x:v>공격력·체력은 밸런스 조정 시트에서 계산.</x:v>
      </x:c>
      <x:c r="M65" t="str">
        <x:v>Normal</x:v>
      </x:c>
      <x:c r="N65" t="n">
        <x:f>ROUND('밸런스 조정'!$C$30*(1+'밸런스 조정'!$C$32)^6*1,0)</x:f>
        <x:v>270</x:v>
      </x:c>
      <x:c r="O65" t="n">
        <x:f>ROUND('밸런스 조정'!$C$31*(1+'밸런스 조정'!$C$33)^6*1,0)</x:f>
        <x:v>833</x:v>
      </x:c>
      <x:c r="P65" t="n">
        <x:v>0.045</x:v>
      </x:c>
      <x:c r="Q65" s="52" t="n">
        <x:f>'밸런스 조정'!$C$64</x:f>
        <x:v>0</x:v>
      </x:c>
      <x:c r="R65" s="52" t="n">
        <x:f>'밸런스 조정'!$C$91*IF(M65="Boss",5,IF(M65="Elite",2,1))</x:f>
        <x:v>150</x:v>
      </x:c>
    </x:row>
    <x:row r="66">
      <x:c r="B66" t="n">
        <x:v>64</x:v>
      </x:c>
      <x:c r="C66" t="str">
        <x:v>HighWay</x:v>
      </x:c>
      <x:c r="D66" t="str">
        <x:v>HWY_E07_ConeMechanic_Right</x:v>
      </x:c>
      <x:c r="E66" t="n">
        <x:v>1</x:v>
      </x:c>
      <x:c r="F66" t="str">
        <x:v>왕복</x:v>
      </x:c>
      <x:c r="G66" t="n">
        <x:v>2.4</x:v>
      </x:c>
      <x:c r="H66" t="n">
        <x:v>1.2</x:v>
      </x:c>
      <x:c r="I66" t="n">
        <x:v>38</x:v>
      </x:c>
      <x:c r="J66" t="n">
        <x:v>0.55</x:v>
      </x:c>
      <x:c r="K66" t="n">
        <x:v>12</x:v>
      </x:c>
      <x:c r="L66" t="str">
        <x:v>왼쪽 적보다 체력 15% 증가. 접근 시차를 두고 발동.</x:v>
      </x:c>
      <x:c r="M66" t="str">
        <x:v>Normal</x:v>
      </x:c>
      <x:c r="N66" t="n">
        <x:f>N65</x:f>
        <x:v>270</x:v>
      </x:c>
      <x:c r="O66" t="n">
        <x:f>ROUND(O65*(1+P66),0)</x:f>
        <x:v>958</x:v>
      </x:c>
      <x:c r="P66" t="n">
        <x:v>0.15</x:v>
      </x:c>
      <x:c r="Q66" s="52" t="n">
        <x:f>'밸런스 조정'!$C$64</x:f>
        <x:v>0</x:v>
      </x:c>
      <x:c r="R66" s="52" t="n">
        <x:f>'밸런스 조정'!$C$91*IF(M66="Boss",5,IF(M66="Elite",2,1))</x:f>
        <x:v>150</x:v>
      </x:c>
    </x:row>
    <x:row r="67">
      <x:c r="B67" t="n">
        <x:v>65</x:v>
      </x:c>
      <x:c r="C67" t="str">
        <x:v>HighWay</x:v>
      </x:c>
      <x:c r="D67" t="str">
        <x:v>HWY_E08_TrafficPatrol</x:v>
      </x:c>
      <x:c r="E67" t="n">
        <x:v>1</x:v>
      </x:c>
      <x:c r="F67" t="str">
        <x:v>사격</x:v>
      </x:c>
      <x:c r="G67" t="n">
        <x:v>2.4</x:v>
      </x:c>
      <x:c r="H67" t="n">
        <x:v>0</x:v>
      </x:c>
      <x:c r="I67" t="n">
        <x:v>8</x:v>
      </x:c>
      <x:c r="J67" t="n">
        <x:v>0.55</x:v>
      </x:c>
      <x:c r="K67" t="n">
        <x:v>10.2</x:v>
      </x:c>
      <x:c r="L67" t="str">
        <x:v>공격력·체력은 밸런스 조정 시트에서 계산.</x:v>
      </x:c>
      <x:c r="M67" t="str">
        <x:v>Normal</x:v>
      </x:c>
      <x:c r="N67" t="n">
        <x:f>(ROUND('밸런스 조정'!$C$30*(1+'밸런스 조정'!$C$32)^7*1,0))*0.45</x:f>
        <x:v>126.0</x:v>
      </x:c>
      <x:c r="O67" t="n">
        <x:f>ROUND('밸런스 조정'!$C$31*(1+'밸런스 조정'!$C$33)^7*1,0)</x:f>
        <x:v>896</x:v>
      </x:c>
      <x:c r="P67" t="n">
        <x:v>0.045</x:v>
      </x:c>
      <x:c r="Q67" s="52" t="n">
        <x:f>'밸런스 조정'!$C$64</x:f>
        <x:v>0</x:v>
      </x:c>
      <x:c r="R67" s="52" t="n">
        <x:f>'밸런스 조정'!$C$91*IF(M67="Boss",5,IF(M67="Elite",2,1))</x:f>
        <x:v>150</x:v>
      </x:c>
    </x:row>
    <x:row r="68">
      <x:c r="B68" t="n">
        <x:v>66</x:v>
      </x:c>
      <x:c r="C68" t="str">
        <x:v>HighWay</x:v>
      </x:c>
      <x:c r="D68" t="str">
        <x:v>HWY_E08_TrafficPatrol_Right</x:v>
      </x:c>
      <x:c r="E68" t="n">
        <x:v>1</x:v>
      </x:c>
      <x:c r="F68" t="str">
        <x:v>사격</x:v>
      </x:c>
      <x:c r="G68" t="n">
        <x:v>2.4</x:v>
      </x:c>
      <x:c r="H68" t="n">
        <x:v>0</x:v>
      </x:c>
      <x:c r="I68" t="n">
        <x:v>6</x:v>
      </x:c>
      <x:c r="J68" t="n">
        <x:v>0.8</x:v>
      </x:c>
      <x:c r="K68" t="n">
        <x:v>10.2</x:v>
      </x:c>
      <x:c r="L68" t="str">
        <x:v>왼쪽 적보다 체력 15% 증가. 접근 시차를 두고 발동.</x:v>
      </x:c>
      <x:c r="M68" t="str">
        <x:v>Normal</x:v>
      </x:c>
      <x:c r="N68" t="n">
        <x:f>N67</x:f>
        <x:v>126.0</x:v>
      </x:c>
      <x:c r="O68" t="n">
        <x:f>ROUND(O67*(1+P68),0)</x:f>
        <x:v>1030</x:v>
      </x:c>
      <x:c r="P68" t="n">
        <x:v>0.15</x:v>
      </x:c>
      <x:c r="Q68" s="52" t="n">
        <x:f>'밸런스 조정'!$C$64</x:f>
        <x:v>0</x:v>
      </x:c>
      <x:c r="R68" s="52" t="n">
        <x:f>'밸런스 조정'!$C$91*IF(M68="Boss",5,IF(M68="Elite",2,1))</x:f>
        <x:v>150</x:v>
      </x:c>
    </x:row>
    <x:row r="69">
      <x:c r="B69" t="n">
        <x:v>67</x:v>
      </x:c>
      <x:c r="C69" t="str">
        <x:v>HighWay</x:v>
      </x:c>
      <x:c r="D69" t="str">
        <x:v>HWY_E09_TollgateChief</x:v>
      </x:c>
      <x:c r="E69" t="n">
        <x:v>1</x:v>
      </x:c>
      <x:c r="F69" t="str">
        <x:v>사격</x:v>
      </x:c>
      <x:c r="G69" t="n">
        <x:v>2.4</x:v>
      </x:c>
      <x:c r="H69" t="n">
        <x:v>0</x:v>
      </x:c>
      <x:c r="I69" t="n">
        <x:v>16</x:v>
      </x:c>
      <x:c r="J69" t="n">
        <x:v>0.55</x:v>
      </x:c>
      <x:c r="K69" t="n">
        <x:v>10.2</x:v>
      </x:c>
      <x:c r="L69" t="str">
        <x:v>공격력·체력은 밸런스 조정 시트에서 계산.</x:v>
      </x:c>
      <x:c r="M69" t="str">
        <x:v>Elite</x:v>
      </x:c>
      <x:c r="N69" t="n">
        <x:f>(ROUND('밸런스 조정'!$C$30*(1+'밸런스 조정'!$C$32)^8*'밸런스 조정'!$C$34,0))*0.45</x:f>
        <x:v>162.9</x:v>
      </x:c>
      <x:c r="O69" t="n">
        <x:f>ROUND('밸런스 조정'!$C$31*(1+'밸런스 조정'!$C$33)^8*'밸런스 조정'!$C$35,0)</x:f>
        <x:v>1445</x:v>
      </x:c>
      <x:c r="P69" t="n">
        <x:v>0.045</x:v>
      </x:c>
      <x:c r="Q69" s="52" t="n">
        <x:f>'밸런스 조정'!$C$64</x:f>
        <x:v>0</x:v>
      </x:c>
      <x:c r="R69" s="52" t="n">
        <x:f>'밸런스 조정'!$C$91*IF(M69="Boss",5,IF(M69="Elite",2,1))</x:f>
        <x:v>300</x:v>
      </x:c>
    </x:row>
    <x:row r="70">
      <x:c r="B70" t="n">
        <x:v>68</x:v>
      </x:c>
      <x:c r="C70" t="str">
        <x:v>HighWay</x:v>
      </x:c>
      <x:c r="D70" t="str">
        <x:v>HWY_E09_TollgateChief_Right</x:v>
      </x:c>
      <x:c r="E70" t="n">
        <x:v>1</x:v>
      </x:c>
      <x:c r="F70" t="str">
        <x:v>사격</x:v>
      </x:c>
      <x:c r="G70" t="n">
        <x:v>2.4</x:v>
      </x:c>
      <x:c r="H70" t="n">
        <x:v>0</x:v>
      </x:c>
      <x:c r="I70" t="n">
        <x:v>12</x:v>
      </x:c>
      <x:c r="J70" t="n">
        <x:v>0.8</x:v>
      </x:c>
      <x:c r="K70" t="n">
        <x:v>10.2</x:v>
      </x:c>
      <x:c r="L70" t="str">
        <x:v>왼쪽 적보다 체력 15% 증가. 접근 시차를 두고 발동.</x:v>
      </x:c>
      <x:c r="M70" t="str">
        <x:v>Elite</x:v>
      </x:c>
      <x:c r="N70" t="n">
        <x:f>N69</x:f>
        <x:v>162.9</x:v>
      </x:c>
      <x:c r="O70" t="n">
        <x:f>ROUND(O69*(1+P70),0)</x:f>
        <x:v>1662</x:v>
      </x:c>
      <x:c r="P70" t="n">
        <x:v>0.15</x:v>
      </x:c>
      <x:c r="Q70" s="52" t="n">
        <x:f>'밸런스 조정'!$C$64</x:f>
        <x:v>0</x:v>
      </x:c>
      <x:c r="R70" s="52" t="n">
        <x:f>'밸런스 조정'!$C$91*IF(M70="Boss",5,IF(M70="Elite",2,1))</x:f>
        <x:v>300</x:v>
      </x:c>
    </x:row>
    <x:row r="71">
      <x:c r="B71" t="n">
        <x:v>69</x:v>
      </x:c>
      <x:c r="C71" t="str">
        <x:v>HighWay</x:v>
      </x:c>
      <x:c r="D71" t="str">
        <x:v>HWY_E10_TireBruiser</x:v>
      </x:c>
      <x:c r="E71" t="n">
        <x:v>1</x:v>
      </x:c>
      <x:c r="F71" t="str">
        <x:v>사격</x:v>
      </x:c>
      <x:c r="G71" t="n">
        <x:v>2.4</x:v>
      </x:c>
      <x:c r="H71" t="n">
        <x:v>0</x:v>
      </x:c>
      <x:c r="I71" t="n">
        <x:v>16</x:v>
      </x:c>
      <x:c r="J71" t="n">
        <x:v>0.55</x:v>
      </x:c>
      <x:c r="K71" t="n">
        <x:v>10.2</x:v>
      </x:c>
      <x:c r="L71" t="str">
        <x:v>공격력·체력은 밸런스 조정 시트에서 계산.</x:v>
      </x:c>
      <x:c r="M71" t="str">
        <x:v>Elite</x:v>
      </x:c>
      <x:c r="N71" t="n">
        <x:f>(ROUND('밸런스 조정'!$C$30*(1+'밸런스 조정'!$C$32)^9*'밸런스 조정'!$C$34,0))*0.45</x:f>
        <x:v>168.75</x:v>
      </x:c>
      <x:c r="O71" t="n">
        <x:f>ROUND('밸런스 조정'!$C$31*(1+'밸런스 조정'!$C$33)^9*'밸런스 조정'!$C$35,0)</x:f>
        <x:v>1553</x:v>
      </x:c>
      <x:c r="P71" t="n">
        <x:v>0.045</x:v>
      </x:c>
      <x:c r="Q71" s="52" t="n">
        <x:f>'밸런스 조정'!$C$64</x:f>
        <x:v>0</x:v>
      </x:c>
      <x:c r="R71" s="52" t="n">
        <x:f>'밸런스 조정'!$C$91*IF(M71="Boss",5,IF(M71="Elite",2,1))</x:f>
        <x:v>300</x:v>
      </x:c>
    </x:row>
    <x:row r="72">
      <x:c r="B72" t="n">
        <x:v>70</x:v>
      </x:c>
      <x:c r="C72" t="str">
        <x:v>HighWay</x:v>
      </x:c>
      <x:c r="D72" t="str">
        <x:v>HWY_E10_TireBruiser_Right</x:v>
      </x:c>
      <x:c r="E72" t="n">
        <x:v>1</x:v>
      </x:c>
      <x:c r="F72" t="str">
        <x:v>사격</x:v>
      </x:c>
      <x:c r="G72" t="n">
        <x:v>2.4</x:v>
      </x:c>
      <x:c r="H72" t="n">
        <x:v>0</x:v>
      </x:c>
      <x:c r="I72" t="n">
        <x:v>12</x:v>
      </x:c>
      <x:c r="J72" t="n">
        <x:v>0.8</x:v>
      </x:c>
      <x:c r="K72" t="n">
        <x:v>10.2</x:v>
      </x:c>
      <x:c r="L72" t="str">
        <x:v>왼쪽 적보다 체력 15% 증가. 접근 시차를 두고 발동.</x:v>
      </x:c>
      <x:c r="M72" t="str">
        <x:v>Elite</x:v>
      </x:c>
      <x:c r="N72" t="n">
        <x:f>N71</x:f>
        <x:v>168.75</x:v>
      </x:c>
      <x:c r="O72" t="n">
        <x:f>ROUND(O71*(1+P72),0)</x:f>
        <x:v>1786</x:v>
      </x:c>
      <x:c r="P72" t="n">
        <x:v>0.15</x:v>
      </x:c>
      <x:c r="Q72" s="52" t="n">
        <x:f>'밸런스 조정'!$C$64</x:f>
        <x:v>0</x:v>
      </x:c>
      <x:c r="R72" s="52" t="n">
        <x:f>'밸런스 조정'!$C$91*IF(M72="Boss",5,IF(M72="Elite",2,1))</x:f>
        <x:v>300</x:v>
      </x:c>
    </x:row>
    <x:row r="73">
      <x:c r="B73" t="n">
        <x:v>71</x:v>
      </x:c>
      <x:c r="C73" t="str">
        <x:v>HighWay</x:v>
      </x:c>
      <x:c r="D73" t="str">
        <x:v>HWY_E11_AsphaltWorker</x:v>
      </x:c>
      <x:c r="E73" t="n">
        <x:v>1</x:v>
      </x:c>
      <x:c r="F73" t="str">
        <x:v>왕복</x:v>
      </x:c>
      <x:c r="G73" t="n">
        <x:v>2.4</x:v>
      </x:c>
      <x:c r="H73" t="n">
        <x:v>1.2</x:v>
      </x:c>
      <x:c r="I73" t="n">
        <x:v>42</x:v>
      </x:c>
      <x:c r="J73" t="n">
        <x:v>0.55</x:v>
      </x:c>
      <x:c r="K73" t="n">
        <x:v>12</x:v>
      </x:c>
      <x:c r="L73" t="str">
        <x:v>공격력·체력은 밸런스 조정 시트에서 계산.</x:v>
      </x:c>
      <x:c r="M73" t="str">
        <x:v>Normal</x:v>
      </x:c>
      <x:c r="N73" t="n">
        <x:f>ROUND('밸런스 조정'!$C$30*(1+'밸런스 조정'!$C$32)^10*1,0)</x:f>
        <x:v>310</x:v>
      </x:c>
      <x:c r="O73" t="n">
        <x:f>ROUND('밸런스 조정'!$C$31*(1+'밸런스 조정'!$C$33)^10*1,0)</x:f>
        <x:v>1113</x:v>
      </x:c>
      <x:c r="P73" t="n">
        <x:v>0.045</x:v>
      </x:c>
      <x:c r="Q73" s="52" t="n">
        <x:f>'밸런스 조정'!$C$64</x:f>
        <x:v>0</x:v>
      </x:c>
      <x:c r="R73" s="52" t="n">
        <x:f>'밸런스 조정'!$C$91*IF(M73="Boss",5,IF(M73="Elite",2,1))</x:f>
        <x:v>150</x:v>
      </x:c>
    </x:row>
    <x:row r="74">
      <x:c r="B74" t="n">
        <x:v>72</x:v>
      </x:c>
      <x:c r="C74" t="str">
        <x:v>HighWay</x:v>
      </x:c>
      <x:c r="D74" t="str">
        <x:v>HWY_E11_AsphaltWorker_Right</x:v>
      </x:c>
      <x:c r="E74" t="n">
        <x:v>1</x:v>
      </x:c>
      <x:c r="F74" t="str">
        <x:v>왕복</x:v>
      </x:c>
      <x:c r="G74" t="n">
        <x:v>2.4</x:v>
      </x:c>
      <x:c r="H74" t="n">
        <x:v>1.2</x:v>
      </x:c>
      <x:c r="I74" t="n">
        <x:v>38</x:v>
      </x:c>
      <x:c r="J74" t="n">
        <x:v>0.55</x:v>
      </x:c>
      <x:c r="K74" t="n">
        <x:v>12</x:v>
      </x:c>
      <x:c r="L74" t="str">
        <x:v>왼쪽 적보다 체력 15% 증가. 접근 시차를 두고 발동.</x:v>
      </x:c>
      <x:c r="M74" t="str">
        <x:v>Normal</x:v>
      </x:c>
      <x:c r="N74" t="n">
        <x:f>N73</x:f>
        <x:v>310</x:v>
      </x:c>
      <x:c r="O74" t="n">
        <x:f>ROUND(O73*(1+P74),0)</x:f>
        <x:v>1280</x:v>
      </x:c>
      <x:c r="P74" t="n">
        <x:v>0.15</x:v>
      </x:c>
      <x:c r="Q74" s="52" t="n">
        <x:f>'밸런스 조정'!$C$64</x:f>
        <x:v>0</x:v>
      </x:c>
      <x:c r="R74" s="52" t="n">
        <x:f>'밸런스 조정'!$C$91*IF(M74="Boss",5,IF(M74="Elite",2,1))</x:f>
        <x:v>150</x:v>
      </x:c>
    </x:row>
    <x:row r="75">
      <x:c r="B75" t="n">
        <x:v>73</x:v>
      </x:c>
      <x:c r="C75" t="str">
        <x:v>HighWay</x:v>
      </x:c>
      <x:c r="D75" t="str">
        <x:v>HWY_E12_DeliveryRider</x:v>
      </x:c>
      <x:c r="E75" t="n">
        <x:v>1</x:v>
      </x:c>
      <x:c r="F75" t="str">
        <x:v>사격</x:v>
      </x:c>
      <x:c r="G75" t="n">
        <x:v>2.4</x:v>
      </x:c>
      <x:c r="H75" t="n">
        <x:v>0</x:v>
      </x:c>
      <x:c r="I75" t="n">
        <x:v>16</x:v>
      </x:c>
      <x:c r="J75" t="n">
        <x:v>0.55</x:v>
      </x:c>
      <x:c r="K75" t="n">
        <x:v>10.2</x:v>
      </x:c>
      <x:c r="L75" t="str">
        <x:v>공격력·체력은 밸런스 조정 시트에서 계산.</x:v>
      </x:c>
      <x:c r="M75" t="str">
        <x:v>Normal</x:v>
      </x:c>
      <x:c r="N75" t="n">
        <x:f>(ROUND('밸런스 조정'!$C$30*(1+'밸런스 조정'!$C$32)^11*1,0))*0.45</x:f>
        <x:v>144.45</x:v>
      </x:c>
      <x:c r="O75" t="n">
        <x:f>ROUND('밸런스 조정'!$C$31*(1+'밸런스 조정'!$C$33)^11*1,0)</x:f>
        <x:v>1196</x:v>
      </x:c>
      <x:c r="P75" t="n">
        <x:v>0.045</x:v>
      </x:c>
      <x:c r="Q75" s="52" t="n">
        <x:f>'밸런스 조정'!$C$64</x:f>
        <x:v>0</x:v>
      </x:c>
      <x:c r="R75" s="52" t="n">
        <x:f>'밸런스 조정'!$C$91*IF(M75="Boss",5,IF(M75="Elite",2,1))</x:f>
        <x:v>150</x:v>
      </x:c>
    </x:row>
    <x:row r="76">
      <x:c r="B76" t="n">
        <x:v>74</x:v>
      </x:c>
      <x:c r="C76" t="str">
        <x:v>HighWay</x:v>
      </x:c>
      <x:c r="D76" t="str">
        <x:v>HWY_E12_DeliveryRider_Right</x:v>
      </x:c>
      <x:c r="E76" t="n">
        <x:v>1</x:v>
      </x:c>
      <x:c r="F76" t="str">
        <x:v>사격</x:v>
      </x:c>
      <x:c r="G76" t="n">
        <x:v>2.4</x:v>
      </x:c>
      <x:c r="H76" t="n">
        <x:v>0</x:v>
      </x:c>
      <x:c r="I76" t="n">
        <x:v>12</x:v>
      </x:c>
      <x:c r="J76" t="n">
        <x:v>0.8</x:v>
      </x:c>
      <x:c r="K76" t="n">
        <x:v>10.2</x:v>
      </x:c>
      <x:c r="L76" t="str">
        <x:v>왼쪽 적보다 체력 15% 증가. 접근 시차를 두고 발동.</x:v>
      </x:c>
      <x:c r="M76" t="str">
        <x:v>Normal</x:v>
      </x:c>
      <x:c r="N76" t="n">
        <x:f>N75</x:f>
        <x:v>144.45</x:v>
      </x:c>
      <x:c r="O76" t="n">
        <x:f>ROUND(O75*(1+P76),0)</x:f>
        <x:v>1375</x:v>
      </x:c>
      <x:c r="P76" t="n">
        <x:v>0.15</x:v>
      </x:c>
      <x:c r="Q76" s="52" t="n">
        <x:f>'밸런스 조정'!$C$64</x:f>
        <x:v>0</x:v>
      </x:c>
      <x:c r="R76" s="52" t="n">
        <x:f>'밸런스 조정'!$C$91*IF(M76="Boss",5,IF(M76="Elite",2,1))</x:f>
        <x:v>150</x:v>
      </x:c>
    </x:row>
    <x:row r="77">
      <x:c r="B77" t="n">
        <x:v>75</x:v>
      </x:c>
      <x:c r="C77" t="str">
        <x:v>HighWay</x:v>
      </x:c>
      <x:c r="D77" t="str">
        <x:v>HWY_E13_ConeMechanic</x:v>
      </x:c>
      <x:c r="E77" t="n">
        <x:v>1</x:v>
      </x:c>
      <x:c r="F77" t="str">
        <x:v>왕복</x:v>
      </x:c>
      <x:c r="G77" t="n">
        <x:v>2.4</x:v>
      </x:c>
      <x:c r="H77" t="n">
        <x:v>1.2</x:v>
      </x:c>
      <x:c r="I77" t="n">
        <x:v>42</x:v>
      </x:c>
      <x:c r="J77" t="n">
        <x:v>0.55</x:v>
      </x:c>
      <x:c r="K77" t="n">
        <x:v>12</x:v>
      </x:c>
      <x:c r="L77" t="str">
        <x:v>공격력·체력은 밸런스 조정 시트에서 계산.</x:v>
      </x:c>
      <x:c r="M77" t="str">
        <x:v>Normal</x:v>
      </x:c>
      <x:c r="N77" t="n">
        <x:f>ROUND('밸런스 조정'!$C$30*(1+'밸런스 조정'!$C$32)^12*1,0)</x:f>
        <x:v>332</x:v>
      </x:c>
      <x:c r="O77" t="n">
        <x:f>ROUND('밸런스 조정'!$C$31*(1+'밸런스 조정'!$C$33)^12*1,0)</x:f>
        <x:v>1286</x:v>
      </x:c>
      <x:c r="P77" t="n">
        <x:v>0.045</x:v>
      </x:c>
      <x:c r="Q77" s="52" t="n">
        <x:f>'밸런스 조정'!$C$64</x:f>
        <x:v>0</x:v>
      </x:c>
      <x:c r="R77" s="52" t="n">
        <x:f>'밸런스 조정'!$C$91*IF(M77="Boss",5,IF(M77="Elite",2,1))</x:f>
        <x:v>150</x:v>
      </x:c>
    </x:row>
    <x:row r="78">
      <x:c r="B78" t="n">
        <x:v>76</x:v>
      </x:c>
      <x:c r="C78" t="str">
        <x:v>HighWay</x:v>
      </x:c>
      <x:c r="D78" t="str">
        <x:v>HWY_E13_ConeMechanic_Right</x:v>
      </x:c>
      <x:c r="E78" t="n">
        <x:v>1</x:v>
      </x:c>
      <x:c r="F78" t="str">
        <x:v>왕복</x:v>
      </x:c>
      <x:c r="G78" t="n">
        <x:v>2.4</x:v>
      </x:c>
      <x:c r="H78" t="n">
        <x:v>1.2</x:v>
      </x:c>
      <x:c r="I78" t="n">
        <x:v>38</x:v>
      </x:c>
      <x:c r="J78" t="n">
        <x:v>0.55</x:v>
      </x:c>
      <x:c r="K78" t="n">
        <x:v>12</x:v>
      </x:c>
      <x:c r="L78" t="str">
        <x:v>왼쪽 적보다 체력 15% 증가. 접근 시차를 두고 발동.</x:v>
      </x:c>
      <x:c r="M78" t="str">
        <x:v>Normal</x:v>
      </x:c>
      <x:c r="N78" t="n">
        <x:f>N77</x:f>
        <x:v>332</x:v>
      </x:c>
      <x:c r="O78" t="n">
        <x:f>ROUND(O77*(1+P78),0)</x:f>
        <x:v>1479</x:v>
      </x:c>
      <x:c r="P78" t="n">
        <x:v>0.15</x:v>
      </x:c>
      <x:c r="Q78" s="52" t="n">
        <x:f>'밸런스 조정'!$C$64</x:f>
        <x:v>0</x:v>
      </x:c>
      <x:c r="R78" s="52" t="n">
        <x:f>'밸런스 조정'!$C$91*IF(M78="Boss",5,IF(M78="Elite",2,1))</x:f>
        <x:v>150</x:v>
      </x:c>
    </x:row>
    <x:row r="79">
      <x:c r="B79" t="n">
        <x:v>77</x:v>
      </x:c>
      <x:c r="C79" t="str">
        <x:v>HighWay</x:v>
      </x:c>
      <x:c r="D79" t="str">
        <x:v>HWY_E14_TrafficPatrol</x:v>
      </x:c>
      <x:c r="E79" t="n">
        <x:v>1</x:v>
      </x:c>
      <x:c r="F79" t="str">
        <x:v>사격</x:v>
      </x:c>
      <x:c r="G79" t="n">
        <x:v>2.4</x:v>
      </x:c>
      <x:c r="H79" t="n">
        <x:v>0</x:v>
      </x:c>
      <x:c r="I79" t="n">
        <x:v>8</x:v>
      </x:c>
      <x:c r="J79" t="n">
        <x:v>0.55</x:v>
      </x:c>
      <x:c r="K79" t="n">
        <x:v>10.2</x:v>
      </x:c>
      <x:c r="L79" t="str">
        <x:v>공격력·체력은 밸런스 조정 시트에서 계산.</x:v>
      </x:c>
      <x:c r="M79" t="str">
        <x:v>Normal</x:v>
      </x:c>
      <x:c r="N79" t="n">
        <x:f>(ROUND('밸런스 조정'!$C$30*(1+'밸런스 조정'!$C$32)^13*1,0))*0.45</x:f>
        <x:v>154.8</x:v>
      </x:c>
      <x:c r="O79" t="n">
        <x:f>ROUND('밸런스 조정'!$C$31*(1+'밸런스 조정'!$C$33)^13*1,0)</x:f>
        <x:v>1383</x:v>
      </x:c>
      <x:c r="P79" t="n">
        <x:v>0.045</x:v>
      </x:c>
      <x:c r="Q79" s="52" t="n">
        <x:f>'밸런스 조정'!$C$64</x:f>
        <x:v>0</x:v>
      </x:c>
      <x:c r="R79" s="52" t="n">
        <x:f>'밸런스 조정'!$C$91*IF(M79="Boss",5,IF(M79="Elite",2,1))</x:f>
        <x:v>150</x:v>
      </x:c>
    </x:row>
    <x:row r="80">
      <x:c r="B80" t="n">
        <x:v>78</x:v>
      </x:c>
      <x:c r="C80" t="str">
        <x:v>HighWay</x:v>
      </x:c>
      <x:c r="D80" t="str">
        <x:v>HWY_E14_TrafficPatrol_Right</x:v>
      </x:c>
      <x:c r="E80" t="n">
        <x:v>1</x:v>
      </x:c>
      <x:c r="F80" t="str">
        <x:v>사격</x:v>
      </x:c>
      <x:c r="G80" t="n">
        <x:v>2.4</x:v>
      </x:c>
      <x:c r="H80" t="n">
        <x:v>0</x:v>
      </x:c>
      <x:c r="I80" t="n">
        <x:v>6</x:v>
      </x:c>
      <x:c r="J80" t="n">
        <x:v>0.8</x:v>
      </x:c>
      <x:c r="K80" t="n">
        <x:v>10.2</x:v>
      </x:c>
      <x:c r="L80" t="str">
        <x:v>왼쪽 적보다 체력 15% 증가. 접근 시차를 두고 발동.</x:v>
      </x:c>
      <x:c r="M80" t="str">
        <x:v>Normal</x:v>
      </x:c>
      <x:c r="N80" t="n">
        <x:f>N79</x:f>
        <x:v>154.8</x:v>
      </x:c>
      <x:c r="O80" t="n">
        <x:f>ROUND(O79*(1+P80),0)</x:f>
        <x:v>1590</x:v>
      </x:c>
      <x:c r="P80" t="n">
        <x:v>0.15</x:v>
      </x:c>
      <x:c r="Q80" s="52" t="n">
        <x:f>'밸런스 조정'!$C$64</x:f>
        <x:v>0</x:v>
      </x:c>
      <x:c r="R80" s="52" t="n">
        <x:f>'밸런스 조정'!$C$91*IF(M80="Boss",5,IF(M80="Elite",2,1))</x:f>
        <x:v>150</x:v>
      </x:c>
    </x:row>
    <x:row r="81">
      <x:c r="B81" t="n">
        <x:v>79</x:v>
      </x:c>
      <x:c r="C81" t="str">
        <x:v>HighWay</x:v>
      </x:c>
      <x:c r="D81" t="str">
        <x:v>HWY_E15_TollgateChief</x:v>
      </x:c>
      <x:c r="E81" t="n">
        <x:v>1</x:v>
      </x:c>
      <x:c r="F81" t="str">
        <x:v>사격</x:v>
      </x:c>
      <x:c r="G81" t="n">
        <x:v>2.4</x:v>
      </x:c>
      <x:c r="H81" t="n">
        <x:v>0</x:v>
      </x:c>
      <x:c r="I81" t="n">
        <x:v>16</x:v>
      </x:c>
      <x:c r="J81" t="n">
        <x:v>0.55</x:v>
      </x:c>
      <x:c r="K81" t="n">
        <x:v>10.2</x:v>
      </x:c>
      <x:c r="L81" t="str">
        <x:v>공격력·체력은 밸런스 조정 시트에서 계산.</x:v>
      </x:c>
      <x:c r="M81" t="str">
        <x:v>Elite</x:v>
      </x:c>
      <x:c r="N81" t="n">
        <x:f>(ROUND('밸런스 조정'!$C$30*(1+'밸런스 조정'!$C$32)^14*'밸런스 조정'!$C$34,0))*0.45</x:f>
        <x:v>200.25</x:v>
      </x:c>
      <x:c r="O81" t="n">
        <x:f>ROUND('밸런스 조정'!$C$31*(1+'밸런스 조정'!$C$33)^14*'밸런스 조정'!$C$35,0)</x:f>
        <x:v>2229</x:v>
      </x:c>
      <x:c r="P81" t="n">
        <x:v>0.045</x:v>
      </x:c>
      <x:c r="Q81" s="52" t="n">
        <x:f>'밸런스 조정'!$C$64</x:f>
        <x:v>0</x:v>
      </x:c>
      <x:c r="R81" s="52" t="n">
        <x:f>'밸런스 조정'!$C$91*IF(M81="Boss",5,IF(M81="Elite",2,1))</x:f>
        <x:v>300</x:v>
      </x:c>
    </x:row>
    <x:row r="82">
      <x:c r="B82" t="n">
        <x:v>80</x:v>
      </x:c>
      <x:c r="C82" t="str">
        <x:v>HighWay</x:v>
      </x:c>
      <x:c r="D82" t="str">
        <x:v>HWY_E15_TollgateChief_Right</x:v>
      </x:c>
      <x:c r="E82" t="n">
        <x:v>1</x:v>
      </x:c>
      <x:c r="F82" t="str">
        <x:v>사격</x:v>
      </x:c>
      <x:c r="G82" t="n">
        <x:v>2.4</x:v>
      </x:c>
      <x:c r="H82" t="n">
        <x:v>0</x:v>
      </x:c>
      <x:c r="I82" t="n">
        <x:v>12</x:v>
      </x:c>
      <x:c r="J82" t="n">
        <x:v>0.8</x:v>
      </x:c>
      <x:c r="K82" t="n">
        <x:v>10.2</x:v>
      </x:c>
      <x:c r="L82" t="str">
        <x:v>왼쪽 적보다 체력 15% 증가. 접근 시차를 두고 발동.</x:v>
      </x:c>
      <x:c r="M82" t="str">
        <x:v>Elite</x:v>
      </x:c>
      <x:c r="N82" t="n">
        <x:f>N81</x:f>
        <x:v>200.25</x:v>
      </x:c>
      <x:c r="O82" t="n">
        <x:f>ROUND(O81*(1+P82),0)</x:f>
        <x:v>2563</x:v>
      </x:c>
      <x:c r="P82" t="n">
        <x:v>0.15</x:v>
      </x:c>
      <x:c r="Q82" s="52" t="n">
        <x:f>'밸런스 조정'!$C$64</x:f>
        <x:v>0</x:v>
      </x:c>
      <x:c r="R82" s="52" t="n">
        <x:f>'밸런스 조정'!$C$91*IF(M82="Boss",5,IF(M82="Elite",2,1))</x:f>
        <x:v>300</x:v>
      </x:c>
    </x:row>
    <x:row r="83">
      <x:c r="B83" t="n">
        <x:v>81</x:v>
      </x:c>
      <x:c r="C83" t="str">
        <x:v>HighWay</x:v>
      </x:c>
      <x:c r="D83" t="str">
        <x:v>HWY_E16_TireBruiser</x:v>
      </x:c>
      <x:c r="E83" t="n">
        <x:v>1</x:v>
      </x:c>
      <x:c r="F83" t="str">
        <x:v>사격</x:v>
      </x:c>
      <x:c r="G83" t="n">
        <x:v>2.4</x:v>
      </x:c>
      <x:c r="H83" t="n">
        <x:v>0</x:v>
      </x:c>
      <x:c r="I83" t="n">
        <x:v>16</x:v>
      </x:c>
      <x:c r="J83" t="n">
        <x:v>0.55</x:v>
      </x:c>
      <x:c r="K83" t="n">
        <x:v>10.2</x:v>
      </x:c>
      <x:c r="L83" t="str">
        <x:v>공격력·체력은 밸런스 조정 시트에서 계산.</x:v>
      </x:c>
      <x:c r="M83" t="str">
        <x:v>Elite</x:v>
      </x:c>
      <x:c r="N83" t="n">
        <x:f>(ROUND('밸런스 조정'!$C$30*(1+'밸런스 조정'!$C$32)^15*'밸런스 조정'!$C$34,0))*0.45</x:f>
        <x:v>207.45</x:v>
      </x:c>
      <x:c r="O83" t="n">
        <x:f>ROUND('밸런스 조정'!$C$31*(1+'밸런스 조정'!$C$33)^15*'밸런스 조정'!$C$35,0)</x:f>
        <x:v>2397</x:v>
      </x:c>
      <x:c r="P83" t="n">
        <x:v>0.045</x:v>
      </x:c>
      <x:c r="Q83" s="52" t="n">
        <x:f>'밸런스 조정'!$C$64</x:f>
        <x:v>0</x:v>
      </x:c>
      <x:c r="R83" s="52" t="n">
        <x:f>'밸런스 조정'!$C$91*IF(M83="Boss",5,IF(M83="Elite",2,1))</x:f>
        <x:v>300</x:v>
      </x:c>
    </x:row>
    <x:row r="84">
      <x:c r="B84" t="n">
        <x:v>82</x:v>
      </x:c>
      <x:c r="C84" t="str">
        <x:v>HighWay</x:v>
      </x:c>
      <x:c r="D84" t="str">
        <x:v>HWY_E16_TireBruiser_Right</x:v>
      </x:c>
      <x:c r="E84" t="n">
        <x:v>1</x:v>
      </x:c>
      <x:c r="F84" t="str">
        <x:v>사격</x:v>
      </x:c>
      <x:c r="G84" t="n">
        <x:v>2.4</x:v>
      </x:c>
      <x:c r="H84" t="n">
        <x:v>0</x:v>
      </x:c>
      <x:c r="I84" t="n">
        <x:v>12</x:v>
      </x:c>
      <x:c r="J84" t="n">
        <x:v>0.8</x:v>
      </x:c>
      <x:c r="K84" t="n">
        <x:v>10.2</x:v>
      </x:c>
      <x:c r="L84" t="str">
        <x:v>왼쪽 적보다 체력 15% 증가. 접근 시차를 두고 발동.</x:v>
      </x:c>
      <x:c r="M84" t="str">
        <x:v>Elite</x:v>
      </x:c>
      <x:c r="N84" t="n">
        <x:f>N83</x:f>
        <x:v>207.45</x:v>
      </x:c>
      <x:c r="O84" t="n">
        <x:f>ROUND(O83*(1+P84),0)</x:f>
        <x:v>2757</x:v>
      </x:c>
      <x:c r="P84" t="n">
        <x:v>0.15</x:v>
      </x:c>
      <x:c r="Q84" s="52" t="n">
        <x:f>'밸런스 조정'!$C$64</x:f>
        <x:v>0</x:v>
      </x:c>
      <x:c r="R84" s="52" t="n">
        <x:f>'밸런스 조정'!$C$91*IF(M84="Boss",5,IF(M84="Elite",2,1))</x:f>
        <x:v>300</x:v>
      </x:c>
    </x:row>
    <x:row r="85">
      <x:c r="B85" t="n">
        <x:v>83</x:v>
      </x:c>
      <x:c r="C85" t="str">
        <x:v>HighWay</x:v>
      </x:c>
      <x:c r="D85" t="str">
        <x:v>HWY_E17_AsphaltWorker</x:v>
      </x:c>
      <x:c r="E85" t="n">
        <x:v>1</x:v>
      </x:c>
      <x:c r="F85" t="str">
        <x:v>왕복</x:v>
      </x:c>
      <x:c r="G85" t="n">
        <x:v>2.4</x:v>
      </x:c>
      <x:c r="H85" t="n">
        <x:v>1.2</x:v>
      </x:c>
      <x:c r="I85" t="n">
        <x:v>42</x:v>
      </x:c>
      <x:c r="J85" t="n">
        <x:v>0.55</x:v>
      </x:c>
      <x:c r="K85" t="n">
        <x:v>12</x:v>
      </x:c>
      <x:c r="L85" t="str">
        <x:v>공격력·체력은 밸런스 조정 시트에서 계산.</x:v>
      </x:c>
      <x:c r="M85" t="str">
        <x:v>Normal</x:v>
      </x:c>
      <x:c r="N85" t="n">
        <x:f>ROUND('밸런스 조정'!$C$30*(1+'밸런스 조정'!$C$32)^16*1,0)</x:f>
        <x:v>381</x:v>
      </x:c>
      <x:c r="O85" t="n">
        <x:f>ROUND('밸런스 조정'!$C$31*(1+'밸런스 조정'!$C$33)^16*1,0)</x:f>
        <x:v>1718</x:v>
      </x:c>
      <x:c r="P85" t="n">
        <x:v>0.045</x:v>
      </x:c>
      <x:c r="Q85" s="52" t="n">
        <x:f>'밸런스 조정'!$C$64</x:f>
        <x:v>0</x:v>
      </x:c>
      <x:c r="R85" s="52" t="n">
        <x:f>'밸런스 조정'!$C$91*IF(M85="Boss",5,IF(M85="Elite",2,1))</x:f>
        <x:v>150</x:v>
      </x:c>
    </x:row>
    <x:row r="86">
      <x:c r="B86" t="n">
        <x:v>84</x:v>
      </x:c>
      <x:c r="C86" t="str">
        <x:v>HighWay</x:v>
      </x:c>
      <x:c r="D86" t="str">
        <x:v>HWY_E17_AsphaltWorker_Right</x:v>
      </x:c>
      <x:c r="E86" t="n">
        <x:v>1</x:v>
      </x:c>
      <x:c r="F86" t="str">
        <x:v>왕복</x:v>
      </x:c>
      <x:c r="G86" t="n">
        <x:v>2.4</x:v>
      </x:c>
      <x:c r="H86" t="n">
        <x:v>1.2</x:v>
      </x:c>
      <x:c r="I86" t="n">
        <x:v>38</x:v>
      </x:c>
      <x:c r="J86" t="n">
        <x:v>0.55</x:v>
      </x:c>
      <x:c r="K86" t="n">
        <x:v>12</x:v>
      </x:c>
      <x:c r="L86" t="str">
        <x:v>왼쪽 적보다 체력 15% 증가. 접근 시차를 두고 발동.</x:v>
      </x:c>
      <x:c r="M86" t="str">
        <x:v>Normal</x:v>
      </x:c>
      <x:c r="N86" t="n">
        <x:f>N85</x:f>
        <x:v>381</x:v>
      </x:c>
      <x:c r="O86" t="n">
        <x:f>ROUND(O85*(1+P86),0)</x:f>
        <x:v>1976</x:v>
      </x:c>
      <x:c r="P86" t="n">
        <x:v>0.15</x:v>
      </x:c>
      <x:c r="Q86" s="52" t="n">
        <x:f>'밸런스 조정'!$C$64</x:f>
        <x:v>0</x:v>
      </x:c>
      <x:c r="R86" s="52" t="n">
        <x:f>'밸런스 조정'!$C$91*IF(M86="Boss",5,IF(M86="Elite",2,1))</x:f>
        <x:v>150</x:v>
      </x:c>
    </x:row>
    <x:row r="87">
      <x:c r="B87" t="n">
        <x:v>85</x:v>
      </x:c>
      <x:c r="C87" t="str">
        <x:v>HighWay</x:v>
      </x:c>
      <x:c r="D87" t="str">
        <x:v>HWY_E18_DeliveryRider</x:v>
      </x:c>
      <x:c r="E87" t="n">
        <x:v>1</x:v>
      </x:c>
      <x:c r="F87" t="str">
        <x:v>사격</x:v>
      </x:c>
      <x:c r="G87" t="n">
        <x:v>2.4</x:v>
      </x:c>
      <x:c r="H87" t="n">
        <x:v>0</x:v>
      </x:c>
      <x:c r="I87" t="n">
        <x:v>8</x:v>
      </x:c>
      <x:c r="J87" t="n">
        <x:v>0.55</x:v>
      </x:c>
      <x:c r="K87" t="n">
        <x:v>10.2</x:v>
      </x:c>
      <x:c r="L87" t="str">
        <x:v>공격력·체력은 밸런스 조정 시트에서 계산.</x:v>
      </x:c>
      <x:c r="M87" t="str">
        <x:v>Normal</x:v>
      </x:c>
      <x:c r="N87" t="n">
        <x:f>(ROUND('밸런스 조정'!$C$30*(1+'밸런스 조정'!$C$32)^17*1,0))*0.45</x:f>
        <x:v>177.75</x:v>
      </x:c>
      <x:c r="O87" t="n">
        <x:f>ROUND('밸런스 조정'!$C$31*(1+'밸런스 조정'!$C$33)^17*1,0)</x:f>
        <x:v>1846</x:v>
      </x:c>
      <x:c r="P87" t="n">
        <x:v>0.045</x:v>
      </x:c>
      <x:c r="Q87" s="52" t="n">
        <x:f>'밸런스 조정'!$C$64</x:f>
        <x:v>0</x:v>
      </x:c>
      <x:c r="R87" s="52" t="n">
        <x:f>'밸런스 조정'!$C$91*IF(M87="Boss",5,IF(M87="Elite",2,1))</x:f>
        <x:v>150</x:v>
      </x:c>
    </x:row>
    <x:row r="88">
      <x:c r="B88" t="n">
        <x:v>86</x:v>
      </x:c>
      <x:c r="C88" t="str">
        <x:v>HighWay</x:v>
      </x:c>
      <x:c r="D88" t="str">
        <x:v>HWY_E18_DeliveryRider_Right</x:v>
      </x:c>
      <x:c r="E88" t="n">
        <x:v>1</x:v>
      </x:c>
      <x:c r="F88" t="str">
        <x:v>사격</x:v>
      </x:c>
      <x:c r="G88" t="n">
        <x:v>2.4</x:v>
      </x:c>
      <x:c r="H88" t="n">
        <x:v>0</x:v>
      </x:c>
      <x:c r="I88" t="n">
        <x:v>6</x:v>
      </x:c>
      <x:c r="J88" t="n">
        <x:v>0.8</x:v>
      </x:c>
      <x:c r="K88" t="n">
        <x:v>10.2</x:v>
      </x:c>
      <x:c r="L88" t="str">
        <x:v>왼쪽 적보다 체력 15% 증가. 접근 시차를 두고 발동.</x:v>
      </x:c>
      <x:c r="M88" t="str">
        <x:v>Normal</x:v>
      </x:c>
      <x:c r="N88" t="n">
        <x:f>N87</x:f>
        <x:v>177.75</x:v>
      </x:c>
      <x:c r="O88" t="n">
        <x:f>ROUND(O87*(1+P88),0)</x:f>
        <x:v>2123</x:v>
      </x:c>
      <x:c r="P88" t="n">
        <x:v>0.15</x:v>
      </x:c>
      <x:c r="Q88" s="52" t="n">
        <x:f>'밸런스 조정'!$C$64</x:f>
        <x:v>0</x:v>
      </x:c>
      <x:c r="R88" s="52" t="n">
        <x:f>'밸런스 조정'!$C$91*IF(M88="Boss",5,IF(M88="Elite",2,1))</x:f>
        <x:v>150</x:v>
      </x:c>
    </x:row>
    <x:row r="89">
      <x:c r="B89" t="n">
        <x:v>87</x:v>
      </x:c>
      <x:c r="C89" t="str">
        <x:v>HighWay</x:v>
      </x:c>
      <x:c r="D89" t="str">
        <x:v>HWY_E19_ConeMechanic</x:v>
      </x:c>
      <x:c r="E89" t="n">
        <x:v>1</x:v>
      </x:c>
      <x:c r="F89" t="str">
        <x:v>왕복</x:v>
      </x:c>
      <x:c r="G89" t="n">
        <x:v>2.4</x:v>
      </x:c>
      <x:c r="H89" t="n">
        <x:v>1.2</x:v>
      </x:c>
      <x:c r="I89" t="n">
        <x:v>42</x:v>
      </x:c>
      <x:c r="J89" t="n">
        <x:v>0.55</x:v>
      </x:c>
      <x:c r="K89" t="n">
        <x:v>12</x:v>
      </x:c>
      <x:c r="L89" t="str">
        <x:v>공격력·체력은 밸런스 조정 시트에서 계산.</x:v>
      </x:c>
      <x:c r="M89" t="str">
        <x:v>Normal</x:v>
      </x:c>
      <x:c r="N89" t="n">
        <x:f>ROUND('밸런스 조정'!$C$30*(1+'밸런스 조정'!$C$32)^18*1,0)</x:f>
        <x:v>409</x:v>
      </x:c>
      <x:c r="O89" t="n">
        <x:f>ROUND('밸런스 조정'!$C$31*(1+'밸런스 조정'!$C$33)^18*1,0)</x:f>
        <x:v>1985</x:v>
      </x:c>
      <x:c r="P89" t="n">
        <x:v>0.045</x:v>
      </x:c>
      <x:c r="Q89" s="52" t="n">
        <x:f>'밸런스 조정'!$C$64</x:f>
        <x:v>0</x:v>
      </x:c>
      <x:c r="R89" s="52" t="n">
        <x:f>'밸런스 조정'!$C$91*IF(M89="Boss",5,IF(M89="Elite",2,1))</x:f>
        <x:v>150</x:v>
      </x:c>
    </x:row>
    <x:row r="90">
      <x:c r="B90" t="n">
        <x:v>88</x:v>
      </x:c>
      <x:c r="C90" t="str">
        <x:v>HighWay</x:v>
      </x:c>
      <x:c r="D90" t="str">
        <x:v>HWY_E19_ConeMechanic_Right</x:v>
      </x:c>
      <x:c r="E90" t="n">
        <x:v>1</x:v>
      </x:c>
      <x:c r="F90" t="str">
        <x:v>왕복</x:v>
      </x:c>
      <x:c r="G90" t="n">
        <x:v>2.4</x:v>
      </x:c>
      <x:c r="H90" t="n">
        <x:v>1.2</x:v>
      </x:c>
      <x:c r="I90" t="n">
        <x:v>38</x:v>
      </x:c>
      <x:c r="J90" t="n">
        <x:v>0.55</x:v>
      </x:c>
      <x:c r="K90" t="n">
        <x:v>12</x:v>
      </x:c>
      <x:c r="L90" t="str">
        <x:v>왼쪽 적보다 체력 15% 증가. 접근 시차를 두고 발동.</x:v>
      </x:c>
      <x:c r="M90" t="str">
        <x:v>Normal</x:v>
      </x:c>
      <x:c r="N90" t="n">
        <x:f>N89</x:f>
        <x:v>409</x:v>
      </x:c>
      <x:c r="O90" t="n">
        <x:f>ROUND(O89*(1+P90),0)</x:f>
        <x:v>2283</x:v>
      </x:c>
      <x:c r="P90" t="n">
        <x:v>0.15</x:v>
      </x:c>
      <x:c r="Q90" s="52" t="n">
        <x:f>'밸런스 조정'!$C$64</x:f>
        <x:v>0</x:v>
      </x:c>
      <x:c r="R90" s="52" t="n">
        <x:f>'밸런스 조정'!$C$91*IF(M90="Boss",5,IF(M90="Elite",2,1))</x:f>
        <x:v>150</x:v>
      </x:c>
    </x:row>
    <x:row r="91">
      <x:c r="B91" t="n">
        <x:v>89</x:v>
      </x:c>
      <x:c r="C91" t="str">
        <x:v>HighWay</x:v>
      </x:c>
      <x:c r="D91" t="str">
        <x:v>HWY_E20_TrafficPatrol</x:v>
      </x:c>
      <x:c r="E91" t="n">
        <x:v>1</x:v>
      </x:c>
      <x:c r="F91" t="str">
        <x:v>사격</x:v>
      </x:c>
      <x:c r="G91" t="n">
        <x:v>2.4</x:v>
      </x:c>
      <x:c r="H91" t="n">
        <x:v>0</x:v>
      </x:c>
      <x:c r="I91" t="n">
        <x:v>16</x:v>
      </x:c>
      <x:c r="J91" t="n">
        <x:v>0.55</x:v>
      </x:c>
      <x:c r="K91" t="n">
        <x:v>10.2</x:v>
      </x:c>
      <x:c r="L91" t="str">
        <x:v>공격력·체력은 밸런스 조정 시트에서 계산.</x:v>
      </x:c>
      <x:c r="M91" t="str">
        <x:v>Normal</x:v>
      </x:c>
      <x:c r="N91" t="n">
        <x:f>(ROUND('밸런스 조정'!$C$30*(1+'밸런스 조정'!$C$32)^19*1,0))*0.45</x:f>
        <x:v>190.35</x:v>
      </x:c>
      <x:c r="O91" t="n">
        <x:f>ROUND('밸런스 조정'!$C$31*(1+'밸런스 조정'!$C$33)^19*1,0)</x:f>
        <x:v>2134</x:v>
      </x:c>
      <x:c r="P91" t="n">
        <x:v>0.045</x:v>
      </x:c>
      <x:c r="Q91" s="52" t="n">
        <x:f>'밸런스 조정'!$C$64</x:f>
        <x:v>0</x:v>
      </x:c>
      <x:c r="R91" s="52" t="n">
        <x:f>'밸런스 조정'!$C$91*IF(M91="Boss",5,IF(M91="Elite",2,1))</x:f>
        <x:v>150</x:v>
      </x:c>
    </x:row>
    <x:row r="92">
      <x:c r="B92" t="n">
        <x:v>90</x:v>
      </x:c>
      <x:c r="C92" t="str">
        <x:v>HighWay</x:v>
      </x:c>
      <x:c r="D92" t="str">
        <x:v>HWY_E20_TrafficPatrol_Right</x:v>
      </x:c>
      <x:c r="E92" t="n">
        <x:v>1</x:v>
      </x:c>
      <x:c r="F92" t="str">
        <x:v>사격</x:v>
      </x:c>
      <x:c r="G92" t="n">
        <x:v>2.4</x:v>
      </x:c>
      <x:c r="H92" t="n">
        <x:v>0</x:v>
      </x:c>
      <x:c r="I92" t="n">
        <x:v>12</x:v>
      </x:c>
      <x:c r="J92" t="n">
        <x:v>0.8</x:v>
      </x:c>
      <x:c r="K92" t="n">
        <x:v>10.2</x:v>
      </x:c>
      <x:c r="L92" t="str">
        <x:v>왼쪽 적보다 체력 15% 증가. 접근 시차를 두고 발동.</x:v>
      </x:c>
      <x:c r="M92" t="str">
        <x:v>Normal</x:v>
      </x:c>
      <x:c r="N92" t="n">
        <x:f>N91</x:f>
        <x:v>190.35</x:v>
      </x:c>
      <x:c r="O92" t="n">
        <x:f>ROUND(O91*(1+P92),0)</x:f>
        <x:v>2454</x:v>
      </x:c>
      <x:c r="P92" t="n">
        <x:v>0.15</x:v>
      </x:c>
      <x:c r="Q92" s="52" t="n">
        <x:f>'밸런스 조정'!$C$64</x:f>
        <x:v>0</x:v>
      </x:c>
      <x:c r="R92" s="52" t="n">
        <x:f>'밸런스 조정'!$C$91*IF(M92="Boss",5,IF(M92="Elite",2,1))</x:f>
        <x:v>150</x:v>
      </x:c>
    </x:row>
    <x:row r="93">
      <x:c r="B93" t="n">
        <x:v>91</x:v>
      </x:c>
      <x:c r="C93" t="str">
        <x:v>HighWay</x:v>
      </x:c>
      <x:c r="D93" t="str">
        <x:v>HWY_E21_TollgateChief</x:v>
      </x:c>
      <x:c r="E93" t="n">
        <x:v>1</x:v>
      </x:c>
      <x:c r="F93" t="str">
        <x:v>사격</x:v>
      </x:c>
      <x:c r="G93" t="n">
        <x:v>2.4</x:v>
      </x:c>
      <x:c r="H93" t="n">
        <x:v>0</x:v>
      </x:c>
      <x:c r="I93" t="n">
        <x:v>16</x:v>
      </x:c>
      <x:c r="J93" t="n">
        <x:v>0.55</x:v>
      </x:c>
      <x:c r="K93" t="n">
        <x:v>10.2</x:v>
      </x:c>
      <x:c r="L93" t="str">
        <x:v>공격력·체력은 밸런스 조정 시트에서 계산.</x:v>
      </x:c>
      <x:c r="M93" t="str">
        <x:v>Elite</x:v>
      </x:c>
      <x:c r="N93" t="n">
        <x:f>(ROUND('밸런스 조정'!$C$30*(1+'밸런스 조정'!$C$32)^20*'밸런스 조정'!$C$34,0))*0.45</x:f>
        <x:v>246.15</x:v>
      </x:c>
      <x:c r="O93" t="n">
        <x:f>ROUND('밸런스 조정'!$C$31*(1+'밸런스 조정'!$C$33)^20*'밸런스 조정'!$C$35,0)</x:f>
        <x:v>3441</x:v>
      </x:c>
      <x:c r="P93" t="n">
        <x:v>0.045</x:v>
      </x:c>
      <x:c r="Q93" s="52" t="n">
        <x:f>'밸런스 조정'!$C$64</x:f>
        <x:v>0</x:v>
      </x:c>
      <x:c r="R93" s="52" t="n">
        <x:f>'밸런스 조정'!$C$91*IF(M93="Boss",5,IF(M93="Elite",2,1))</x:f>
        <x:v>300</x:v>
      </x:c>
    </x:row>
    <x:row r="94">
      <x:c r="B94" t="n">
        <x:v>92</x:v>
      </x:c>
      <x:c r="C94" t="str">
        <x:v>HighWay</x:v>
      </x:c>
      <x:c r="D94" t="str">
        <x:v>HWY_E21_TollgateChief_Right</x:v>
      </x:c>
      <x:c r="E94" t="n">
        <x:v>1</x:v>
      </x:c>
      <x:c r="F94" t="str">
        <x:v>사격</x:v>
      </x:c>
      <x:c r="G94" t="n">
        <x:v>2.4</x:v>
      </x:c>
      <x:c r="H94" t="n">
        <x:v>0</x:v>
      </x:c>
      <x:c r="I94" t="n">
        <x:v>12</x:v>
      </x:c>
      <x:c r="J94" t="n">
        <x:v>0.8</x:v>
      </x:c>
      <x:c r="K94" t="n">
        <x:v>10.2</x:v>
      </x:c>
      <x:c r="L94" t="str">
        <x:v>왼쪽 적보다 체력 15% 증가. 접근 시차를 두고 발동.</x:v>
      </x:c>
      <x:c r="M94" t="str">
        <x:v>Elite</x:v>
      </x:c>
      <x:c r="N94" t="n">
        <x:f>N93</x:f>
        <x:v>246.15</x:v>
      </x:c>
      <x:c r="O94" t="n">
        <x:f>ROUND(O93*(1+P94),0)</x:f>
        <x:v>3957</x:v>
      </x:c>
      <x:c r="P94" t="n">
        <x:v>0.15</x:v>
      </x:c>
      <x:c r="Q94" s="52" t="n">
        <x:f>'밸런스 조정'!$C$64</x:f>
        <x:v>0</x:v>
      </x:c>
      <x:c r="R94" s="52" t="n">
        <x:f>'밸런스 조정'!$C$91*IF(M94="Boss",5,IF(M94="Elite",2,1))</x:f>
        <x:v>300</x:v>
      </x:c>
    </x:row>
    <x:row r="95">
      <x:c r="B95" t="n">
        <x:v>93</x:v>
      </x:c>
      <x:c r="C95" t="str">
        <x:v>HighWay</x:v>
      </x:c>
      <x:c r="D95" t="str">
        <x:v>HWY_E22_TireBruiser</x:v>
      </x:c>
      <x:c r="E95" t="n">
        <x:v>1</x:v>
      </x:c>
      <x:c r="F95" t="str">
        <x:v>사격</x:v>
      </x:c>
      <x:c r="G95" t="n">
        <x:v>2.4</x:v>
      </x:c>
      <x:c r="H95" t="n">
        <x:v>0</x:v>
      </x:c>
      <x:c r="I95" t="n">
        <x:v>16</x:v>
      </x:c>
      <x:c r="J95" t="n">
        <x:v>0.55</x:v>
      </x:c>
      <x:c r="K95" t="n">
        <x:v>10.2</x:v>
      </x:c>
      <x:c r="L95" t="str">
        <x:v>공격력·체력은 밸런스 조정 시트에서 계산.</x:v>
      </x:c>
      <x:c r="M95" t="str">
        <x:v>Elite</x:v>
      </x:c>
      <x:c r="N95" t="n">
        <x:f>(ROUND('밸런스 조정'!$C$30*(1+'밸런스 조정'!$C$32)^21*'밸런스 조정'!$C$34,0))*0.45</x:f>
        <x:v>254.7</x:v>
      </x:c>
      <x:c r="O95" t="n">
        <x:f>ROUND('밸런스 조정'!$C$31*(1+'밸런스 조정'!$C$33)^21*'밸런스 조정'!$C$35,0)</x:f>
        <x:v>3699</x:v>
      </x:c>
      <x:c r="P95" t="n">
        <x:v>0.045</x:v>
      </x:c>
      <x:c r="Q95" s="52" t="n">
        <x:f>'밸런스 조정'!$C$64</x:f>
        <x:v>0</x:v>
      </x:c>
      <x:c r="R95" s="52" t="n">
        <x:f>'밸런스 조정'!$C$91*IF(M95="Boss",5,IF(M95="Elite",2,1))</x:f>
        <x:v>300</x:v>
      </x:c>
    </x:row>
    <x:row r="96">
      <x:c r="B96" t="n">
        <x:v>94</x:v>
      </x:c>
      <x:c r="C96" t="str">
        <x:v>HighWay</x:v>
      </x:c>
      <x:c r="D96" t="str">
        <x:v>HWY_E22_TireBruiser_Right</x:v>
      </x:c>
      <x:c r="E96" t="n">
        <x:v>1</x:v>
      </x:c>
      <x:c r="F96" t="str">
        <x:v>사격</x:v>
      </x:c>
      <x:c r="G96" t="n">
        <x:v>2.4</x:v>
      </x:c>
      <x:c r="H96" t="n">
        <x:v>0</x:v>
      </x:c>
      <x:c r="I96" t="n">
        <x:v>12</x:v>
      </x:c>
      <x:c r="J96" t="n">
        <x:v>0.8</x:v>
      </x:c>
      <x:c r="K96" t="n">
        <x:v>10.2</x:v>
      </x:c>
      <x:c r="L96" t="str">
        <x:v>왼쪽 적보다 체력 15% 증가. 접근 시차를 두고 발동.</x:v>
      </x:c>
      <x:c r="M96" t="str">
        <x:v>Elite</x:v>
      </x:c>
      <x:c r="N96" t="n">
        <x:f>N95</x:f>
        <x:v>254.7</x:v>
      </x:c>
      <x:c r="O96" t="n">
        <x:f>ROUND(O95*(1+P96),0)</x:f>
        <x:v>4254</x:v>
      </x:c>
      <x:c r="P96" t="n">
        <x:v>0.15</x:v>
      </x:c>
      <x:c r="Q96" s="52" t="n">
        <x:f>'밸런스 조정'!$C$64</x:f>
        <x:v>0</x:v>
      </x:c>
      <x:c r="R96" s="52" t="n">
        <x:f>'밸런스 조정'!$C$91*IF(M96="Boss",5,IF(M96="Elite",2,1))</x:f>
        <x:v>300</x:v>
      </x:c>
    </x:row>
    <x:row r="97">
      <x:c r="B97" t="n">
        <x:v>95</x:v>
      </x:c>
      <x:c r="C97" t="str">
        <x:v>HighWay</x:v>
      </x:c>
      <x:c r="D97" t="str">
        <x:v>HWY_AddedLeader_1</x:v>
      </x:c>
      <x:c r="E97" t="n">
        <x:v>1</x:v>
      </x:c>
      <x:c r="F97" t="str">
        <x:v>왕복</x:v>
      </x:c>
      <x:c r="G97" t="n">
        <x:v>2.4</x:v>
      </x:c>
      <x:c r="H97" t="n">
        <x:v>1.2</x:v>
      </x:c>
      <x:c r="I97" t="n">
        <x:v>42</x:v>
      </x:c>
      <x:c r="J97" t="n">
        <x:v>0.55</x:v>
      </x:c>
      <x:c r="K97" t="n">
        <x:v>12</x:v>
      </x:c>
      <x:c r="L97" t="str">
        <x:v>공격력·체력은 밸런스 조정 시트에서 계산.</x:v>
      </x:c>
      <x:c r="M97" t="str">
        <x:v>Normal</x:v>
      </x:c>
      <x:c r="N97" t="n">
        <x:f>ROUND('밸런스 조정'!$C$30*(1+'밸런스 조정'!$C$32)^22*1,0)</x:f>
        <x:v>469</x:v>
      </x:c>
      <x:c r="O97" t="n">
        <x:f>ROUND('밸런스 조정'!$C$31*(1+'밸런스 조정'!$C$33)^22*1,0)</x:f>
        <x:v>2651</x:v>
      </x:c>
      <x:c r="P97" t="n">
        <x:v>0.045</x:v>
      </x:c>
      <x:c r="Q97" s="52" t="n">
        <x:f>'밸런스 조정'!$C$64</x:f>
        <x:v>0</x:v>
      </x:c>
      <x:c r="R97" s="52" t="n">
        <x:f>'밸런스 조정'!$C$91*IF(M97="Boss",5,IF(M97="Elite",2,1))</x:f>
        <x:v>150</x:v>
      </x:c>
    </x:row>
    <x:row r="98">
      <x:c r="B98" t="n">
        <x:v>96</x:v>
      </x:c>
      <x:c r="C98" t="str">
        <x:v>HighWay</x:v>
      </x:c>
      <x:c r="D98" t="str">
        <x:v>HWY_AddedLeader_1_Right</x:v>
      </x:c>
      <x:c r="E98" t="n">
        <x:v>1</x:v>
      </x:c>
      <x:c r="F98" t="str">
        <x:v>왕복</x:v>
      </x:c>
      <x:c r="G98" t="n">
        <x:v>2.4</x:v>
      </x:c>
      <x:c r="H98" t="n">
        <x:v>1.2</x:v>
      </x:c>
      <x:c r="I98" t="n">
        <x:v>38</x:v>
      </x:c>
      <x:c r="J98" t="n">
        <x:v>0.55</x:v>
      </x:c>
      <x:c r="K98" t="n">
        <x:v>12</x:v>
      </x:c>
      <x:c r="L98" t="str">
        <x:v>왼쪽 적보다 체력 15% 증가. 접근 시차를 두고 발동.</x:v>
      </x:c>
      <x:c r="M98" t="str">
        <x:v>Normal</x:v>
      </x:c>
      <x:c r="N98" t="n">
        <x:f>N97</x:f>
        <x:v>469</x:v>
      </x:c>
      <x:c r="O98" t="n">
        <x:f>ROUND(O97*(1+P98),0)</x:f>
        <x:v>3049</x:v>
      </x:c>
      <x:c r="P98" t="n">
        <x:v>0.15</x:v>
      </x:c>
      <x:c r="Q98" s="52" t="n">
        <x:f>'밸런스 조정'!$C$64</x:f>
        <x:v>0</x:v>
      </x:c>
      <x:c r="R98" s="52" t="n">
        <x:f>'밸런스 조정'!$C$91*IF(M98="Boss",5,IF(M98="Elite",2,1))</x:f>
        <x:v>150</x:v>
      </x:c>
    </x:row>
    <x:row r="99">
      <x:c r="B99" t="n">
        <x:v>97</x:v>
      </x:c>
      <x:c r="C99" t="str">
        <x:v>HighWay</x:v>
      </x:c>
      <x:c r="D99" t="str">
        <x:v>HWY_AddedLeader_2</x:v>
      </x:c>
      <x:c r="E99" t="n">
        <x:v>1</x:v>
      </x:c>
      <x:c r="F99" t="str">
        <x:v>사격</x:v>
      </x:c>
      <x:c r="G99" t="n">
        <x:v>2.4</x:v>
      </x:c>
      <x:c r="H99" t="n">
        <x:v>0</x:v>
      </x:c>
      <x:c r="I99" t="n">
        <x:v>16</x:v>
      </x:c>
      <x:c r="J99" t="n">
        <x:v>0.55</x:v>
      </x:c>
      <x:c r="K99" t="n">
        <x:v>10.2</x:v>
      </x:c>
      <x:c r="L99" t="str">
        <x:v>공격력·체력은 밸런스 조정 시트에서 계산.</x:v>
      </x:c>
      <x:c r="M99" t="str">
        <x:v>Normal</x:v>
      </x:c>
      <x:c r="N99" t="n">
        <x:f>(ROUND('밸런스 조정'!$C$30*(1+'밸런스 조정'!$C$32)^23*1,0))*0.45</x:f>
        <x:v>218.25</x:v>
      </x:c>
      <x:c r="O99" t="n">
        <x:f>ROUND('밸런스 조정'!$C$31*(1+'밸런스 조정'!$C$33)^23*1,0)</x:f>
        <x:v>2850</x:v>
      </x:c>
      <x:c r="P99" t="n">
        <x:v>0.045</x:v>
      </x:c>
      <x:c r="Q99" s="52" t="n">
        <x:f>'밸런스 조정'!$C$64</x:f>
        <x:v>0</x:v>
      </x:c>
      <x:c r="R99" s="52" t="n">
        <x:f>'밸런스 조정'!$C$91*IF(M99="Boss",5,IF(M99="Elite",2,1))</x:f>
        <x:v>150</x:v>
      </x:c>
    </x:row>
    <x:row r="100">
      <x:c r="B100" t="n">
        <x:v>98</x:v>
      </x:c>
      <x:c r="C100" t="str">
        <x:v>HighWay</x:v>
      </x:c>
      <x:c r="D100" t="str">
        <x:v>HWY_AddedLeader_2_Right</x:v>
      </x:c>
      <x:c r="E100" t="n">
        <x:v>1</x:v>
      </x:c>
      <x:c r="F100" t="str">
        <x:v>사격</x:v>
      </x:c>
      <x:c r="G100" t="n">
        <x:v>2.4</x:v>
      </x:c>
      <x:c r="H100" t="n">
        <x:v>0</x:v>
      </x:c>
      <x:c r="I100" t="n">
        <x:v>12</x:v>
      </x:c>
      <x:c r="J100" t="n">
        <x:v>0.8</x:v>
      </x:c>
      <x:c r="K100" t="n">
        <x:v>10.2</x:v>
      </x:c>
      <x:c r="L100" t="str">
        <x:v>왼쪽 적보다 체력 15% 증가. 접근 시차를 두고 발동.</x:v>
      </x:c>
      <x:c r="M100" t="str">
        <x:v>Normal</x:v>
      </x:c>
      <x:c r="N100" t="n">
        <x:f>N99</x:f>
        <x:v>218.25</x:v>
      </x:c>
      <x:c r="O100" t="n">
        <x:f>ROUND(O99*(1+P100),0)</x:f>
        <x:v>3277</x:v>
      </x:c>
      <x:c r="P100" t="n">
        <x:v>0.15</x:v>
      </x:c>
      <x:c r="Q100" s="52" t="n">
        <x:f>'밸런스 조정'!$C$64</x:f>
        <x:v>0</x:v>
      </x:c>
      <x:c r="R100" s="52" t="n">
        <x:f>'밸런스 조정'!$C$91*IF(M100="Boss",5,IF(M100="Elite",2,1))</x:f>
        <x:v>150</x:v>
      </x:c>
    </x:row>
    <x:row r="101">
      <x:c r="B101" t="n">
        <x:v>99</x:v>
      </x:c>
      <x:c r="C101" t="str">
        <x:v>HighWay</x:v>
      </x:c>
      <x:c r="D101" t="str">
        <x:v>HWY_E23_TollgateChief</x:v>
      </x:c>
      <x:c r="E101" t="n">
        <x:v>1</x:v>
      </x:c>
      <x:c r="F101" t="str">
        <x:v>사격</x:v>
      </x:c>
      <x:c r="G101" t="n">
        <x:v>2.4</x:v>
      </x:c>
      <x:c r="H101" t="n">
        <x:v>0</x:v>
      </x:c>
      <x:c r="I101" t="n">
        <x:v>16</x:v>
      </x:c>
      <x:c r="J101" t="n">
        <x:v>0.55</x:v>
      </x:c>
      <x:c r="K101" t="n">
        <x:v>10.2</x:v>
      </x:c>
      <x:c r="L101" t="str">
        <x:v>공격력·체력은 밸런스 조정 시트에서 계산.</x:v>
      </x:c>
      <x:c r="M101" t="str">
        <x:v>Boss</x:v>
      </x:c>
      <x:c r="N101" t="n">
        <x:f>(ROUND('밸런스 조정'!$C$30*(1+'밸런스 조정'!$C$32)^24*'밸런스 조정'!$C$36,0))*0.45</x:f>
        <x:v>406.8</x:v>
      </x:c>
      <x:c r="O101" t="n">
        <x:f>ROUND('밸런스 조정'!$C$31*(1+'밸런스 조정'!$C$33)^24*'밸런스 조정'!$C$37,0)</x:f>
        <x:v>7965</x:v>
      </x:c>
      <x:c r="P101" t="n">
        <x:v>0.045</x:v>
      </x:c>
      <x:c r="Q101" s="52" t="n">
        <x:f>'밸런스 조정'!$C$64</x:f>
        <x:v>0</x:v>
      </x:c>
      <x:c r="R101" s="52" t="n">
        <x:f>'밸런스 조정'!$C$91*IF(M101="Boss",5,IF(M101="Elite",2,1))</x:f>
        <x:v>750</x:v>
      </x:c>
    </x:row>
    <x:row r="102">
      <x:c r="B102" t="n">
        <x:v>100</x:v>
      </x:c>
      <x:c r="C102" t="str">
        <x:v>HighWay</x:v>
      </x:c>
      <x:c r="D102" t="str">
        <x:v>HWY_E23_TollgateChief_Right</x:v>
      </x:c>
      <x:c r="E102" t="n">
        <x:v>1</x:v>
      </x:c>
      <x:c r="F102" t="str">
        <x:v>사격</x:v>
      </x:c>
      <x:c r="G102" t="n">
        <x:v>2.4</x:v>
      </x:c>
      <x:c r="H102" t="n">
        <x:v>0</x:v>
      </x:c>
      <x:c r="I102" t="n">
        <x:v>12</x:v>
      </x:c>
      <x:c r="J102" t="n">
        <x:v>0.8</x:v>
      </x:c>
      <x:c r="K102" t="n">
        <x:v>10.2</x:v>
      </x:c>
      <x:c r="L102" t="str">
        <x:v>왼쪽 적보다 체력 15% 증가. 접근 시차를 두고 발동.</x:v>
      </x:c>
      <x:c r="M102" t="str">
        <x:v>Boss</x:v>
      </x:c>
      <x:c r="N102" t="n">
        <x:f>N101</x:f>
        <x:v>406.8</x:v>
      </x:c>
      <x:c r="O102" t="n">
        <x:f>ROUND(O101*(1+P102),0)</x:f>
        <x:v>9160</x:v>
      </x:c>
      <x:c r="P102" t="n">
        <x:v>0.15</x:v>
      </x:c>
      <x:c r="Q102" s="52" t="n">
        <x:f>'밸런스 조정'!$C$64</x:f>
        <x:v>0</x:v>
      </x:c>
      <x:c r="R102" s="52" t="n">
        <x:f>'밸런스 조정'!$C$91*IF(M102="Boss",5,IF(M102="Elite",2,1))</x:f>
        <x:v>750</x:v>
      </x:c>
    </x:row>
    <x:row r="103">
      <x:c r="B103" t="n">
        <x:v>101</x:v>
      </x:c>
      <x:c r="C103" t="str">
        <x:v>RestStop</x:v>
      </x:c>
      <x:c r="D103" t="str">
        <x:v>RST_E01_ParkingMarshal</x:v>
      </x:c>
      <x:c r="E103" t="n">
        <x:v>1</x:v>
      </x:c>
      <x:c r="F103" t="str">
        <x:v>왕복</x:v>
      </x:c>
      <x:c r="G103" t="n">
        <x:v>2.2</x:v>
      </x:c>
      <x:c r="H103" t="n">
        <x:v>1.2</x:v>
      </x:c>
      <x:c r="I103" t="n">
        <x:v>32</x:v>
      </x:c>
      <x:c r="J103" t="n">
        <x:v>0.65</x:v>
      </x:c>
      <x:c r="K103" t="n">
        <x:v>12</x:v>
      </x:c>
      <x:c r="L103" t="str">
        <x:v>안전 통로가 좌우로 번갈아 바뀌는 배치</x:v>
      </x:c>
      <x:c r="M103" t="str">
        <x:v>Normal</x:v>
      </x:c>
      <x:c r="N103" t="n">
        <x:f>ROUND('밸런스 조정'!$C$72*(1+'밸런스 조정'!$C$74)^0*IF(M103="Boss",'밸런스 조정'!$C$78,IF(M103="Elite",'밸런스 조정'!$C$76,1)),0)</x:f>
        <x:v>650</x:v>
      </x:c>
      <x:c r="O103" t="n">
        <x:f>ROUND('밸런스 조정'!$C$73*(1+'밸런스 조정'!$C$75)^0*IF(M103="Boss",'밸런스 조정'!$C$79,IF(M103="Elite",'밸런스 조정'!$C$77,1)),0)</x:f>
        <x:v>2750</x:v>
      </x:c>
      <x:c r="P103" t="n">
        <x:f>'밸런스 조정'!$C$75</x:f>
        <x:v>0.06</x:v>
      </x:c>
      <x:c r="Q103" t="n">
        <x:f>'밸런스 조정'!$C$64</x:f>
        <x:v>0</x:v>
      </x:c>
      <x:c r="R103" t="n">
        <x:f>'밸런스 조정'!$C$90*IF(M103="Boss",5,IF(M103="Elite",2,1))</x:f>
        <x:v>300</x:v>
      </x:c>
    </x:row>
    <x:row r="104">
      <x:c r="B104" t="n">
        <x:v>102</x:v>
      </x:c>
      <x:c r="C104" t="str">
        <x:v>RestStop</x:v>
      </x:c>
      <x:c r="D104" t="str">
        <x:v>RST_E01_ParkingMarshal_Right</x:v>
      </x:c>
      <x:c r="E104" t="n">
        <x:v>1</x:v>
      </x:c>
      <x:c r="F104" t="str">
        <x:v>왕복</x:v>
      </x:c>
      <x:c r="G104" t="n">
        <x:v>2.2</x:v>
      </x:c>
      <x:c r="H104" t="n">
        <x:v>1.2</x:v>
      </x:c>
      <x:c r="I104" t="n">
        <x:v>28</x:v>
      </x:c>
      <x:c r="J104" t="n">
        <x:v>0.65</x:v>
      </x:c>
      <x:c r="K104" t="n">
        <x:v>12</x:v>
      </x:c>
      <x:c r="L104" t="str">
        <x:v>왼쪽 적보다 체력 15% 증가. 접근 시차를 두고 발동.</x:v>
      </x:c>
      <x:c r="M104" t="str">
        <x:v>Normal</x:v>
      </x:c>
      <x:c r="N104" t="n">
        <x:f>ROUND('밸런스 조정'!$C$72*(1+'밸런스 조정'!$C$74)^0*IF(M104="Boss",'밸런스 조정'!$C$78,IF(M104="Elite",'밸런스 조정'!$C$76,1)),0)</x:f>
        <x:v>650</x:v>
      </x:c>
      <x:c r="O104" t="n">
        <x:f>ROUND(O103*(1+P104),0)</x:f>
        <x:v>3162</x:v>
      </x:c>
      <x:c r="P104" t="n">
        <x:v>0.15</x:v>
      </x:c>
      <x:c r="Q104" t="n">
        <x:f>'밸런스 조정'!$C$64</x:f>
        <x:v>0</x:v>
      </x:c>
      <x:c r="R104" t="n">
        <x:f>'밸런스 조정'!$C$90*IF(M104="Boss",5,IF(M104="Elite",2,1))</x:f>
        <x:v>300</x:v>
      </x:c>
    </x:row>
    <x:row r="105">
      <x:c r="B105" t="n">
        <x:v>103</x:v>
      </x:c>
      <x:c r="C105" t="str">
        <x:v>RestStop</x:v>
      </x:c>
      <x:c r="D105" t="str">
        <x:v>RST_E02_SnackChef</x:v>
      </x:c>
      <x:c r="E105" t="n">
        <x:v>1</x:v>
      </x:c>
      <x:c r="F105" t="str">
        <x:v>왕복</x:v>
      </x:c>
      <x:c r="G105" t="n">
        <x:v>2.2</x:v>
      </x:c>
      <x:c r="H105" t="n">
        <x:v>1.2</x:v>
      </x:c>
      <x:c r="I105" t="n">
        <x:v>32</x:v>
      </x:c>
      <x:c r="J105" t="n">
        <x:v>0.65</x:v>
      </x:c>
      <x:c r="K105" t="n">
        <x:v>12</x:v>
      </x:c>
      <x:c r="L105" t="str">
        <x:v>안전 통로가 좌우로 번갈아 바뀌는 배치</x:v>
      </x:c>
      <x:c r="M105" t="str">
        <x:v>Normal</x:v>
      </x:c>
      <x:c r="N105" t="n">
        <x:f>ROUND('밸런스 조정'!$C$72*(1+'밸런스 조정'!$C$74)^1*IF(M105="Boss",'밸런스 조정'!$C$78,IF(M105="Elite",'밸런스 조정'!$C$76,1)),0)</x:f>
        <x:v>673</x:v>
      </x:c>
      <x:c r="O105" t="n">
        <x:f>ROUND('밸런스 조정'!$C$73*(1+'밸런스 조정'!$C$75)^1*IF(M105="Boss",'밸런스 조정'!$C$79,IF(M105="Elite",'밸런스 조정'!$C$77,1)),0)</x:f>
        <x:v>2915</x:v>
      </x:c>
      <x:c r="P105" t="n">
        <x:f>'밸런스 조정'!$C$75</x:f>
        <x:v>0.06</x:v>
      </x:c>
      <x:c r="Q105" t="n">
        <x:f>'밸런스 조정'!$C$64</x:f>
        <x:v>0</x:v>
      </x:c>
      <x:c r="R105" t="n">
        <x:f>'밸런스 조정'!$C$90*IF(M105="Boss",5,IF(M105="Elite",2,1))</x:f>
        <x:v>300</x:v>
      </x:c>
    </x:row>
    <x:row r="106">
      <x:c r="B106" t="n">
        <x:v>104</x:v>
      </x:c>
      <x:c r="C106" t="str">
        <x:v>RestStop</x:v>
      </x:c>
      <x:c r="D106" t="str">
        <x:v>RST_E02_SnackChef_Right</x:v>
      </x:c>
      <x:c r="E106" t="n">
        <x:v>1</x:v>
      </x:c>
      <x:c r="F106" t="str">
        <x:v>왕복</x:v>
      </x:c>
      <x:c r="G106" t="n">
        <x:v>2.2</x:v>
      </x:c>
      <x:c r="H106" t="n">
        <x:v>1.2</x:v>
      </x:c>
      <x:c r="I106" t="n">
        <x:v>28</x:v>
      </x:c>
      <x:c r="J106" t="n">
        <x:v>0.65</x:v>
      </x:c>
      <x:c r="K106" t="n">
        <x:v>12</x:v>
      </x:c>
      <x:c r="L106" t="str">
        <x:v>왼쪽 적보다 체력 15% 증가. 접근 시차를 두고 발동.</x:v>
      </x:c>
      <x:c r="M106" t="str">
        <x:v>Normal</x:v>
      </x:c>
      <x:c r="N106" t="n">
        <x:f>ROUND('밸런스 조정'!$C$72*(1+'밸런스 조정'!$C$74)^1*IF(M106="Boss",'밸런스 조정'!$C$78,IF(M106="Elite",'밸런스 조정'!$C$76,1)),0)</x:f>
        <x:v>673</x:v>
      </x:c>
      <x:c r="O106" t="n">
        <x:f>ROUND(O105*(1+P106),0)</x:f>
        <x:v>3352</x:v>
      </x:c>
      <x:c r="P106" t="n">
        <x:v>0.15</x:v>
      </x:c>
      <x:c r="Q106" t="n">
        <x:f>'밸런스 조정'!$C$64</x:f>
        <x:v>0</x:v>
      </x:c>
      <x:c r="R106" t="n">
        <x:f>'밸런스 조정'!$C$90*IF(M106="Boss",5,IF(M106="Elite",2,1))</x:f>
        <x:v>300</x:v>
      </x:c>
    </x:row>
    <x:row r="107">
      <x:c r="B107" t="n">
        <x:v>105</x:v>
      </x:c>
      <x:c r="C107" t="str">
        <x:v>RestStop</x:v>
      </x:c>
      <x:c r="D107" t="str">
        <x:v>RST_E03_CoffeeVendor</x:v>
      </x:c>
      <x:c r="E107" t="n">
        <x:v>1</x:v>
      </x:c>
      <x:c r="F107" t="str">
        <x:v>사격</x:v>
      </x:c>
      <x:c r="G107" t="n">
        <x:v>2.2</x:v>
      </x:c>
      <x:c r="H107" t="n">
        <x:v>0</x:v>
      </x:c>
      <x:c r="I107" t="n">
        <x:v>16</x:v>
      </x:c>
      <x:c r="J107" t="n">
        <x:v>0.65</x:v>
      </x:c>
      <x:c r="K107" t="n">
        <x:v>10.2</x:v>
      </x:c>
      <x:c r="L107" t="str">
        <x:v>안전 통로가 좌우로 번갈아 바뀌는 배치</x:v>
      </x:c>
      <x:c r="M107" t="str">
        <x:v>Normal</x:v>
      </x:c>
      <x:c r="N107" t="n">
        <x:f>(ROUND('밸런스 조정'!$C$72*(1+'밸런스 조정'!$C$74)^2*IF(M107="Boss",'밸런스 조정'!$C$78,IF(M107="Elite",'밸런스 조정'!$C$76,1)),0))*0.45</x:f>
        <x:v>313.2</x:v>
      </x:c>
      <x:c r="O107" t="n">
        <x:f>ROUND('밸런스 조정'!$C$73*(1+'밸런스 조정'!$C$75)^2*IF(M107="Boss",'밸런스 조정'!$C$79,IF(M107="Elite",'밸런스 조정'!$C$77,1)),0)</x:f>
        <x:v>3090</x:v>
      </x:c>
      <x:c r="P107" t="n">
        <x:f>'밸런스 조정'!$C$75</x:f>
        <x:v>0.06</x:v>
      </x:c>
      <x:c r="Q107" t="n">
        <x:f>'밸런스 조정'!$C$64</x:f>
        <x:v>0</x:v>
      </x:c>
      <x:c r="R107" t="n">
        <x:f>'밸런스 조정'!$C$90*IF(M107="Boss",5,IF(M107="Elite",2,1))</x:f>
        <x:v>300</x:v>
      </x:c>
    </x:row>
    <x:row r="108">
      <x:c r="B108" t="n">
        <x:v>106</x:v>
      </x:c>
      <x:c r="C108" t="str">
        <x:v>RestStop</x:v>
      </x:c>
      <x:c r="D108" t="str">
        <x:v>RST_E03_CoffeeVendor_Right</x:v>
      </x:c>
      <x:c r="E108" t="n">
        <x:v>1</x:v>
      </x:c>
      <x:c r="F108" t="str">
        <x:v>사격</x:v>
      </x:c>
      <x:c r="G108" t="n">
        <x:v>2.2</x:v>
      </x:c>
      <x:c r="H108" t="n">
        <x:v>0</x:v>
      </x:c>
      <x:c r="I108" t="n">
        <x:v>12</x:v>
      </x:c>
      <x:c r="J108" t="n">
        <x:v>0.9</x:v>
      </x:c>
      <x:c r="K108" t="n">
        <x:v>10.2</x:v>
      </x:c>
      <x:c r="L108" t="str">
        <x:v>왼쪽 적보다 체력 15% 증가. 접근 시차를 두고 발동.</x:v>
      </x:c>
      <x:c r="M108" t="str">
        <x:v>Normal</x:v>
      </x:c>
      <x:c r="N108" t="n">
        <x:f>(ROUND('밸런스 조정'!$C$72*(1+'밸런스 조정'!$C$74)^2*IF(M108="Boss",'밸런스 조정'!$C$78,IF(M108="Elite",'밸런스 조정'!$C$76,1)),0))*0.45</x:f>
        <x:v>313.2</x:v>
      </x:c>
      <x:c r="O108" t="n">
        <x:f>ROUND(O107*(1+P108),0)</x:f>
        <x:v>3553</x:v>
      </x:c>
      <x:c r="P108" t="n">
        <x:v>0.15</x:v>
      </x:c>
      <x:c r="Q108" t="n">
        <x:f>'밸런스 조정'!$C$64</x:f>
        <x:v>0</x:v>
      </x:c>
      <x:c r="R108" t="n">
        <x:f>'밸런스 조정'!$C$90*IF(M108="Boss",5,IF(M108="Elite",2,1))</x:f>
        <x:v>300</x:v>
      </x:c>
    </x:row>
    <x:row r="109">
      <x:c r="B109" t="n">
        <x:v>107</x:v>
      </x:c>
      <x:c r="C109" t="str">
        <x:v>RestStop</x:v>
      </x:c>
      <x:c r="D109" t="str">
        <x:v>RST_E04_DeliveryRider</x:v>
      </x:c>
      <x:c r="E109" t="n">
        <x:v>1</x:v>
      </x:c>
      <x:c r="F109" t="str">
        <x:v>사격</x:v>
      </x:c>
      <x:c r="G109" t="n">
        <x:v>2.2</x:v>
      </x:c>
      <x:c r="H109" t="n">
        <x:v>0</x:v>
      </x:c>
      <x:c r="I109" t="n">
        <x:v>16</x:v>
      </x:c>
      <x:c r="J109" t="n">
        <x:v>0.65</x:v>
      </x:c>
      <x:c r="K109" t="n">
        <x:v>10.2</x:v>
      </x:c>
      <x:c r="L109" t="str">
        <x:v>안전 통로가 좌우로 번갈아 바뀌는 배치</x:v>
      </x:c>
      <x:c r="M109" t="str">
        <x:v>Normal</x:v>
      </x:c>
      <x:c r="N109" t="n">
        <x:f>(ROUND('밸런스 조정'!$C$72*(1+'밸런스 조정'!$C$74)^3*IF(M109="Boss",'밸런스 조정'!$C$78,IF(M109="Elite",'밸런스 조정'!$C$76,1)),0))*0.45</x:f>
        <x:v>324.45</x:v>
      </x:c>
      <x:c r="O109" t="n">
        <x:f>ROUND('밸런스 조정'!$C$73*(1+'밸런스 조정'!$C$75)^3*IF(M109="Boss",'밸런스 조정'!$C$79,IF(M109="Elite",'밸런스 조정'!$C$77,1)),0)</x:f>
        <x:v>3275</x:v>
      </x:c>
      <x:c r="P109" t="n">
        <x:f>'밸런스 조정'!$C$75</x:f>
        <x:v>0.06</x:v>
      </x:c>
      <x:c r="Q109" t="n">
        <x:f>'밸런스 조정'!$C$64</x:f>
        <x:v>0</x:v>
      </x:c>
      <x:c r="R109" t="n">
        <x:f>'밸런스 조정'!$C$90*IF(M109="Boss",5,IF(M109="Elite",2,1))</x:f>
        <x:v>300</x:v>
      </x:c>
    </x:row>
    <x:row r="110">
      <x:c r="B110" t="n">
        <x:v>108</x:v>
      </x:c>
      <x:c r="C110" t="str">
        <x:v>RestStop</x:v>
      </x:c>
      <x:c r="D110" t="str">
        <x:v>RST_E04_DeliveryRider_Right</x:v>
      </x:c>
      <x:c r="E110" t="n">
        <x:v>1</x:v>
      </x:c>
      <x:c r="F110" t="str">
        <x:v>사격</x:v>
      </x:c>
      <x:c r="G110" t="n">
        <x:v>2.2</x:v>
      </x:c>
      <x:c r="H110" t="n">
        <x:v>0</x:v>
      </x:c>
      <x:c r="I110" t="n">
        <x:v>12</x:v>
      </x:c>
      <x:c r="J110" t="n">
        <x:v>0.9</x:v>
      </x:c>
      <x:c r="K110" t="n">
        <x:v>10.2</x:v>
      </x:c>
      <x:c r="L110" t="str">
        <x:v>왼쪽 적보다 체력 15% 증가. 접근 시차를 두고 발동.</x:v>
      </x:c>
      <x:c r="M110" t="str">
        <x:v>Normal</x:v>
      </x:c>
      <x:c r="N110" t="n">
        <x:f>(ROUND('밸런스 조정'!$C$72*(1+'밸런스 조정'!$C$74)^3*IF(M110="Boss",'밸런스 조정'!$C$78,IF(M110="Elite",'밸런스 조정'!$C$76,1)),0))*0.45</x:f>
        <x:v>324.45</x:v>
      </x:c>
      <x:c r="O110" t="n">
        <x:f>ROUND(O109*(1+P110),0)</x:f>
        <x:v>3766</x:v>
      </x:c>
      <x:c r="P110" t="n">
        <x:v>0.15</x:v>
      </x:c>
      <x:c r="Q110" t="n">
        <x:f>'밸런스 조정'!$C$64</x:f>
        <x:v>0</x:v>
      </x:c>
      <x:c r="R110" t="n">
        <x:f>'밸런스 조정'!$C$90*IF(M110="Boss",5,IF(M110="Elite",2,1))</x:f>
        <x:v>300</x:v>
      </x:c>
    </x:row>
    <x:row r="111">
      <x:c r="B111" t="n">
        <x:v>109</x:v>
      </x:c>
      <x:c r="C111" t="str">
        <x:v>RestStop</x:v>
      </x:c>
      <x:c r="D111" t="str">
        <x:v>RST_E05_TireBruiser</x:v>
      </x:c>
      <x:c r="E111" t="n">
        <x:v>1</x:v>
      </x:c>
      <x:c r="F111" t="str">
        <x:v>사격</x:v>
      </x:c>
      <x:c r="G111" t="n">
        <x:v>2.2</x:v>
      </x:c>
      <x:c r="H111" t="n">
        <x:v>0</x:v>
      </x:c>
      <x:c r="I111" t="n">
        <x:v>16</x:v>
      </x:c>
      <x:c r="J111" t="n">
        <x:v>0.65</x:v>
      </x:c>
      <x:c r="K111" t="n">
        <x:v>10.2</x:v>
      </x:c>
      <x:c r="L111" t="str">
        <x:v>안전 통로가 좌우로 번갈아 바뀌는 배치</x:v>
      </x:c>
      <x:c r="M111" t="str">
        <x:v>Elite</x:v>
      </x:c>
      <x:c r="N111" t="n">
        <x:f>(ROUND('밸런스 조정'!$C$72*(1+'밸런스 조정'!$C$74)^4*IF(M111="Boss",'밸런스 조정'!$C$78,IF(M111="Elite",'밸런스 조정'!$C$76,1)),0))*0.45</x:f>
        <x:v>419.4</x:v>
      </x:c>
      <x:c r="O111" t="n">
        <x:f>ROUND('밸런스 조정'!$C$73*(1+'밸런스 조정'!$C$75)^4*IF(M111="Boss",'밸런스 조정'!$C$79,IF(M111="Elite",'밸런스 조정'!$C$77,1)),0)</x:f>
        <x:v>5208</x:v>
      </x:c>
      <x:c r="P111" t="n">
        <x:f>'밸런스 조정'!$C$75</x:f>
        <x:v>0.06</x:v>
      </x:c>
      <x:c r="Q111" t="n">
        <x:f>'밸런스 조정'!$C$64</x:f>
        <x:v>0</x:v>
      </x:c>
      <x:c r="R111" t="n">
        <x:f>'밸런스 조정'!$C$90*IF(M111="Boss",5,IF(M111="Elite",2,1))</x:f>
        <x:v>600</x:v>
      </x:c>
    </x:row>
    <x:row r="112">
      <x:c r="B112" t="n">
        <x:v>110</x:v>
      </x:c>
      <x:c r="C112" t="str">
        <x:v>RestStop</x:v>
      </x:c>
      <x:c r="D112" t="str">
        <x:v>RST_E05_TireBruiser_Right</x:v>
      </x:c>
      <x:c r="E112" t="n">
        <x:v>1</x:v>
      </x:c>
      <x:c r="F112" t="str">
        <x:v>사격</x:v>
      </x:c>
      <x:c r="G112" t="n">
        <x:v>2.2</x:v>
      </x:c>
      <x:c r="H112" t="n">
        <x:v>0</x:v>
      </x:c>
      <x:c r="I112" t="n">
        <x:v>12</x:v>
      </x:c>
      <x:c r="J112" t="n">
        <x:v>0.9</x:v>
      </x:c>
      <x:c r="K112" t="n">
        <x:v>10.2</x:v>
      </x:c>
      <x:c r="L112" t="str">
        <x:v>왼쪽 적보다 체력 15% 증가. 접근 시차를 두고 발동.</x:v>
      </x:c>
      <x:c r="M112" t="str">
        <x:v>Elite</x:v>
      </x:c>
      <x:c r="N112" t="n">
        <x:f>(ROUND('밸런스 조정'!$C$72*(1+'밸런스 조정'!$C$74)^4*IF(M112="Boss",'밸런스 조정'!$C$78,IF(M112="Elite",'밸런스 조정'!$C$76,1)),0))*0.45</x:f>
        <x:v>419.4</x:v>
      </x:c>
      <x:c r="O112" t="n">
        <x:f>ROUND(O111*(1+P112),0)</x:f>
        <x:v>5989</x:v>
      </x:c>
      <x:c r="P112" t="n">
        <x:v>0.15</x:v>
      </x:c>
      <x:c r="Q112" t="n">
        <x:f>'밸런스 조정'!$C$64</x:f>
        <x:v>0</x:v>
      </x:c>
      <x:c r="R112" t="n">
        <x:f>'밸런스 조정'!$C$90*IF(M112="Boss",5,IF(M112="Elite",2,1))</x:f>
        <x:v>600</x:v>
      </x:c>
    </x:row>
    <x:row r="113">
      <x:c r="B113" t="n">
        <x:v>111</x:v>
      </x:c>
      <x:c r="C113" t="str">
        <x:v>RestStop</x:v>
      </x:c>
      <x:c r="D113" t="str">
        <x:v>RST_E06_ParkingMarshal</x:v>
      </x:c>
      <x:c r="E113" t="n">
        <x:v>1</x:v>
      </x:c>
      <x:c r="F113" t="str">
        <x:v>왕복</x:v>
      </x:c>
      <x:c r="G113" t="n">
        <x:v>2.2</x:v>
      </x:c>
      <x:c r="H113" t="n">
        <x:v>1.2</x:v>
      </x:c>
      <x:c r="I113" t="n">
        <x:v>32</x:v>
      </x:c>
      <x:c r="J113" t="n">
        <x:v>0.65</x:v>
      </x:c>
      <x:c r="K113" t="n">
        <x:v>12</x:v>
      </x:c>
      <x:c r="L113" t="str">
        <x:v>안전 통로가 좌우로 번갈아 바뀌는 배치</x:v>
      </x:c>
      <x:c r="M113" t="str">
        <x:v>Normal</x:v>
      </x:c>
      <x:c r="N113" t="n">
        <x:f>ROUND('밸런스 조정'!$C$72*(1+'밸런스 조정'!$C$74)^5*IF(M113="Boss",'밸런스 조정'!$C$78,IF(M113="Elite",'밸런스 조정'!$C$76,1)),0)</x:f>
        <x:v>772</x:v>
      </x:c>
      <x:c r="O113" t="n">
        <x:f>ROUND('밸런스 조정'!$C$73*(1+'밸런스 조정'!$C$75)^5*IF(M113="Boss",'밸런스 조정'!$C$79,IF(M113="Elite",'밸런스 조정'!$C$77,1)),0)</x:f>
        <x:v>3680</x:v>
      </x:c>
      <x:c r="P113" t="n">
        <x:f>'밸런스 조정'!$C$75</x:f>
        <x:v>0.06</x:v>
      </x:c>
      <x:c r="Q113" t="n">
        <x:f>'밸런스 조정'!$C$64</x:f>
        <x:v>0</x:v>
      </x:c>
      <x:c r="R113" t="n">
        <x:f>'밸런스 조정'!$C$90*IF(M113="Boss",5,IF(M113="Elite",2,1))</x:f>
        <x:v>300</x:v>
      </x:c>
    </x:row>
    <x:row r="114">
      <x:c r="B114" t="n">
        <x:v>112</x:v>
      </x:c>
      <x:c r="C114" t="str">
        <x:v>RestStop</x:v>
      </x:c>
      <x:c r="D114" t="str">
        <x:v>RST_E06_ParkingMarshal_Right</x:v>
      </x:c>
      <x:c r="E114" t="n">
        <x:v>1</x:v>
      </x:c>
      <x:c r="F114" t="str">
        <x:v>왕복</x:v>
      </x:c>
      <x:c r="G114" t="n">
        <x:v>2.2</x:v>
      </x:c>
      <x:c r="H114" t="n">
        <x:v>1.2</x:v>
      </x:c>
      <x:c r="I114" t="n">
        <x:v>28</x:v>
      </x:c>
      <x:c r="J114" t="n">
        <x:v>0.65</x:v>
      </x:c>
      <x:c r="K114" t="n">
        <x:v>12</x:v>
      </x:c>
      <x:c r="L114" t="str">
        <x:v>왼쪽 적보다 체력 15% 증가. 접근 시차를 두고 발동.</x:v>
      </x:c>
      <x:c r="M114" t="str">
        <x:v>Normal</x:v>
      </x:c>
      <x:c r="N114" t="n">
        <x:f>ROUND('밸런스 조정'!$C$72*(1+'밸런스 조정'!$C$74)^5*IF(M114="Boss",'밸런스 조정'!$C$78,IF(M114="Elite",'밸런스 조정'!$C$76,1)),0)</x:f>
        <x:v>772</x:v>
      </x:c>
      <x:c r="O114" t="n">
        <x:f>ROUND(O113*(1+P114),0)</x:f>
        <x:v>4232</x:v>
      </x:c>
      <x:c r="P114" t="n">
        <x:v>0.15</x:v>
      </x:c>
      <x:c r="Q114" t="n">
        <x:f>'밸런스 조정'!$C$64</x:f>
        <x:v>0</x:v>
      </x:c>
      <x:c r="R114" t="n">
        <x:f>'밸런스 조정'!$C$90*IF(M114="Boss",5,IF(M114="Elite",2,1))</x:f>
        <x:v>300</x:v>
      </x:c>
    </x:row>
    <x:row r="115">
      <x:c r="B115" t="n">
        <x:v>113</x:v>
      </x:c>
      <x:c r="C115" t="str">
        <x:v>RestStop</x:v>
      </x:c>
      <x:c r="D115" t="str">
        <x:v>RST_E07_SnackChef</x:v>
      </x:c>
      <x:c r="E115" t="n">
        <x:v>1</x:v>
      </x:c>
      <x:c r="F115" t="str">
        <x:v>왕복</x:v>
      </x:c>
      <x:c r="G115" t="n">
        <x:v>2.2</x:v>
      </x:c>
      <x:c r="H115" t="n">
        <x:v>1.2</x:v>
      </x:c>
      <x:c r="I115" t="n">
        <x:v>32</x:v>
      </x:c>
      <x:c r="J115" t="n">
        <x:v>0.65</x:v>
      </x:c>
      <x:c r="K115" t="n">
        <x:v>12</x:v>
      </x:c>
      <x:c r="L115" t="str">
        <x:v>안전 통로가 좌우로 번갈아 바뀌는 배치</x:v>
      </x:c>
      <x:c r="M115" t="str">
        <x:v>Normal</x:v>
      </x:c>
      <x:c r="N115" t="n">
        <x:f>ROUND('밸런스 조정'!$C$72*(1+'밸런스 조정'!$C$74)^6*IF(M115="Boss",'밸런스 조정'!$C$78,IF(M115="Elite",'밸런스 조정'!$C$76,1)),0)</x:f>
        <x:v>799</x:v>
      </x:c>
      <x:c r="O115" t="n">
        <x:f>ROUND('밸런스 조정'!$C$73*(1+'밸런스 조정'!$C$75)^6*IF(M115="Boss",'밸런스 조정'!$C$79,IF(M115="Elite",'밸런스 조정'!$C$77,1)),0)</x:f>
        <x:v>3901</x:v>
      </x:c>
      <x:c r="P115" t="n">
        <x:f>'밸런스 조정'!$C$75</x:f>
        <x:v>0.06</x:v>
      </x:c>
      <x:c r="Q115" t="n">
        <x:f>'밸런스 조정'!$C$64</x:f>
        <x:v>0</x:v>
      </x:c>
      <x:c r="R115" t="n">
        <x:f>'밸런스 조정'!$C$90*IF(M115="Boss",5,IF(M115="Elite",2,1))</x:f>
        <x:v>300</x:v>
      </x:c>
    </x:row>
    <x:row r="116">
      <x:c r="B116" t="n">
        <x:v>114</x:v>
      </x:c>
      <x:c r="C116" t="str">
        <x:v>RestStop</x:v>
      </x:c>
      <x:c r="D116" t="str">
        <x:v>RST_E07_SnackChef_Right</x:v>
      </x:c>
      <x:c r="E116" t="n">
        <x:v>1</x:v>
      </x:c>
      <x:c r="F116" t="str">
        <x:v>왕복</x:v>
      </x:c>
      <x:c r="G116" t="n">
        <x:v>2.2</x:v>
      </x:c>
      <x:c r="H116" t="n">
        <x:v>1.2</x:v>
      </x:c>
      <x:c r="I116" t="n">
        <x:v>28</x:v>
      </x:c>
      <x:c r="J116" t="n">
        <x:v>0.65</x:v>
      </x:c>
      <x:c r="K116" t="n">
        <x:v>12</x:v>
      </x:c>
      <x:c r="L116" t="str">
        <x:v>왼쪽 적보다 체력 15% 증가. 접근 시차를 두고 발동.</x:v>
      </x:c>
      <x:c r="M116" t="str">
        <x:v>Normal</x:v>
      </x:c>
      <x:c r="N116" t="n">
        <x:f>ROUND('밸런스 조정'!$C$72*(1+'밸런스 조정'!$C$74)^6*IF(M116="Boss",'밸런스 조정'!$C$78,IF(M116="Elite",'밸런스 조정'!$C$76,1)),0)</x:f>
        <x:v>799</x:v>
      </x:c>
      <x:c r="O116" t="n">
        <x:f>ROUND(O115*(1+P116),0)</x:f>
        <x:v>4486</x:v>
      </x:c>
      <x:c r="P116" t="n">
        <x:v>0.15</x:v>
      </x:c>
      <x:c r="Q116" t="n">
        <x:f>'밸런스 조정'!$C$64</x:f>
        <x:v>0</x:v>
      </x:c>
      <x:c r="R116" t="n">
        <x:f>'밸런스 조정'!$C$90*IF(M116="Boss",5,IF(M116="Elite",2,1))</x:f>
        <x:v>300</x:v>
      </x:c>
    </x:row>
    <x:row r="117">
      <x:c r="B117" t="n">
        <x:v>115</x:v>
      </x:c>
      <x:c r="C117" t="str">
        <x:v>RestStop</x:v>
      </x:c>
      <x:c r="D117" t="str">
        <x:v>RST_E08_CoffeeVendor</x:v>
      </x:c>
      <x:c r="E117" t="n">
        <x:v>1</x:v>
      </x:c>
      <x:c r="F117" t="str">
        <x:v>사격</x:v>
      </x:c>
      <x:c r="G117" t="n">
        <x:v>2.2</x:v>
      </x:c>
      <x:c r="H117" t="n">
        <x:v>0</x:v>
      </x:c>
      <x:c r="I117" t="n">
        <x:v>16</x:v>
      </x:c>
      <x:c r="J117" t="n">
        <x:v>0.65</x:v>
      </x:c>
      <x:c r="K117" t="n">
        <x:v>10.2</x:v>
      </x:c>
      <x:c r="L117" t="str">
        <x:v>안전 통로가 좌우로 번갈아 바뀌는 배치</x:v>
      </x:c>
      <x:c r="M117" t="str">
        <x:v>Normal</x:v>
      </x:c>
      <x:c r="N117" t="n">
        <x:f>(ROUND('밸런스 조정'!$C$72*(1+'밸런스 조정'!$C$74)^7*IF(M117="Boss",'밸런스 조정'!$C$78,IF(M117="Elite",'밸런스 조정'!$C$76,1)),0))*0.45</x:f>
        <x:v>372.15</x:v>
      </x:c>
      <x:c r="O117" t="n">
        <x:f>ROUND('밸런스 조정'!$C$73*(1+'밸런스 조정'!$C$75)^7*IF(M117="Boss",'밸런스 조정'!$C$79,IF(M117="Elite",'밸런스 조정'!$C$77,1)),0)</x:f>
        <x:v>4135</x:v>
      </x:c>
      <x:c r="P117" t="n">
        <x:f>'밸런스 조정'!$C$75</x:f>
        <x:v>0.06</x:v>
      </x:c>
      <x:c r="Q117" t="n">
        <x:f>'밸런스 조정'!$C$64</x:f>
        <x:v>0</x:v>
      </x:c>
      <x:c r="R117" t="n">
        <x:f>'밸런스 조정'!$C$90*IF(M117="Boss",5,IF(M117="Elite",2,1))</x:f>
        <x:v>300</x:v>
      </x:c>
    </x:row>
    <x:row r="118">
      <x:c r="B118" t="n">
        <x:v>116</x:v>
      </x:c>
      <x:c r="C118" t="str">
        <x:v>RestStop</x:v>
      </x:c>
      <x:c r="D118" t="str">
        <x:v>RST_E08_CoffeeVendor_Right</x:v>
      </x:c>
      <x:c r="E118" t="n">
        <x:v>1</x:v>
      </x:c>
      <x:c r="F118" t="str">
        <x:v>사격</x:v>
      </x:c>
      <x:c r="G118" t="n">
        <x:v>2.2</x:v>
      </x:c>
      <x:c r="H118" t="n">
        <x:v>0</x:v>
      </x:c>
      <x:c r="I118" t="n">
        <x:v>12</x:v>
      </x:c>
      <x:c r="J118" t="n">
        <x:v>0.9</x:v>
      </x:c>
      <x:c r="K118" t="n">
        <x:v>10.2</x:v>
      </x:c>
      <x:c r="L118" t="str">
        <x:v>왼쪽 적보다 체력 15% 증가. 접근 시차를 두고 발동.</x:v>
      </x:c>
      <x:c r="M118" t="str">
        <x:v>Normal</x:v>
      </x:c>
      <x:c r="N118" t="n">
        <x:f>(ROUND('밸런스 조정'!$C$72*(1+'밸런스 조정'!$C$74)^7*IF(M118="Boss",'밸런스 조정'!$C$78,IF(M118="Elite",'밸런스 조정'!$C$76,1)),0))*0.45</x:f>
        <x:v>372.15</x:v>
      </x:c>
      <x:c r="O118" t="n">
        <x:f>ROUND(O117*(1+P118),0)</x:f>
        <x:v>4755</x:v>
      </x:c>
      <x:c r="P118" t="n">
        <x:v>0.15</x:v>
      </x:c>
      <x:c r="Q118" t="n">
        <x:f>'밸런스 조정'!$C$64</x:f>
        <x:v>0</x:v>
      </x:c>
      <x:c r="R118" t="n">
        <x:f>'밸런스 조정'!$C$90*IF(M118="Boss",5,IF(M118="Elite",2,1))</x:f>
        <x:v>300</x:v>
      </x:c>
    </x:row>
    <x:row r="119">
      <x:c r="B119" t="n">
        <x:v>117</x:v>
      </x:c>
      <x:c r="C119" t="str">
        <x:v>RestStop</x:v>
      </x:c>
      <x:c r="D119" t="str">
        <x:v>RST_E09_DeliveryRider</x:v>
      </x:c>
      <x:c r="E119" t="n">
        <x:v>1</x:v>
      </x:c>
      <x:c r="F119" t="str">
        <x:v>사격</x:v>
      </x:c>
      <x:c r="G119" t="n">
        <x:v>2.2</x:v>
      </x:c>
      <x:c r="H119" t="n">
        <x:v>0</x:v>
      </x:c>
      <x:c r="I119" t="n">
        <x:v>16</x:v>
      </x:c>
      <x:c r="J119" t="n">
        <x:v>0.65</x:v>
      </x:c>
      <x:c r="K119" t="n">
        <x:v>10.2</x:v>
      </x:c>
      <x:c r="L119" t="str">
        <x:v>안전 통로가 좌우로 번갈아 바뀌는 배치</x:v>
      </x:c>
      <x:c r="M119" t="str">
        <x:v>Normal</x:v>
      </x:c>
      <x:c r="N119" t="n">
        <x:f>(ROUND('밸런스 조정'!$C$72*(1+'밸런스 조정'!$C$74)^8*IF(M119="Boss",'밸런스 조정'!$C$78,IF(M119="Elite",'밸런스 조정'!$C$76,1)),0))*0.45</x:f>
        <x:v>385.2</x:v>
      </x:c>
      <x:c r="O119" t="n">
        <x:f>ROUND('밸런스 조정'!$C$73*(1+'밸런스 조정'!$C$75)^8*IF(M119="Boss",'밸런스 조정'!$C$79,IF(M119="Elite",'밸런스 조정'!$C$77,1)),0)</x:f>
        <x:v>4383</x:v>
      </x:c>
      <x:c r="P119" t="n">
        <x:f>'밸런스 조정'!$C$75</x:f>
        <x:v>0.06</x:v>
      </x:c>
      <x:c r="Q119" t="n">
        <x:f>'밸런스 조정'!$C$64</x:f>
        <x:v>0</x:v>
      </x:c>
      <x:c r="R119" t="n">
        <x:f>'밸런스 조정'!$C$90*IF(M119="Boss",5,IF(M119="Elite",2,1))</x:f>
        <x:v>300</x:v>
      </x:c>
    </x:row>
    <x:row r="120">
      <x:c r="B120" t="n">
        <x:v>118</x:v>
      </x:c>
      <x:c r="C120" t="str">
        <x:v>RestStop</x:v>
      </x:c>
      <x:c r="D120" t="str">
        <x:v>RST_E09_DeliveryRider_Right</x:v>
      </x:c>
      <x:c r="E120" t="n">
        <x:v>1</x:v>
      </x:c>
      <x:c r="F120" t="str">
        <x:v>사격</x:v>
      </x:c>
      <x:c r="G120" t="n">
        <x:v>2.2</x:v>
      </x:c>
      <x:c r="H120" t="n">
        <x:v>0</x:v>
      </x:c>
      <x:c r="I120" t="n">
        <x:v>12</x:v>
      </x:c>
      <x:c r="J120" t="n">
        <x:v>0.9</x:v>
      </x:c>
      <x:c r="K120" t="n">
        <x:v>10.2</x:v>
      </x:c>
      <x:c r="L120" t="str">
        <x:v>왼쪽 적보다 체력 15% 증가. 접근 시차를 두고 발동.</x:v>
      </x:c>
      <x:c r="M120" t="str">
        <x:v>Normal</x:v>
      </x:c>
      <x:c r="N120" t="n">
        <x:f>(ROUND('밸런스 조정'!$C$72*(1+'밸런스 조정'!$C$74)^8*IF(M120="Boss",'밸런스 조정'!$C$78,IF(M120="Elite",'밸런스 조정'!$C$76,1)),0))*0.45</x:f>
        <x:v>385.2</x:v>
      </x:c>
      <x:c r="O120" t="n">
        <x:f>ROUND(O119*(1+P120),0)</x:f>
        <x:v>5040</x:v>
      </x:c>
      <x:c r="P120" t="n">
        <x:v>0.15</x:v>
      </x:c>
      <x:c r="Q120" t="n">
        <x:f>'밸런스 조정'!$C$64</x:f>
        <x:v>0</x:v>
      </x:c>
      <x:c r="R120" t="n">
        <x:f>'밸런스 조정'!$C$90*IF(M120="Boss",5,IF(M120="Elite",2,1))</x:f>
        <x:v>300</x:v>
      </x:c>
    </x:row>
    <x:row r="121">
      <x:c r="B121" t="n">
        <x:v>119</x:v>
      </x:c>
      <x:c r="C121" t="str">
        <x:v>RestStop</x:v>
      </x:c>
      <x:c r="D121" t="str">
        <x:v>RST_E10_TireBruiser</x:v>
      </x:c>
      <x:c r="E121" t="n">
        <x:v>1</x:v>
      </x:c>
      <x:c r="F121" t="str">
        <x:v>사격</x:v>
      </x:c>
      <x:c r="G121" t="n">
        <x:v>2.2</x:v>
      </x:c>
      <x:c r="H121" t="n">
        <x:v>0</x:v>
      </x:c>
      <x:c r="I121" t="n">
        <x:v>16</x:v>
      </x:c>
      <x:c r="J121" t="n">
        <x:v>0.65</x:v>
      </x:c>
      <x:c r="K121" t="n">
        <x:v>10.2</x:v>
      </x:c>
      <x:c r="L121" t="str">
        <x:v>안전 통로가 좌우로 번갈아 바뀌는 배치</x:v>
      </x:c>
      <x:c r="M121" t="str">
        <x:v>Elite</x:v>
      </x:c>
      <x:c r="N121" t="n">
        <x:f>(ROUND('밸런스 조정'!$C$72*(1+'밸런스 조정'!$C$74)^9*IF(M121="Boss",'밸런스 조정'!$C$78,IF(M121="Elite",'밸런스 조정'!$C$76,1)),0))*0.45</x:f>
        <x:v>498.15</x:v>
      </x:c>
      <x:c r="O121" t="n">
        <x:f>ROUND('밸런스 조정'!$C$73*(1+'밸런스 조정'!$C$75)^9*IF(M121="Boss",'밸런스 조정'!$C$79,IF(M121="Elite",'밸런스 조정'!$C$77,1)),0)</x:f>
        <x:v>6969</x:v>
      </x:c>
      <x:c r="P121" t="n">
        <x:f>'밸런스 조정'!$C$75</x:f>
        <x:v>0.06</x:v>
      </x:c>
      <x:c r="Q121" t="n">
        <x:f>'밸런스 조정'!$C$64</x:f>
        <x:v>0</x:v>
      </x:c>
      <x:c r="R121" t="n">
        <x:f>'밸런스 조정'!$C$90*IF(M121="Boss",5,IF(M121="Elite",2,1))</x:f>
        <x:v>600</x:v>
      </x:c>
    </x:row>
    <x:row r="122">
      <x:c r="B122" t="n">
        <x:v>120</x:v>
      </x:c>
      <x:c r="C122" t="str">
        <x:v>RestStop</x:v>
      </x:c>
      <x:c r="D122" t="str">
        <x:v>RST_E10_TireBruiser_Right</x:v>
      </x:c>
      <x:c r="E122" t="n">
        <x:v>1</x:v>
      </x:c>
      <x:c r="F122" t="str">
        <x:v>사격</x:v>
      </x:c>
      <x:c r="G122" t="n">
        <x:v>2.2</x:v>
      </x:c>
      <x:c r="H122" t="n">
        <x:v>0</x:v>
      </x:c>
      <x:c r="I122" t="n">
        <x:v>12</x:v>
      </x:c>
      <x:c r="J122" t="n">
        <x:v>0.9</x:v>
      </x:c>
      <x:c r="K122" t="n">
        <x:v>10.2</x:v>
      </x:c>
      <x:c r="L122" t="str">
        <x:v>왼쪽 적보다 체력 15% 증가. 접근 시차를 두고 발동.</x:v>
      </x:c>
      <x:c r="M122" t="str">
        <x:v>Elite</x:v>
      </x:c>
      <x:c r="N122" t="n">
        <x:f>(ROUND('밸런스 조정'!$C$72*(1+'밸런스 조정'!$C$74)^9*IF(M122="Boss",'밸런스 조정'!$C$78,IF(M122="Elite",'밸런스 조정'!$C$76,1)),0))*0.45</x:f>
        <x:v>498.15</x:v>
      </x:c>
      <x:c r="O122" t="n">
        <x:f>ROUND(O121*(1+P122),0)</x:f>
        <x:v>8014</x:v>
      </x:c>
      <x:c r="P122" t="n">
        <x:v>0.15</x:v>
      </x:c>
      <x:c r="Q122" t="n">
        <x:f>'밸런스 조정'!$C$64</x:f>
        <x:v>0</x:v>
      </x:c>
      <x:c r="R122" t="n">
        <x:f>'밸런스 조정'!$C$90*IF(M122="Boss",5,IF(M122="Elite",2,1))</x:f>
        <x:v>600</x:v>
      </x:c>
    </x:row>
    <x:row r="123">
      <x:c r="B123" t="n">
        <x:v>121</x:v>
      </x:c>
      <x:c r="C123" t="str">
        <x:v>RestStop</x:v>
      </x:c>
      <x:c r="D123" t="str">
        <x:v>RST_E11_ParkingMarshal</x:v>
      </x:c>
      <x:c r="E123" t="n">
        <x:v>0</x:v>
      </x:c>
      <x:c r="F123" t="str">
        <x:v>왕복</x:v>
      </x:c>
      <x:c r="G123" t="n">
        <x:v>2.2</x:v>
      </x:c>
      <x:c r="H123" t="n">
        <x:v>1.2</x:v>
      </x:c>
      <x:c r="I123" t="n">
        <x:v>32</x:v>
      </x:c>
      <x:c r="J123" t="n">
        <x:v>0.65</x:v>
      </x:c>
      <x:c r="K123" t="n">
        <x:v>12</x:v>
      </x:c>
      <x:c r="L123" t="str">
        <x:v>안전 통로가 좌우로 번갈아 바뀌는 배치</x:v>
      </x:c>
      <x:c r="M123" t="str">
        <x:v>Normal</x:v>
      </x:c>
      <x:c r="N123" t="n">
        <x:f>ROUND('밸런스 조정'!$C$72*(1+'밸런스 조정'!$C$74)^10*IF(M123="Boss",'밸런스 조정'!$C$78,IF(M123="Elite",'밸런스 조정'!$C$76,1)),0)</x:f>
        <x:v>917</x:v>
      </x:c>
      <x:c r="O123" t="n">
        <x:f>ROUND('밸런스 조정'!$C$73*(1+'밸런스 조정'!$C$75)^10*IF(M123="Boss",'밸런스 조정'!$C$79,IF(M123="Elite",'밸런스 조정'!$C$77,1)),0)</x:f>
        <x:v>4925</x:v>
      </x:c>
      <x:c r="P123" t="n">
        <x:f>'밸런스 조정'!$C$75</x:f>
        <x:v>0.06</x:v>
      </x:c>
      <x:c r="Q123" t="n">
        <x:f>'밸런스 조정'!$C$64</x:f>
        <x:v>0</x:v>
      </x:c>
      <x:c r="R123" t="n">
        <x:f>'밸런스 조정'!$C$90*IF(M123="Boss",5,IF(M123="Elite",2,1))</x:f>
        <x:v>300</x:v>
      </x:c>
    </x:row>
    <x:row r="124">
      <x:c r="B124" t="n">
        <x:v>122</x:v>
      </x:c>
      <x:c r="C124" t="str">
        <x:v>RestStop</x:v>
      </x:c>
      <x:c r="D124" t="str">
        <x:v>RST_E11_ParkingMarshal_Right</x:v>
      </x:c>
      <x:c r="E124" t="n">
        <x:v>0</x:v>
      </x:c>
      <x:c r="F124" t="str">
        <x:v>왕복</x:v>
      </x:c>
      <x:c r="G124" t="n">
        <x:v>2.2</x:v>
      </x:c>
      <x:c r="H124" t="n">
        <x:v>1.2</x:v>
      </x:c>
      <x:c r="I124" t="n">
        <x:v>28</x:v>
      </x:c>
      <x:c r="J124" t="n">
        <x:v>0.65</x:v>
      </x:c>
      <x:c r="K124" t="n">
        <x:v>12</x:v>
      </x:c>
      <x:c r="L124" t="str">
        <x:v>왼쪽 적보다 체력 15% 증가. 접근 시차를 두고 발동.</x:v>
      </x:c>
      <x:c r="M124" t="str">
        <x:v>Normal</x:v>
      </x:c>
      <x:c r="N124" t="n">
        <x:f>ROUND('밸런스 조정'!$C$72*(1+'밸런스 조정'!$C$74)^10*IF(M124="Boss",'밸런스 조정'!$C$78,IF(M124="Elite",'밸런스 조정'!$C$76,1)),0)</x:f>
        <x:v>917</x:v>
      </x:c>
      <x:c r="O124" t="n">
        <x:f>ROUND(O123*(1+P124),0)</x:f>
        <x:v>5664</x:v>
      </x:c>
      <x:c r="P124" t="n">
        <x:v>0.15</x:v>
      </x:c>
      <x:c r="Q124" t="n">
        <x:f>'밸런스 조정'!$C$64</x:f>
        <x:v>0</x:v>
      </x:c>
      <x:c r="R124" t="n">
        <x:f>'밸런스 조정'!$C$90*IF(M124="Boss",5,IF(M124="Elite",2,1))</x:f>
        <x:v>300</x:v>
      </x:c>
    </x:row>
    <x:row r="125">
      <x:c r="B125" t="n">
        <x:v>123</x:v>
      </x:c>
      <x:c r="C125" t="str">
        <x:v>RestStop</x:v>
      </x:c>
      <x:c r="D125" t="str">
        <x:v>RST_E12_SnackChef</x:v>
      </x:c>
      <x:c r="E125" t="n">
        <x:v>0</x:v>
      </x:c>
      <x:c r="F125" t="str">
        <x:v>왕복</x:v>
      </x:c>
      <x:c r="G125" t="n">
        <x:v>2.2</x:v>
      </x:c>
      <x:c r="H125" t="n">
        <x:v>1.2</x:v>
      </x:c>
      <x:c r="I125" t="n">
        <x:v>32</x:v>
      </x:c>
      <x:c r="J125" t="n">
        <x:v>0.65</x:v>
      </x:c>
      <x:c r="K125" t="n">
        <x:v>12</x:v>
      </x:c>
      <x:c r="L125" t="str">
        <x:v>안전 통로가 좌우로 번갈아 바뀌는 배치</x:v>
      </x:c>
      <x:c r="M125" t="str">
        <x:v>Normal</x:v>
      </x:c>
      <x:c r="N125" t="n">
        <x:f>ROUND('밸런스 조정'!$C$72*(1+'밸런스 조정'!$C$74)^11*IF(M125="Boss",'밸런스 조정'!$C$78,IF(M125="Elite",'밸런스 조정'!$C$76,1)),0)</x:f>
        <x:v>949</x:v>
      </x:c>
      <x:c r="O125" t="n">
        <x:f>ROUND('밸런스 조정'!$C$73*(1+'밸런스 조정'!$C$75)^11*IF(M125="Boss",'밸런스 조정'!$C$79,IF(M125="Elite",'밸런스 조정'!$C$77,1)),0)</x:f>
        <x:v>5220</x:v>
      </x:c>
      <x:c r="P125" t="n">
        <x:f>'밸런스 조정'!$C$75</x:f>
        <x:v>0.06</x:v>
      </x:c>
      <x:c r="Q125" t="n">
        <x:f>'밸런스 조정'!$C$64</x:f>
        <x:v>0</x:v>
      </x:c>
      <x:c r="R125" t="n">
        <x:f>'밸런스 조정'!$C$90*IF(M125="Boss",5,IF(M125="Elite",2,1))</x:f>
        <x:v>300</x:v>
      </x:c>
    </x:row>
    <x:row r="126">
      <x:c r="B126" t="n">
        <x:v>124</x:v>
      </x:c>
      <x:c r="C126" t="str">
        <x:v>RestStop</x:v>
      </x:c>
      <x:c r="D126" t="str">
        <x:v>RST_E12_SnackChef_Right</x:v>
      </x:c>
      <x:c r="E126" t="n">
        <x:v>0</x:v>
      </x:c>
      <x:c r="F126" t="str">
        <x:v>왕복</x:v>
      </x:c>
      <x:c r="G126" t="n">
        <x:v>2.2</x:v>
      </x:c>
      <x:c r="H126" t="n">
        <x:v>1.2</x:v>
      </x:c>
      <x:c r="I126" t="n">
        <x:v>28</x:v>
      </x:c>
      <x:c r="J126" t="n">
        <x:v>0.65</x:v>
      </x:c>
      <x:c r="K126" t="n">
        <x:v>12</x:v>
      </x:c>
      <x:c r="L126" t="str">
        <x:v>왼쪽 적보다 체력 15% 증가. 접근 시차를 두고 발동.</x:v>
      </x:c>
      <x:c r="M126" t="str">
        <x:v>Normal</x:v>
      </x:c>
      <x:c r="N126" t="n">
        <x:f>ROUND('밸런스 조정'!$C$72*(1+'밸런스 조정'!$C$74)^11*IF(M126="Boss",'밸런스 조정'!$C$78,IF(M126="Elite",'밸런스 조정'!$C$76,1)),0)</x:f>
        <x:v>949</x:v>
      </x:c>
      <x:c r="O126" t="n">
        <x:f>ROUND(O125*(1+P126),0)</x:f>
        <x:v>6003</x:v>
      </x:c>
      <x:c r="P126" t="n">
        <x:v>0.15</x:v>
      </x:c>
      <x:c r="Q126" t="n">
        <x:f>'밸런스 조정'!$C$64</x:f>
        <x:v>0</x:v>
      </x:c>
      <x:c r="R126" t="n">
        <x:f>'밸런스 조정'!$C$90*IF(M126="Boss",5,IF(M126="Elite",2,1))</x:f>
        <x:v>300</x:v>
      </x:c>
    </x:row>
    <x:row r="127">
      <x:c r="B127" t="n">
        <x:v>125</x:v>
      </x:c>
      <x:c r="C127" t="str">
        <x:v>RestStop</x:v>
      </x:c>
      <x:c r="D127" t="str">
        <x:v>RST_E13_CoffeeVendor</x:v>
      </x:c>
      <x:c r="E127" t="n">
        <x:v>1</x:v>
      </x:c>
      <x:c r="F127" t="str">
        <x:v>사격</x:v>
      </x:c>
      <x:c r="G127" t="n">
        <x:v>2.2</x:v>
      </x:c>
      <x:c r="H127" t="n">
        <x:v>0</x:v>
      </x:c>
      <x:c r="I127" t="n">
        <x:v>16</x:v>
      </x:c>
      <x:c r="J127" t="n">
        <x:v>0.65</x:v>
      </x:c>
      <x:c r="K127" t="n">
        <x:v>10.2</x:v>
      </x:c>
      <x:c r="L127" t="str">
        <x:v>안전 통로가 좌우로 번갈아 바뀌는 배치</x:v>
      </x:c>
      <x:c r="M127" t="str">
        <x:v>Normal</x:v>
      </x:c>
      <x:c r="N127" t="n">
        <x:f>(ROUND('밸런스 조정'!$C$72*(1+'밸런스 조정'!$C$74)^12*IF(M127="Boss",'밸런스 조정'!$C$78,IF(M127="Elite",'밸런스 조정'!$C$76,1)),0))*0.45</x:f>
        <x:v>441.9</x:v>
      </x:c>
      <x:c r="O127" t="n">
        <x:f>ROUND('밸런스 조정'!$C$73*(1+'밸런스 조정'!$C$75)^12*IF(M127="Boss",'밸런스 조정'!$C$79,IF(M127="Elite",'밸런스 조정'!$C$77,1)),0)</x:f>
        <x:v>5534</x:v>
      </x:c>
      <x:c r="P127" t="n">
        <x:f>'밸런스 조정'!$C$75</x:f>
        <x:v>0.06</x:v>
      </x:c>
      <x:c r="Q127" t="n">
        <x:f>'밸런스 조정'!$C$64</x:f>
        <x:v>0</x:v>
      </x:c>
      <x:c r="R127" t="n">
        <x:f>'밸런스 조정'!$C$90*IF(M127="Boss",5,IF(M127="Elite",2,1))</x:f>
        <x:v>300</x:v>
      </x:c>
    </x:row>
    <x:row r="128">
      <x:c r="B128" t="n">
        <x:v>126</x:v>
      </x:c>
      <x:c r="C128" t="str">
        <x:v>RestStop</x:v>
      </x:c>
      <x:c r="D128" t="str">
        <x:v>RST_E13_CoffeeVendor_Right</x:v>
      </x:c>
      <x:c r="E128" t="n">
        <x:v>1</x:v>
      </x:c>
      <x:c r="F128" t="str">
        <x:v>사격</x:v>
      </x:c>
      <x:c r="G128" t="n">
        <x:v>2.2</x:v>
      </x:c>
      <x:c r="H128" t="n">
        <x:v>0</x:v>
      </x:c>
      <x:c r="I128" t="n">
        <x:v>12</x:v>
      </x:c>
      <x:c r="J128" t="n">
        <x:v>0.9</x:v>
      </x:c>
      <x:c r="K128" t="n">
        <x:v>10.2</x:v>
      </x:c>
      <x:c r="L128" t="str">
        <x:v>왼쪽 적보다 체력 15% 증가. 접근 시차를 두고 발동.</x:v>
      </x:c>
      <x:c r="M128" t="str">
        <x:v>Normal</x:v>
      </x:c>
      <x:c r="N128" t="n">
        <x:f>(ROUND('밸런스 조정'!$C$72*(1+'밸런스 조정'!$C$74)^12*IF(M128="Boss",'밸런스 조정'!$C$78,IF(M128="Elite",'밸런스 조정'!$C$76,1)),0))*0.45</x:f>
        <x:v>441.9</x:v>
      </x:c>
      <x:c r="O128" t="n">
        <x:f>ROUND(O127*(1+P128),0)</x:f>
        <x:v>6364</x:v>
      </x:c>
      <x:c r="P128" t="n">
        <x:v>0.15</x:v>
      </x:c>
      <x:c r="Q128" t="n">
        <x:f>'밸런스 조정'!$C$64</x:f>
        <x:v>0</x:v>
      </x:c>
      <x:c r="R128" t="n">
        <x:f>'밸런스 조정'!$C$90*IF(M128="Boss",5,IF(M128="Elite",2,1))</x:f>
        <x:v>300</x:v>
      </x:c>
    </x:row>
    <x:row r="129">
      <x:c r="B129" t="n">
        <x:v>127</x:v>
      </x:c>
      <x:c r="C129" t="str">
        <x:v>RestStop</x:v>
      </x:c>
      <x:c r="D129" t="str">
        <x:v>RST_E14_DeliveryRider</x:v>
      </x:c>
      <x:c r="E129" t="n">
        <x:v>1</x:v>
      </x:c>
      <x:c r="F129" t="str">
        <x:v>사격</x:v>
      </x:c>
      <x:c r="G129" t="n">
        <x:v>2.2</x:v>
      </x:c>
      <x:c r="H129" t="n">
        <x:v>0</x:v>
      </x:c>
      <x:c r="I129" t="n">
        <x:v>16</x:v>
      </x:c>
      <x:c r="J129" t="n">
        <x:v>0.65</x:v>
      </x:c>
      <x:c r="K129" t="n">
        <x:v>10.2</x:v>
      </x:c>
      <x:c r="L129" t="str">
        <x:v>안전 통로가 좌우로 번갈아 바뀌는 배치</x:v>
      </x:c>
      <x:c r="M129" t="str">
        <x:v>Normal</x:v>
      </x:c>
      <x:c r="N129" t="n">
        <x:f>(ROUND('밸런스 조정'!$C$72*(1+'밸런스 조정'!$C$74)^13*IF(M129="Boss",'밸런스 조정'!$C$78,IF(M129="Elite",'밸런스 조정'!$C$76,1)),0))*0.45</x:f>
        <x:v>457.65</x:v>
      </x:c>
      <x:c r="O129" t="n">
        <x:f>ROUND('밸런스 조정'!$C$73*(1+'밸런스 조정'!$C$75)^13*IF(M129="Boss",'밸런스 조정'!$C$79,IF(M129="Elite",'밸런스 조정'!$C$77,1)),0)</x:f>
        <x:v>5866</x:v>
      </x:c>
      <x:c r="P129" t="n">
        <x:f>'밸런스 조정'!$C$75</x:f>
        <x:v>0.06</x:v>
      </x:c>
      <x:c r="Q129" t="n">
        <x:f>'밸런스 조정'!$C$64</x:f>
        <x:v>0</x:v>
      </x:c>
      <x:c r="R129" t="n">
        <x:f>'밸런스 조정'!$C$90*IF(M129="Boss",5,IF(M129="Elite",2,1))</x:f>
        <x:v>300</x:v>
      </x:c>
    </x:row>
    <x:row r="130">
      <x:c r="B130" t="n">
        <x:v>128</x:v>
      </x:c>
      <x:c r="C130" t="str">
        <x:v>RestStop</x:v>
      </x:c>
      <x:c r="D130" t="str">
        <x:v>RST_E14_DeliveryRider_Right</x:v>
      </x:c>
      <x:c r="E130" t="n">
        <x:v>1</x:v>
      </x:c>
      <x:c r="F130" t="str">
        <x:v>사격</x:v>
      </x:c>
      <x:c r="G130" t="n">
        <x:v>2.2</x:v>
      </x:c>
      <x:c r="H130" t="n">
        <x:v>0</x:v>
      </x:c>
      <x:c r="I130" t="n">
        <x:v>12</x:v>
      </x:c>
      <x:c r="J130" t="n">
        <x:v>0.9</x:v>
      </x:c>
      <x:c r="K130" t="n">
        <x:v>10.2</x:v>
      </x:c>
      <x:c r="L130" t="str">
        <x:v>왼쪽 적보다 체력 15% 증가. 접근 시차를 두고 발동.</x:v>
      </x:c>
      <x:c r="M130" t="str">
        <x:v>Normal</x:v>
      </x:c>
      <x:c r="N130" t="n">
        <x:f>(ROUND('밸런스 조정'!$C$72*(1+'밸런스 조정'!$C$74)^13*IF(M130="Boss",'밸런스 조정'!$C$78,IF(M130="Elite",'밸런스 조정'!$C$76,1)),0))*0.45</x:f>
        <x:v>457.65</x:v>
      </x:c>
      <x:c r="O130" t="n">
        <x:f>ROUND(O129*(1+P130),0)</x:f>
        <x:v>6746</x:v>
      </x:c>
      <x:c r="P130" t="n">
        <x:v>0.15</x:v>
      </x:c>
      <x:c r="Q130" t="n">
        <x:f>'밸런스 조정'!$C$64</x:f>
        <x:v>0</x:v>
      </x:c>
      <x:c r="R130" t="n">
        <x:f>'밸런스 조정'!$C$90*IF(M130="Boss",5,IF(M130="Elite",2,1))</x:f>
        <x:v>300</x:v>
      </x:c>
    </x:row>
    <x:row r="131">
      <x:c r="B131" t="n">
        <x:v>129</x:v>
      </x:c>
      <x:c r="C131" t="str">
        <x:v>RestStop</x:v>
      </x:c>
      <x:c r="D131" t="str">
        <x:v>RST_E15_TireBruiser</x:v>
      </x:c>
      <x:c r="E131" t="n">
        <x:v>1</x:v>
      </x:c>
      <x:c r="F131" t="str">
        <x:v>사격</x:v>
      </x:c>
      <x:c r="G131" t="n">
        <x:v>2.2</x:v>
      </x:c>
      <x:c r="H131" t="n">
        <x:v>0</x:v>
      </x:c>
      <x:c r="I131" t="n">
        <x:v>16</x:v>
      </x:c>
      <x:c r="J131" t="n">
        <x:v>0.65</x:v>
      </x:c>
      <x:c r="K131" t="n">
        <x:v>10.2</x:v>
      </x:c>
      <x:c r="L131" t="str">
        <x:v>안전 통로가 좌우로 번갈아 바뀌는 배치</x:v>
      </x:c>
      <x:c r="M131" t="str">
        <x:v>Elite</x:v>
      </x:c>
      <x:c r="N131" t="n">
        <x:f>(ROUND('밸런스 조정'!$C$72*(1+'밸런스 조정'!$C$74)^14*IF(M131="Boss",'밸런스 조정'!$C$78,IF(M131="Elite",'밸런스 조정'!$C$76,1)),0))*0.45</x:f>
        <x:v>591.75</x:v>
      </x:c>
      <x:c r="O131" t="n">
        <x:f>ROUND('밸런스 조정'!$C$73*(1+'밸런스 조정'!$C$75)^14*IF(M131="Boss",'밸런스 조정'!$C$79,IF(M131="Elite",'밸런스 조정'!$C$77,1)),0)</x:f>
        <x:v>9326</x:v>
      </x:c>
      <x:c r="P131" t="n">
        <x:f>'밸런스 조정'!$C$75</x:f>
        <x:v>0.06</x:v>
      </x:c>
      <x:c r="Q131" t="n">
        <x:f>'밸런스 조정'!$C$64</x:f>
        <x:v>0</x:v>
      </x:c>
      <x:c r="R131" t="n">
        <x:f>'밸런스 조정'!$C$90*IF(M131="Boss",5,IF(M131="Elite",2,1))</x:f>
        <x:v>600</x:v>
      </x:c>
    </x:row>
    <x:row r="132">
      <x:c r="B132" t="n">
        <x:v>130</x:v>
      </x:c>
      <x:c r="C132" t="str">
        <x:v>RestStop</x:v>
      </x:c>
      <x:c r="D132" t="str">
        <x:v>RST_E15_TireBruiser_Right</x:v>
      </x:c>
      <x:c r="E132" t="n">
        <x:v>1</x:v>
      </x:c>
      <x:c r="F132" t="str">
        <x:v>사격</x:v>
      </x:c>
      <x:c r="G132" t="n">
        <x:v>2.2</x:v>
      </x:c>
      <x:c r="H132" t="n">
        <x:v>0</x:v>
      </x:c>
      <x:c r="I132" t="n">
        <x:v>12</x:v>
      </x:c>
      <x:c r="J132" t="n">
        <x:v>0.9</x:v>
      </x:c>
      <x:c r="K132" t="n">
        <x:v>10.2</x:v>
      </x:c>
      <x:c r="L132" t="str">
        <x:v>왼쪽 적보다 체력 15% 증가. 접근 시차를 두고 발동.</x:v>
      </x:c>
      <x:c r="M132" t="str">
        <x:v>Elite</x:v>
      </x:c>
      <x:c r="N132" t="n">
        <x:f>(ROUND('밸런스 조정'!$C$72*(1+'밸런스 조정'!$C$74)^14*IF(M132="Boss",'밸런스 조정'!$C$78,IF(M132="Elite",'밸런스 조정'!$C$76,1)),0))*0.45</x:f>
        <x:v>591.75</x:v>
      </x:c>
      <x:c r="O132" t="n">
        <x:f>ROUND(O131*(1+P132),0)</x:f>
        <x:v>10725</x:v>
      </x:c>
      <x:c r="P132" t="n">
        <x:v>0.15</x:v>
      </x:c>
      <x:c r="Q132" t="n">
        <x:f>'밸런스 조정'!$C$64</x:f>
        <x:v>0</x:v>
      </x:c>
      <x:c r="R132" t="n">
        <x:f>'밸런스 조정'!$C$90*IF(M132="Boss",5,IF(M132="Elite",2,1))</x:f>
        <x:v>600</x:v>
      </x:c>
    </x:row>
    <x:row r="133">
      <x:c r="B133" t="n">
        <x:v>131</x:v>
      </x:c>
      <x:c r="C133" t="str">
        <x:v>RestStop</x:v>
      </x:c>
      <x:c r="D133" t="str">
        <x:v>RST_E16_ParkingMarshal</x:v>
      </x:c>
      <x:c r="E133" t="n">
        <x:v>1</x:v>
      </x:c>
      <x:c r="F133" t="str">
        <x:v>왕복</x:v>
      </x:c>
      <x:c r="G133" t="n">
        <x:v>2.2</x:v>
      </x:c>
      <x:c r="H133" t="n">
        <x:v>1.2</x:v>
      </x:c>
      <x:c r="I133" t="n">
        <x:v>32</x:v>
      </x:c>
      <x:c r="J133" t="n">
        <x:v>0.65</x:v>
      </x:c>
      <x:c r="K133" t="n">
        <x:v>12</x:v>
      </x:c>
      <x:c r="L133" t="str">
        <x:v>안전 통로가 좌우로 번갈아 바뀌는 배치</x:v>
      </x:c>
      <x:c r="M133" t="str">
        <x:v>Normal</x:v>
      </x:c>
      <x:c r="N133" t="n">
        <x:f>ROUND('밸런스 조정'!$C$72*(1+'밸런스 조정'!$C$74)^15*IF(M133="Boss",'밸런스 조정'!$C$78,IF(M133="Elite",'밸런스 조정'!$C$76,1)),0)</x:f>
        <x:v>1089</x:v>
      </x:c>
      <x:c r="O133" t="n">
        <x:f>ROUND('밸런스 조정'!$C$73*(1+'밸런스 조정'!$C$75)^15*IF(M133="Boss",'밸런스 조정'!$C$79,IF(M133="Elite",'밸런스 조정'!$C$77,1)),0)</x:f>
        <x:v>6591</x:v>
      </x:c>
      <x:c r="P133" t="n">
        <x:f>'밸런스 조정'!$C$75</x:f>
        <x:v>0.06</x:v>
      </x:c>
      <x:c r="Q133" t="n">
        <x:f>'밸런스 조정'!$C$64</x:f>
        <x:v>0</x:v>
      </x:c>
      <x:c r="R133" t="n">
        <x:f>'밸런스 조정'!$C$90*IF(M133="Boss",5,IF(M133="Elite",2,1))</x:f>
        <x:v>300</x:v>
      </x:c>
    </x:row>
    <x:row r="134">
      <x:c r="B134" t="n">
        <x:v>132</x:v>
      </x:c>
      <x:c r="C134" t="str">
        <x:v>RestStop</x:v>
      </x:c>
      <x:c r="D134" t="str">
        <x:v>RST_E16_ParkingMarshal_Right</x:v>
      </x:c>
      <x:c r="E134" t="n">
        <x:v>1</x:v>
      </x:c>
      <x:c r="F134" t="str">
        <x:v>왕복</x:v>
      </x:c>
      <x:c r="G134" t="n">
        <x:v>2.2</x:v>
      </x:c>
      <x:c r="H134" t="n">
        <x:v>1.2</x:v>
      </x:c>
      <x:c r="I134" t="n">
        <x:v>28</x:v>
      </x:c>
      <x:c r="J134" t="n">
        <x:v>0.65</x:v>
      </x:c>
      <x:c r="K134" t="n">
        <x:v>12</x:v>
      </x:c>
      <x:c r="L134" t="str">
        <x:v>왼쪽 적보다 체력 15% 증가. 접근 시차를 두고 발동.</x:v>
      </x:c>
      <x:c r="M134" t="str">
        <x:v>Normal</x:v>
      </x:c>
      <x:c r="N134" t="n">
        <x:f>ROUND('밸런스 조정'!$C$72*(1+'밸런스 조정'!$C$74)^15*IF(M134="Boss",'밸런스 조정'!$C$78,IF(M134="Elite",'밸런스 조정'!$C$76,1)),0)</x:f>
        <x:v>1089</x:v>
      </x:c>
      <x:c r="O134" t="n">
        <x:f>ROUND(O133*(1+P134),0)</x:f>
        <x:v>7580</x:v>
      </x:c>
      <x:c r="P134" t="n">
        <x:v>0.15</x:v>
      </x:c>
      <x:c r="Q134" t="n">
        <x:f>'밸런스 조정'!$C$64</x:f>
        <x:v>0</x:v>
      </x:c>
      <x:c r="R134" t="n">
        <x:f>'밸런스 조정'!$C$90*IF(M134="Boss",5,IF(M134="Elite",2,1))</x:f>
        <x:v>300</x:v>
      </x:c>
    </x:row>
    <x:row r="135">
      <x:c r="B135" t="n">
        <x:v>133</x:v>
      </x:c>
      <x:c r="C135" t="str">
        <x:v>RestStop</x:v>
      </x:c>
      <x:c r="D135" t="str">
        <x:v>RST_E17_SnackChef</x:v>
      </x:c>
      <x:c r="E135" t="n">
        <x:v>1</x:v>
      </x:c>
      <x:c r="F135" t="str">
        <x:v>왕복</x:v>
      </x:c>
      <x:c r="G135" t="n">
        <x:v>2.2</x:v>
      </x:c>
      <x:c r="H135" t="n">
        <x:v>1.2</x:v>
      </x:c>
      <x:c r="I135" t="n">
        <x:v>32</x:v>
      </x:c>
      <x:c r="J135" t="n">
        <x:v>0.65</x:v>
      </x:c>
      <x:c r="K135" t="n">
        <x:v>12</x:v>
      </x:c>
      <x:c r="L135" t="str">
        <x:v>안전 통로가 좌우로 번갈아 바뀌는 배치</x:v>
      </x:c>
      <x:c r="M135" t="str">
        <x:v>Normal</x:v>
      </x:c>
      <x:c r="N135" t="n">
        <x:f>ROUND('밸런스 조정'!$C$72*(1+'밸런스 조정'!$C$74)^16*IF(M135="Boss",'밸런스 조정'!$C$78,IF(M135="Elite",'밸런스 조정'!$C$76,1)),0)</x:f>
        <x:v>1127</x:v>
      </x:c>
      <x:c r="O135" t="n">
        <x:f>ROUND('밸런스 조정'!$C$73*(1+'밸런스 조정'!$C$75)^16*IF(M135="Boss",'밸런스 조정'!$C$79,IF(M135="Elite",'밸런스 조정'!$C$77,1)),0)</x:f>
        <x:v>6986</x:v>
      </x:c>
      <x:c r="P135" t="n">
        <x:f>'밸런스 조정'!$C$75</x:f>
        <x:v>0.06</x:v>
      </x:c>
      <x:c r="Q135" t="n">
        <x:f>'밸런스 조정'!$C$64</x:f>
        <x:v>0</x:v>
      </x:c>
      <x:c r="R135" t="n">
        <x:f>'밸런스 조정'!$C$90*IF(M135="Boss",5,IF(M135="Elite",2,1))</x:f>
        <x:v>300</x:v>
      </x:c>
    </x:row>
    <x:row r="136">
      <x:c r="B136" t="n">
        <x:v>134</x:v>
      </x:c>
      <x:c r="C136" t="str">
        <x:v>RestStop</x:v>
      </x:c>
      <x:c r="D136" t="str">
        <x:v>RST_E17_SnackChef_Right</x:v>
      </x:c>
      <x:c r="E136" t="n">
        <x:v>1</x:v>
      </x:c>
      <x:c r="F136" t="str">
        <x:v>왕복</x:v>
      </x:c>
      <x:c r="G136" t="n">
        <x:v>2.2</x:v>
      </x:c>
      <x:c r="H136" t="n">
        <x:v>1.2</x:v>
      </x:c>
      <x:c r="I136" t="n">
        <x:v>28</x:v>
      </x:c>
      <x:c r="J136" t="n">
        <x:v>0.65</x:v>
      </x:c>
      <x:c r="K136" t="n">
        <x:v>12</x:v>
      </x:c>
      <x:c r="L136" t="str">
        <x:v>왼쪽 적보다 체력 15% 증가. 접근 시차를 두고 발동.</x:v>
      </x:c>
      <x:c r="M136" t="str">
        <x:v>Normal</x:v>
      </x:c>
      <x:c r="N136" t="n">
        <x:f>ROUND('밸런스 조정'!$C$72*(1+'밸런스 조정'!$C$74)^16*IF(M136="Boss",'밸런스 조정'!$C$78,IF(M136="Elite",'밸런스 조정'!$C$76,1)),0)</x:f>
        <x:v>1127</x:v>
      </x:c>
      <x:c r="O136" t="n">
        <x:f>ROUND(O135*(1+P136),0)</x:f>
        <x:v>8034</x:v>
      </x:c>
      <x:c r="P136" t="n">
        <x:v>0.15</x:v>
      </x:c>
      <x:c r="Q136" t="n">
        <x:f>'밸런스 조정'!$C$64</x:f>
        <x:v>0</x:v>
      </x:c>
      <x:c r="R136" t="n">
        <x:f>'밸런스 조정'!$C$90*IF(M136="Boss",5,IF(M136="Elite",2,1))</x:f>
        <x:v>300</x:v>
      </x:c>
    </x:row>
    <x:row r="137">
      <x:c r="B137" t="n">
        <x:v>135</x:v>
      </x:c>
      <x:c r="C137" t="str">
        <x:v>RestStop</x:v>
      </x:c>
      <x:c r="D137" t="str">
        <x:v>RST_E18_CoffeeVendor</x:v>
      </x:c>
      <x:c r="E137" t="n">
        <x:v>1</x:v>
      </x:c>
      <x:c r="F137" t="str">
        <x:v>사격</x:v>
      </x:c>
      <x:c r="G137" t="n">
        <x:v>2.2</x:v>
      </x:c>
      <x:c r="H137" t="n">
        <x:v>0</x:v>
      </x:c>
      <x:c r="I137" t="n">
        <x:v>16</x:v>
      </x:c>
      <x:c r="J137" t="n">
        <x:v>0.65</x:v>
      </x:c>
      <x:c r="K137" t="n">
        <x:v>10.2</x:v>
      </x:c>
      <x:c r="L137" t="str">
        <x:v>안전 통로가 좌우로 번갈아 바뀌는 배치</x:v>
      </x:c>
      <x:c r="M137" t="str">
        <x:v>Normal</x:v>
      </x:c>
      <x:c r="N137" t="n">
        <x:f>(ROUND('밸런스 조정'!$C$72*(1+'밸런스 조정'!$C$74)^17*IF(M137="Boss",'밸런스 조정'!$C$78,IF(M137="Elite",'밸런스 조정'!$C$76,1)),0))*0.45</x:f>
        <x:v>525.15</x:v>
      </x:c>
      <x:c r="O137" t="n">
        <x:f>ROUND('밸런스 조정'!$C$73*(1+'밸런스 조정'!$C$75)^17*IF(M137="Boss",'밸런스 조정'!$C$79,IF(M137="Elite",'밸런스 조정'!$C$77,1)),0)</x:f>
        <x:v>7405</x:v>
      </x:c>
      <x:c r="P137" t="n">
        <x:f>'밸런스 조정'!$C$75</x:f>
        <x:v>0.06</x:v>
      </x:c>
      <x:c r="Q137" t="n">
        <x:f>'밸런스 조정'!$C$64</x:f>
        <x:v>0</x:v>
      </x:c>
      <x:c r="R137" t="n">
        <x:f>'밸런스 조정'!$C$90*IF(M137="Boss",5,IF(M137="Elite",2,1))</x:f>
        <x:v>300</x:v>
      </x:c>
    </x:row>
    <x:row r="138">
      <x:c r="B138" t="n">
        <x:v>136</x:v>
      </x:c>
      <x:c r="C138" t="str">
        <x:v>RestStop</x:v>
      </x:c>
      <x:c r="D138" t="str">
        <x:v>RST_E18_CoffeeVendor_Right</x:v>
      </x:c>
      <x:c r="E138" t="n">
        <x:v>1</x:v>
      </x:c>
      <x:c r="F138" t="str">
        <x:v>사격</x:v>
      </x:c>
      <x:c r="G138" t="n">
        <x:v>2.2</x:v>
      </x:c>
      <x:c r="H138" t="n">
        <x:v>0</x:v>
      </x:c>
      <x:c r="I138" t="n">
        <x:v>12</x:v>
      </x:c>
      <x:c r="J138" t="n">
        <x:v>0.9</x:v>
      </x:c>
      <x:c r="K138" t="n">
        <x:v>10.2</x:v>
      </x:c>
      <x:c r="L138" t="str">
        <x:v>왼쪽 적보다 체력 15% 증가. 접근 시차를 두고 발동.</x:v>
      </x:c>
      <x:c r="M138" t="str">
        <x:v>Normal</x:v>
      </x:c>
      <x:c r="N138" t="n">
        <x:f>(ROUND('밸런스 조정'!$C$72*(1+'밸런스 조정'!$C$74)^17*IF(M138="Boss",'밸런스 조정'!$C$78,IF(M138="Elite",'밸런스 조정'!$C$76,1)),0))*0.45</x:f>
        <x:v>525.15</x:v>
      </x:c>
      <x:c r="O138" t="n">
        <x:f>ROUND(O137*(1+P138),0)</x:f>
        <x:v>8516</x:v>
      </x:c>
      <x:c r="P138" t="n">
        <x:v>0.15</x:v>
      </x:c>
      <x:c r="Q138" t="n">
        <x:f>'밸런스 조정'!$C$64</x:f>
        <x:v>0</x:v>
      </x:c>
      <x:c r="R138" t="n">
        <x:f>'밸런스 조정'!$C$90*IF(M138="Boss",5,IF(M138="Elite",2,1))</x:f>
        <x:v>300</x:v>
      </x:c>
    </x:row>
    <x:row r="139">
      <x:c r="B139" t="n">
        <x:v>137</x:v>
      </x:c>
      <x:c r="C139" t="str">
        <x:v>RestStop</x:v>
      </x:c>
      <x:c r="D139" t="str">
        <x:v>RST_E19_DeliveryRider</x:v>
      </x:c>
      <x:c r="E139" t="n">
        <x:v>1</x:v>
      </x:c>
      <x:c r="F139" t="str">
        <x:v>사격</x:v>
      </x:c>
      <x:c r="G139" t="n">
        <x:v>2.2</x:v>
      </x:c>
      <x:c r="H139" t="n">
        <x:v>0</x:v>
      </x:c>
      <x:c r="I139" t="n">
        <x:v>16</x:v>
      </x:c>
      <x:c r="J139" t="n">
        <x:v>0.65</x:v>
      </x:c>
      <x:c r="K139" t="n">
        <x:v>10.2</x:v>
      </x:c>
      <x:c r="L139" t="str">
        <x:v>안전 통로가 좌우로 번갈아 바뀌는 배치</x:v>
      </x:c>
      <x:c r="M139" t="str">
        <x:v>Normal</x:v>
      </x:c>
      <x:c r="N139" t="n">
        <x:f>(ROUND('밸런스 조정'!$C$72*(1+'밸런스 조정'!$C$74)^18*IF(M139="Boss",'밸런스 조정'!$C$78,IF(M139="Elite",'밸런스 조정'!$C$76,1)),0))*0.45</x:f>
        <x:v>543.15</x:v>
      </x:c>
      <x:c r="O139" t="n">
        <x:f>ROUND('밸런스 조정'!$C$73*(1+'밸런스 조정'!$C$75)^18*IF(M139="Boss",'밸런스 조정'!$C$79,IF(M139="Elite",'밸런스 조정'!$C$77,1)),0)</x:f>
        <x:v>7849</x:v>
      </x:c>
      <x:c r="P139" t="n">
        <x:f>'밸런스 조정'!$C$75</x:f>
        <x:v>0.06</x:v>
      </x:c>
      <x:c r="Q139" t="n">
        <x:f>'밸런스 조정'!$C$64</x:f>
        <x:v>0</x:v>
      </x:c>
      <x:c r="R139" t="n">
        <x:f>'밸런스 조정'!$C$90*IF(M139="Boss",5,IF(M139="Elite",2,1))</x:f>
        <x:v>300</x:v>
      </x:c>
    </x:row>
    <x:row r="140">
      <x:c r="B140" t="n">
        <x:v>138</x:v>
      </x:c>
      <x:c r="C140" t="str">
        <x:v>RestStop</x:v>
      </x:c>
      <x:c r="D140" t="str">
        <x:v>RST_E19_DeliveryRider_Right</x:v>
      </x:c>
      <x:c r="E140" t="n">
        <x:v>1</x:v>
      </x:c>
      <x:c r="F140" t="str">
        <x:v>사격</x:v>
      </x:c>
      <x:c r="G140" t="n">
        <x:v>2.2</x:v>
      </x:c>
      <x:c r="H140" t="n">
        <x:v>0</x:v>
      </x:c>
      <x:c r="I140" t="n">
        <x:v>12</x:v>
      </x:c>
      <x:c r="J140" t="n">
        <x:v>0.9</x:v>
      </x:c>
      <x:c r="K140" t="n">
        <x:v>10.2</x:v>
      </x:c>
      <x:c r="L140" t="str">
        <x:v>왼쪽 적보다 체력 15% 증가. 접근 시차를 두고 발동.</x:v>
      </x:c>
      <x:c r="M140" t="str">
        <x:v>Normal</x:v>
      </x:c>
      <x:c r="N140" t="n">
        <x:f>(ROUND('밸런스 조정'!$C$72*(1+'밸런스 조정'!$C$74)^18*IF(M140="Boss",'밸런스 조정'!$C$78,IF(M140="Elite",'밸런스 조정'!$C$76,1)),0))*0.45</x:f>
        <x:v>543.15</x:v>
      </x:c>
      <x:c r="O140" t="n">
        <x:f>ROUND(O139*(1+P140),0)</x:f>
        <x:v>9026</x:v>
      </x:c>
      <x:c r="P140" t="n">
        <x:v>0.15</x:v>
      </x:c>
      <x:c r="Q140" t="n">
        <x:f>'밸런스 조정'!$C$64</x:f>
        <x:v>0</x:v>
      </x:c>
      <x:c r="R140" t="n">
        <x:f>'밸런스 조정'!$C$90*IF(M140="Boss",5,IF(M140="Elite",2,1))</x:f>
        <x:v>300</x:v>
      </x:c>
    </x:row>
    <x:row r="141">
      <x:c r="B141" t="n">
        <x:v>139</x:v>
      </x:c>
      <x:c r="C141" t="str">
        <x:v>RestStop</x:v>
      </x:c>
      <x:c r="D141" t="str">
        <x:v>RST_E20_TireBruiser</x:v>
      </x:c>
      <x:c r="E141" t="n">
        <x:v>1</x:v>
      </x:c>
      <x:c r="F141" t="str">
        <x:v>사격</x:v>
      </x:c>
      <x:c r="G141" t="n">
        <x:v>2.2</x:v>
      </x:c>
      <x:c r="H141" t="n">
        <x:v>0</x:v>
      </x:c>
      <x:c r="I141" t="n">
        <x:v>16</x:v>
      </x:c>
      <x:c r="J141" t="n">
        <x:v>0.65</x:v>
      </x:c>
      <x:c r="K141" t="n">
        <x:v>10.2</x:v>
      </x:c>
      <x:c r="L141" t="str">
        <x:v>안전 통로가 좌우로 번갈아 바뀌는 배치</x:v>
      </x:c>
      <x:c r="M141" t="str">
        <x:v>Elite</x:v>
      </x:c>
      <x:c r="N141" t="n">
        <x:f>(ROUND('밸런스 조정'!$C$72*(1+'밸런스 조정'!$C$74)^19*IF(M141="Boss",'밸런스 조정'!$C$78,IF(M141="Elite",'밸런스 조정'!$C$76,1)),0))*0.45</x:f>
        <x:v>702.9</x:v>
      </x:c>
      <x:c r="O141" t="n">
        <x:f>ROUND('밸런스 조정'!$C$73*(1+'밸런스 조정'!$C$75)^19*IF(M141="Boss",'밸런스 조정'!$C$79,IF(M141="Elite",'밸런스 조정'!$C$77,1)),0)</x:f>
        <x:v>12481</x:v>
      </x:c>
      <x:c r="P141" t="n">
        <x:f>'밸런스 조정'!$C$75</x:f>
        <x:v>0.06</x:v>
      </x:c>
      <x:c r="Q141" t="n">
        <x:f>'밸런스 조정'!$C$64</x:f>
        <x:v>0</x:v>
      </x:c>
      <x:c r="R141" t="n">
        <x:f>'밸런스 조정'!$C$90*IF(M141="Boss",5,IF(M141="Elite",2,1))</x:f>
        <x:v>600</x:v>
      </x:c>
    </x:row>
    <x:row r="142">
      <x:c r="B142" t="n">
        <x:v>140</x:v>
      </x:c>
      <x:c r="C142" t="str">
        <x:v>RestStop</x:v>
      </x:c>
      <x:c r="D142" t="str">
        <x:v>RST_E20_TireBruiser_Right</x:v>
      </x:c>
      <x:c r="E142" t="n">
        <x:v>1</x:v>
      </x:c>
      <x:c r="F142" t="str">
        <x:v>사격</x:v>
      </x:c>
      <x:c r="G142" t="n">
        <x:v>2.2</x:v>
      </x:c>
      <x:c r="H142" t="n">
        <x:v>0</x:v>
      </x:c>
      <x:c r="I142" t="n">
        <x:v>12</x:v>
      </x:c>
      <x:c r="J142" t="n">
        <x:v>0.9</x:v>
      </x:c>
      <x:c r="K142" t="n">
        <x:v>10.2</x:v>
      </x:c>
      <x:c r="L142" t="str">
        <x:v>왼쪽 적보다 체력 15% 증가. 접근 시차를 두고 발동.</x:v>
      </x:c>
      <x:c r="M142" t="str">
        <x:v>Elite</x:v>
      </x:c>
      <x:c r="N142" t="n">
        <x:f>(ROUND('밸런스 조정'!$C$72*(1+'밸런스 조정'!$C$74)^19*IF(M142="Boss",'밸런스 조정'!$C$78,IF(M142="Elite",'밸런스 조정'!$C$76,1)),0))*0.45</x:f>
        <x:v>702.9</x:v>
      </x:c>
      <x:c r="O142" t="n">
        <x:f>ROUND(O141*(1+P142),0)</x:f>
        <x:v>14353</x:v>
      </x:c>
      <x:c r="P142" t="n">
        <x:v>0.15</x:v>
      </x:c>
      <x:c r="Q142" t="n">
        <x:f>'밸런스 조정'!$C$64</x:f>
        <x:v>0</x:v>
      </x:c>
      <x:c r="R142" t="n">
        <x:f>'밸런스 조정'!$C$90*IF(M142="Boss",5,IF(M142="Elite",2,1))</x:f>
        <x:v>600</x:v>
      </x:c>
    </x:row>
    <x:row r="143">
      <x:c r="B143" t="n">
        <x:v>141</x:v>
      </x:c>
      <x:c r="C143" t="str">
        <x:v>RestStop</x:v>
      </x:c>
      <x:c r="D143" t="str">
        <x:v>RST_E21_ParkingMarshal</x:v>
      </x:c>
      <x:c r="E143" t="n">
        <x:v>1</x:v>
      </x:c>
      <x:c r="F143" t="str">
        <x:v>왕복</x:v>
      </x:c>
      <x:c r="G143" t="n">
        <x:v>2.2</x:v>
      </x:c>
      <x:c r="H143" t="n">
        <x:v>1.2</x:v>
      </x:c>
      <x:c r="I143" t="n">
        <x:v>32</x:v>
      </x:c>
      <x:c r="J143" t="n">
        <x:v>0.65</x:v>
      </x:c>
      <x:c r="K143" t="n">
        <x:v>12</x:v>
      </x:c>
      <x:c r="L143" t="str">
        <x:v>안전 통로가 좌우로 번갈아 바뀌는 배치</x:v>
      </x:c>
      <x:c r="M143" t="str">
        <x:v>Normal</x:v>
      </x:c>
      <x:c r="N143" t="n">
        <x:f>ROUND('밸런스 조정'!$C$72*(1+'밸런스 조정'!$C$74)^20*IF(M143="Boss",'밸런스 조정'!$C$78,IF(M143="Elite",'밸런스 조정'!$C$76,1)),0)</x:f>
        <x:v>1293</x:v>
      </x:c>
      <x:c r="O143" t="n">
        <x:f>ROUND('밸런스 조정'!$C$73*(1+'밸런스 조정'!$C$75)^20*IF(M143="Boss",'밸런스 조정'!$C$79,IF(M143="Elite",'밸런스 조정'!$C$77,1)),0)</x:f>
        <x:v>8820</x:v>
      </x:c>
      <x:c r="P143" t="n">
        <x:f>'밸런스 조정'!$C$75</x:f>
        <x:v>0.06</x:v>
      </x:c>
      <x:c r="Q143" t="n">
        <x:f>'밸런스 조정'!$C$64</x:f>
        <x:v>0</x:v>
      </x:c>
      <x:c r="R143" t="n">
        <x:f>'밸런스 조정'!$C$90*IF(M143="Boss",5,IF(M143="Elite",2,1))</x:f>
        <x:v>300</x:v>
      </x:c>
    </x:row>
    <x:row r="144">
      <x:c r="B144" t="n">
        <x:v>142</x:v>
      </x:c>
      <x:c r="C144" t="str">
        <x:v>RestStop</x:v>
      </x:c>
      <x:c r="D144" t="str">
        <x:v>RST_E21_ParkingMarshal_Right</x:v>
      </x:c>
      <x:c r="E144" t="n">
        <x:v>1</x:v>
      </x:c>
      <x:c r="F144" t="str">
        <x:v>왕복</x:v>
      </x:c>
      <x:c r="G144" t="n">
        <x:v>2.2</x:v>
      </x:c>
      <x:c r="H144" t="n">
        <x:v>1.2</x:v>
      </x:c>
      <x:c r="I144" t="n">
        <x:v>28</x:v>
      </x:c>
      <x:c r="J144" t="n">
        <x:v>0.65</x:v>
      </x:c>
      <x:c r="K144" t="n">
        <x:v>12</x:v>
      </x:c>
      <x:c r="L144" t="str">
        <x:v>왼쪽 적보다 체력 15% 증가. 접근 시차를 두고 발동.</x:v>
      </x:c>
      <x:c r="M144" t="str">
        <x:v>Normal</x:v>
      </x:c>
      <x:c r="N144" t="n">
        <x:f>ROUND('밸런스 조정'!$C$72*(1+'밸런스 조정'!$C$74)^20*IF(M144="Boss",'밸런스 조정'!$C$78,IF(M144="Elite",'밸런스 조정'!$C$76,1)),0)</x:f>
        <x:v>1293</x:v>
      </x:c>
      <x:c r="O144" t="n">
        <x:f>ROUND(O143*(1+P144),0)</x:f>
        <x:v>10143</x:v>
      </x:c>
      <x:c r="P144" t="n">
        <x:v>0.15</x:v>
      </x:c>
      <x:c r="Q144" t="n">
        <x:f>'밸런스 조정'!$C$64</x:f>
        <x:v>0</x:v>
      </x:c>
      <x:c r="R144" t="n">
        <x:f>'밸런스 조정'!$C$90*IF(M144="Boss",5,IF(M144="Elite",2,1))</x:f>
        <x:v>300</x:v>
      </x:c>
    </x:row>
    <x:row r="145">
      <x:c r="B145" t="n">
        <x:v>143</x:v>
      </x:c>
      <x:c r="C145" t="str">
        <x:v>RestStop</x:v>
      </x:c>
      <x:c r="D145" t="str">
        <x:v>RST_E22_SnackChef</x:v>
      </x:c>
      <x:c r="E145" t="n">
        <x:v>1</x:v>
      </x:c>
      <x:c r="F145" t="str">
        <x:v>왕복</x:v>
      </x:c>
      <x:c r="G145" t="n">
        <x:v>2.2</x:v>
      </x:c>
      <x:c r="H145" t="n">
        <x:v>1.2</x:v>
      </x:c>
      <x:c r="I145" t="n">
        <x:v>32</x:v>
      </x:c>
      <x:c r="J145" t="n">
        <x:v>0.65</x:v>
      </x:c>
      <x:c r="K145" t="n">
        <x:v>12</x:v>
      </x:c>
      <x:c r="L145" t="str">
        <x:v>안전 통로가 좌우로 번갈아 바뀌는 배치</x:v>
      </x:c>
      <x:c r="M145" t="str">
        <x:v>Normal</x:v>
      </x:c>
      <x:c r="N145" t="n">
        <x:f>ROUND('밸런스 조정'!$C$72*(1+'밸런스 조정'!$C$74)^21*IF(M145="Boss",'밸런스 조정'!$C$78,IF(M145="Elite",'밸런스 조정'!$C$76,1)),0)</x:f>
        <x:v>1339</x:v>
      </x:c>
      <x:c r="O145" t="n">
        <x:f>ROUND('밸런스 조정'!$C$73*(1+'밸런스 조정'!$C$75)^21*IF(M145="Boss",'밸런스 조정'!$C$79,IF(M145="Elite",'밸런스 조정'!$C$77,1)),0)</x:f>
        <x:v>9349</x:v>
      </x:c>
      <x:c r="P145" t="n">
        <x:f>'밸런스 조정'!$C$75</x:f>
        <x:v>0.06</x:v>
      </x:c>
      <x:c r="Q145" t="n">
        <x:f>'밸런스 조정'!$C$64</x:f>
        <x:v>0</x:v>
      </x:c>
      <x:c r="R145" t="n">
        <x:f>'밸런스 조정'!$C$90*IF(M145="Boss",5,IF(M145="Elite",2,1))</x:f>
        <x:v>300</x:v>
      </x:c>
    </x:row>
    <x:row r="146">
      <x:c r="B146" t="n">
        <x:v>144</x:v>
      </x:c>
      <x:c r="C146" t="str">
        <x:v>RestStop</x:v>
      </x:c>
      <x:c r="D146" t="str">
        <x:v>RST_E22_SnackChef_Right</x:v>
      </x:c>
      <x:c r="E146" t="n">
        <x:v>1</x:v>
      </x:c>
      <x:c r="F146" t="str">
        <x:v>왕복</x:v>
      </x:c>
      <x:c r="G146" t="n">
        <x:v>2.2</x:v>
      </x:c>
      <x:c r="H146" t="n">
        <x:v>1.2</x:v>
      </x:c>
      <x:c r="I146" t="n">
        <x:v>28</x:v>
      </x:c>
      <x:c r="J146" t="n">
        <x:v>0.65</x:v>
      </x:c>
      <x:c r="K146" t="n">
        <x:v>12</x:v>
      </x:c>
      <x:c r="L146" t="str">
        <x:v>왼쪽 적보다 체력 15% 증가. 접근 시차를 두고 발동.</x:v>
      </x:c>
      <x:c r="M146" t="str">
        <x:v>Normal</x:v>
      </x:c>
      <x:c r="N146" t="n">
        <x:f>ROUND('밸런스 조정'!$C$72*(1+'밸런스 조정'!$C$74)^21*IF(M146="Boss",'밸런스 조정'!$C$78,IF(M146="Elite",'밸런스 조정'!$C$76,1)),0)</x:f>
        <x:v>1339</x:v>
      </x:c>
      <x:c r="O146" t="n">
        <x:f>ROUND(O145*(1+P146),0)</x:f>
        <x:v>10751</x:v>
      </x:c>
      <x:c r="P146" t="n">
        <x:v>0.15</x:v>
      </x:c>
      <x:c r="Q146" t="n">
        <x:f>'밸런스 조정'!$C$64</x:f>
        <x:v>0</x:v>
      </x:c>
      <x:c r="R146" t="n">
        <x:f>'밸런스 조정'!$C$90*IF(M146="Boss",5,IF(M146="Elite",2,1))</x:f>
        <x:v>300</x:v>
      </x:c>
    </x:row>
    <x:row r="147">
      <x:c r="B147" t="n">
        <x:v>145</x:v>
      </x:c>
      <x:c r="C147" t="str">
        <x:v>RestStop</x:v>
      </x:c>
      <x:c r="D147" t="str">
        <x:v>RST_E23_CoffeeVendor</x:v>
      </x:c>
      <x:c r="E147" t="n">
        <x:v>1</x:v>
      </x:c>
      <x:c r="F147" t="str">
        <x:v>사격</x:v>
      </x:c>
      <x:c r="G147" t="n">
        <x:v>2.2</x:v>
      </x:c>
      <x:c r="H147" t="n">
        <x:v>0</x:v>
      </x:c>
      <x:c r="I147" t="n">
        <x:v>16</x:v>
      </x:c>
      <x:c r="J147" t="n">
        <x:v>0.65</x:v>
      </x:c>
      <x:c r="K147" t="n">
        <x:v>10.2</x:v>
      </x:c>
      <x:c r="L147" t="str">
        <x:v>안전 통로가 좌우로 번갈아 바뀌는 배치</x:v>
      </x:c>
      <x:c r="M147" t="str">
        <x:v>Normal</x:v>
      </x:c>
      <x:c r="N147" t="n">
        <x:f>(ROUND('밸런스 조정'!$C$72*(1+'밸런스 조정'!$C$74)^22*IF(M147="Boss",'밸런스 조정'!$C$78,IF(M147="Elite",'밸런스 조정'!$C$76,1)),0))*0.45</x:f>
        <x:v>623.25</x:v>
      </x:c>
      <x:c r="O147" t="n">
        <x:f>ROUND('밸런스 조정'!$C$73*(1+'밸런스 조정'!$C$75)^22*IF(M147="Boss",'밸런스 조정'!$C$79,IF(M147="Elite",'밸런스 조정'!$C$77,1)),0)</x:f>
        <x:v>9910</x:v>
      </x:c>
      <x:c r="P147" t="n">
        <x:f>'밸런스 조정'!$C$75</x:f>
        <x:v>0.06</x:v>
      </x:c>
      <x:c r="Q147" t="n">
        <x:f>'밸런스 조정'!$C$64</x:f>
        <x:v>0</x:v>
      </x:c>
      <x:c r="R147" t="n">
        <x:f>'밸런스 조정'!$C$90*IF(M147="Boss",5,IF(M147="Elite",2,1))</x:f>
        <x:v>300</x:v>
      </x:c>
    </x:row>
    <x:row r="148">
      <x:c r="B148" t="n">
        <x:v>146</x:v>
      </x:c>
      <x:c r="C148" t="str">
        <x:v>RestStop</x:v>
      </x:c>
      <x:c r="D148" t="str">
        <x:v>RST_E23_CoffeeVendor_Right</x:v>
      </x:c>
      <x:c r="E148" t="n">
        <x:v>1</x:v>
      </x:c>
      <x:c r="F148" t="str">
        <x:v>사격</x:v>
      </x:c>
      <x:c r="G148" t="n">
        <x:v>2.2</x:v>
      </x:c>
      <x:c r="H148" t="n">
        <x:v>0</x:v>
      </x:c>
      <x:c r="I148" t="n">
        <x:v>12</x:v>
      </x:c>
      <x:c r="J148" t="n">
        <x:v>0.9</x:v>
      </x:c>
      <x:c r="K148" t="n">
        <x:v>10.2</x:v>
      </x:c>
      <x:c r="L148" t="str">
        <x:v>왼쪽 적보다 체력 15% 증가. 접근 시차를 두고 발동.</x:v>
      </x:c>
      <x:c r="M148" t="str">
        <x:v>Normal</x:v>
      </x:c>
      <x:c r="N148" t="n">
        <x:f>(ROUND('밸런스 조정'!$C$72*(1+'밸런스 조정'!$C$74)^22*IF(M148="Boss",'밸런스 조정'!$C$78,IF(M148="Elite",'밸런스 조정'!$C$76,1)),0))*0.45</x:f>
        <x:v>623.25</x:v>
      </x:c>
      <x:c r="O148" t="n">
        <x:f>ROUND(O147*(1+P148),0)</x:f>
        <x:v>11397</x:v>
      </x:c>
      <x:c r="P148" t="n">
        <x:v>0.15</x:v>
      </x:c>
      <x:c r="Q148" t="n">
        <x:f>'밸런스 조정'!$C$64</x:f>
        <x:v>0</x:v>
      </x:c>
      <x:c r="R148" t="n">
        <x:f>'밸런스 조정'!$C$90*IF(M148="Boss",5,IF(M148="Elite",2,1))</x:f>
        <x:v>300</x:v>
      </x:c>
    </x:row>
    <x:row r="149">
      <x:c r="B149" t="n">
        <x:v>147</x:v>
      </x:c>
      <x:c r="C149" t="str">
        <x:v>RestStop</x:v>
      </x:c>
      <x:c r="D149" t="str">
        <x:v>RST_E24_DeliveryRider</x:v>
      </x:c>
      <x:c r="E149" t="n">
        <x:v>1</x:v>
      </x:c>
      <x:c r="F149" t="str">
        <x:v>사격</x:v>
      </x:c>
      <x:c r="G149" t="n">
        <x:v>2.2</x:v>
      </x:c>
      <x:c r="H149" t="n">
        <x:v>0</x:v>
      </x:c>
      <x:c r="I149" t="n">
        <x:v>16</x:v>
      </x:c>
      <x:c r="J149" t="n">
        <x:v>0.65</x:v>
      </x:c>
      <x:c r="K149" t="n">
        <x:v>10.2</x:v>
      </x:c>
      <x:c r="L149" t="str">
        <x:v>안전 통로가 좌우로 번갈아 바뀌는 배치</x:v>
      </x:c>
      <x:c r="M149" t="str">
        <x:v>Normal</x:v>
      </x:c>
      <x:c r="N149" t="n">
        <x:f>(ROUND('밸런스 조정'!$C$72*(1+'밸런스 조정'!$C$74)^23*IF(M149="Boss",'밸런스 조정'!$C$78,IF(M149="Elite",'밸런스 조정'!$C$76,1)),0))*0.45</x:f>
        <x:v>645.3</x:v>
      </x:c>
      <x:c r="O149" t="n">
        <x:f>ROUND('밸런스 조정'!$C$73*(1+'밸런스 조정'!$C$75)^23*IF(M149="Boss",'밸런스 조정'!$C$79,IF(M149="Elite",'밸런스 조정'!$C$77,1)),0)</x:f>
        <x:v>10504</x:v>
      </x:c>
      <x:c r="P149" t="n">
        <x:f>'밸런스 조정'!$C$75</x:f>
        <x:v>0.06</x:v>
      </x:c>
      <x:c r="Q149" t="n">
        <x:f>'밸런스 조정'!$C$64</x:f>
        <x:v>0</x:v>
      </x:c>
      <x:c r="R149" t="n">
        <x:f>'밸런스 조정'!$C$90*IF(M149="Boss",5,IF(M149="Elite",2,1))</x:f>
        <x:v>300</x:v>
      </x:c>
    </x:row>
    <x:row r="150">
      <x:c r="B150" t="n">
        <x:v>148</x:v>
      </x:c>
      <x:c r="C150" t="str">
        <x:v>RestStop</x:v>
      </x:c>
      <x:c r="D150" t="str">
        <x:v>RST_E24_DeliveryRider_Right</x:v>
      </x:c>
      <x:c r="E150" t="n">
        <x:v>1</x:v>
      </x:c>
      <x:c r="F150" t="str">
        <x:v>사격</x:v>
      </x:c>
      <x:c r="G150" t="n">
        <x:v>2.2</x:v>
      </x:c>
      <x:c r="H150" t="n">
        <x:v>0</x:v>
      </x:c>
      <x:c r="I150" t="n">
        <x:v>12</x:v>
      </x:c>
      <x:c r="J150" t="n">
        <x:v>0.9</x:v>
      </x:c>
      <x:c r="K150" t="n">
        <x:v>10.2</x:v>
      </x:c>
      <x:c r="L150" t="str">
        <x:v>왼쪽 적보다 체력 15% 증가. 접근 시차를 두고 발동.</x:v>
      </x:c>
      <x:c r="M150" t="str">
        <x:v>Normal</x:v>
      </x:c>
      <x:c r="N150" t="n">
        <x:f>(ROUND('밸런스 조정'!$C$72*(1+'밸런스 조정'!$C$74)^23*IF(M150="Boss",'밸런스 조정'!$C$78,IF(M150="Elite",'밸런스 조정'!$C$76,1)),0))*0.45</x:f>
        <x:v>645.3</x:v>
      </x:c>
      <x:c r="O150" t="n">
        <x:f>ROUND(O149*(1+P150),0)</x:f>
        <x:v>12080</x:v>
      </x:c>
      <x:c r="P150" t="n">
        <x:v>0.15</x:v>
      </x:c>
      <x:c r="Q150" t="n">
        <x:f>'밸런스 조정'!$C$64</x:f>
        <x:v>0</x:v>
      </x:c>
      <x:c r="R150" t="n">
        <x:f>'밸런스 조정'!$C$90*IF(M150="Boss",5,IF(M150="Elite",2,1))</x:f>
        <x:v>300</x:v>
      </x:c>
    </x:row>
    <x:row r="151">
      <x:c r="B151" t="n">
        <x:v>149</x:v>
      </x:c>
      <x:c r="C151" t="str">
        <x:v>RestStop</x:v>
      </x:c>
      <x:c r="D151" t="str">
        <x:v>RST_E25_TireBruiser</x:v>
      </x:c>
      <x:c r="E151" t="n">
        <x:v>1</x:v>
      </x:c>
      <x:c r="F151" t="str">
        <x:v>사격</x:v>
      </x:c>
      <x:c r="G151" t="n">
        <x:v>2.2</x:v>
      </x:c>
      <x:c r="H151" t="n">
        <x:v>0</x:v>
      </x:c>
      <x:c r="I151" t="n">
        <x:v>16</x:v>
      </x:c>
      <x:c r="J151" t="n">
        <x:v>0.65</x:v>
      </x:c>
      <x:c r="K151" t="n">
        <x:v>10.2</x:v>
      </x:c>
      <x:c r="L151" t="str">
        <x:v>안전 통로가 좌우로 번갈아 바뀌는 배치</x:v>
      </x:c>
      <x:c r="M151" t="str">
        <x:v>Boss</x:v>
      </x:c>
      <x:c r="N151" t="n">
        <x:f>(ROUND('밸런스 조정'!$C$72*(1+'밸런스 조정'!$C$74)^24*IF(M151="Boss",'밸런스 조정'!$C$78,IF(M151="Elite",'밸런스 조정'!$C$76,1)),0))*0.45</x:f>
        <x:v>1201.95</x:v>
      </x:c>
      <x:c r="O151" t="n">
        <x:f>ROUND('밸런스 조정'!$C$73*(1+'밸런스 조정'!$C$75)^24*IF(M151="Boss",'밸런스 조정'!$C$79,IF(M151="Elite",'밸런스 조정'!$C$77,1)),0)</x:f>
        <x:v>28950</x:v>
      </x:c>
      <x:c r="P151" t="n">
        <x:f>'밸런스 조정'!$C$75</x:f>
        <x:v>0.06</x:v>
      </x:c>
      <x:c r="Q151" t="n">
        <x:f>'밸런스 조정'!$C$64</x:f>
        <x:v>0</x:v>
      </x:c>
      <x:c r="R151" t="n">
        <x:f>'밸런스 조정'!$C$90*IF(M151="Boss",5,IF(M151="Elite",2,1))</x:f>
        <x:v>1500</x:v>
      </x:c>
    </x:row>
    <x:row r="152">
      <x:c r="B152" t="n">
        <x:v>150</x:v>
      </x:c>
      <x:c r="C152" t="str">
        <x:v>RestStop</x:v>
      </x:c>
      <x:c r="D152" t="str">
        <x:v>RST_E25_TireBruiser_Right</x:v>
      </x:c>
      <x:c r="E152" t="n">
        <x:v>1</x:v>
      </x:c>
      <x:c r="F152" t="str">
        <x:v>사격</x:v>
      </x:c>
      <x:c r="G152" t="n">
        <x:v>2.2</x:v>
      </x:c>
      <x:c r="H152" t="n">
        <x:v>0</x:v>
      </x:c>
      <x:c r="I152" t="n">
        <x:v>12</x:v>
      </x:c>
      <x:c r="J152" t="n">
        <x:v>0.9</x:v>
      </x:c>
      <x:c r="K152" t="n">
        <x:v>10.2</x:v>
      </x:c>
      <x:c r="L152" t="str">
        <x:v>왼쪽 적보다 체력 15% 증가. 접근 시차를 두고 발동.</x:v>
      </x:c>
      <x:c r="M152" t="str">
        <x:v>Boss</x:v>
      </x:c>
      <x:c r="N152" t="n">
        <x:f>(ROUND('밸런스 조정'!$C$72*(1+'밸런스 조정'!$C$74)^24*IF(M152="Boss",'밸런스 조정'!$C$78,IF(M152="Elite",'밸런스 조정'!$C$76,1)),0))*0.45</x:f>
        <x:v>1201.95</x:v>
      </x:c>
      <x:c r="O152" t="n">
        <x:f>ROUND(O151*(1+P152),0)</x:f>
        <x:v>33293</x:v>
      </x:c>
      <x:c r="P152" t="n">
        <x:v>0.15</x:v>
      </x:c>
      <x:c r="Q152" t="n">
        <x:f>'밸런스 조정'!$C$64</x:f>
        <x:v>0</x:v>
      </x:c>
      <x:c r="R152" t="n">
        <x:f>'밸런스 조정'!$C$90*IF(M152="Boss",5,IF(M152="Elite",2,1))</x:f>
        <x:v>1500</x:v>
      </x:c>
    </x:row>
  </x:sheetData>
  <x:dataValidations count="5">
    <x:dataValidation type="list" sqref="E3:E29">
      <x:formula1>"0,1"</x:formula1>
    </x:dataValidation>
    <x:dataValidation type="list" sqref="F3:F29">
      <x:formula1>"공격 반복,공격 한 번,사격,왕복,이동 후 공격,전방 매복 사격"</x:formula1>
    </x:dataValidation>
    <x:dataValidation type="list" sqref="M3:M29">
      <x:formula1>"Normal,Elite,Boss"</x:formula1>
    </x:dataValidation>
    <x:dataValidation type="list" sqref="Q3:Q102">
      <x:formula1>"0,1"</x:formula1>
    </x:dataValidation>
    <x:dataValidation type="list" sqref="M3:M102">
      <x:formula1>"Normal,Elite,Boss"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55" hidden="0" customWidth="1"/>
  </x:cols>
  <x:sheetData>
    <x:row r="1">
      <x:c r="B1" s="18" t="str">
        <x:v>값을 저장한 뒤 다음 Play부터 적용됩니다. 사용: 1=배치 유지, 0=숨김. 맵·배치ID·기믹종류는 연결용입니다.</x:v>
      </x:c>
      <x:c r="C1" s="18"/>
      <x:c r="D1" s="18"/>
      <x:c r="E1" s="18"/>
      <x:c r="F1" s="18"/>
      <x:c r="G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등급</x:v>
      </x:c>
      <x:c r="G2" s="20" t="str">
        <x:v>설명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SR18_L_B01_T009</x:v>
      </x:c>
      <x:c r="E3" s="23" t="n">
        <x:v>1</x:v>
      </x:c>
      <x:c r="F3" s="24" t="str">
        <x:v>Normal</x:v>
      </x:c>
      <x:c r="G3" s="21" t="str">
        <x:v>효과·최소·최대 수치: 보너스 시트</x:v>
      </x:c>
    </x:row>
    <x:row r="4" ht="30" customHeight="1">
      <x:c r="B4" s="22" t="n">
        <x:v>2</x:v>
      </x:c>
      <x:c r="C4" s="18" t="str">
        <x:v>Noryangjin_MapTool_Mode_SR18</x:v>
      </x:c>
      <x:c r="D4" s="18" t="str">
        <x:v>SR18_L_B02_T021</x:v>
      </x:c>
      <x:c r="E4" s="23" t="n">
        <x:v>1</x:v>
      </x:c>
      <x:c r="F4" s="24" t="str">
        <x:v>Normal</x:v>
      </x:c>
      <x:c r="G4" s="21" t="str">
        <x:v>효과·최소·최대 수치: 보너스 시트</x:v>
      </x:c>
    </x:row>
    <x:row r="5" ht="30" customHeight="1">
      <x:c r="B5" s="22" t="n">
        <x:v>3</x:v>
      </x:c>
      <x:c r="C5" s="18" t="str">
        <x:v>Noryangjin_MapTool_Mode_SR18</x:v>
      </x:c>
      <x:c r="D5" s="18" t="str">
        <x:v>SR18_L_B03_T033</x:v>
      </x:c>
      <x:c r="E5" s="23" t="n">
        <x:v>1</x:v>
      </x:c>
      <x:c r="F5" s="24" t="str">
        <x:v>Normal</x:v>
      </x:c>
      <x:c r="G5" s="21" t="str">
        <x:v>효과·최소·최대 수치: 보너스 시트</x:v>
      </x:c>
    </x:row>
    <x:row r="6" ht="30" customHeight="1">
      <x:c r="B6" s="22" t="n">
        <x:v>4</x:v>
      </x:c>
      <x:c r="C6" s="18" t="str">
        <x:v>Noryangjin_MapTool_Mode_SR18</x:v>
      </x:c>
      <x:c r="D6" s="18" t="str">
        <x:v>SR18_L_B04_T045</x:v>
      </x:c>
      <x:c r="E6" s="23" t="n">
        <x:v>1</x:v>
      </x:c>
      <x:c r="F6" s="24" t="str">
        <x:v>Rare</x:v>
      </x:c>
      <x:c r="G6" s="21" t="str">
        <x:v>효과·최소·최대 수치: 보너스 시트</x:v>
      </x:c>
    </x:row>
    <x:row r="7" ht="30" customHeight="1">
      <x:c r="B7" s="22" t="n">
        <x:v>5</x:v>
      </x:c>
      <x:c r="C7" s="18" t="str">
        <x:v>Noryangjin_MapTool_Mode_SR18</x:v>
      </x:c>
      <x:c r="D7" s="18" t="str">
        <x:v>SR18_L_B05_T057</x:v>
      </x:c>
      <x:c r="E7" s="23" t="n">
        <x:v>1</x:v>
      </x:c>
      <x:c r="F7" s="24" t="str">
        <x:v>Normal</x:v>
      </x:c>
      <x:c r="G7" s="21" t="str">
        <x:v>효과·최소·최대 수치: 보너스 시트</x:v>
      </x:c>
    </x:row>
    <x:row r="8" ht="30" customHeight="1">
      <x:c r="B8" s="22" t="n">
        <x:v>6</x:v>
      </x:c>
      <x:c r="C8" s="18" t="str">
        <x:v>Noryangjin_MapTool_Mode_SR18</x:v>
      </x:c>
      <x:c r="D8" s="18" t="str">
        <x:v>SR18_L_B06_T069</x:v>
      </x:c>
      <x:c r="E8" s="23" t="n">
        <x:v>1</x:v>
      </x:c>
      <x:c r="F8" s="24" t="str">
        <x:v>Normal</x:v>
      </x:c>
      <x:c r="G8" s="21" t="str">
        <x:v>효과·최소·최대 수치: 보너스 시트</x:v>
      </x:c>
    </x:row>
    <x:row r="9" ht="30" customHeight="1">
      <x:c r="B9" s="22" t="n">
        <x:v>7</x:v>
      </x:c>
      <x:c r="C9" s="18" t="str">
        <x:v>Noryangjin_MapTool_Mode_SR18</x:v>
      </x:c>
      <x:c r="D9" s="18" t="str">
        <x:v>SR18_L_B07_T081</x:v>
      </x:c>
      <x:c r="E9" s="23" t="n">
        <x:v>1</x:v>
      </x:c>
      <x:c r="F9" s="24" t="str">
        <x:v>Normal</x:v>
      </x:c>
      <x:c r="G9" s="21" t="str">
        <x:v>효과·최소·최대 수치: 보너스 시트</x:v>
      </x:c>
    </x:row>
    <x:row r="10" ht="30" customHeight="1">
      <x:c r="B10" s="22" t="n">
        <x:v>8</x:v>
      </x:c>
      <x:c r="C10" s="18" t="str">
        <x:v>Noryangjin_MapTool_Mode_SR18</x:v>
      </x:c>
      <x:c r="D10" s="18" t="str">
        <x:v>SR18_L_B08_T093</x:v>
      </x:c>
      <x:c r="E10" s="23" t="n">
        <x:v>1</x:v>
      </x:c>
      <x:c r="F10" s="24" t="str">
        <x:v>Rare</x:v>
      </x:c>
      <x:c r="G10" s="21" t="str">
        <x:v>효과·최소·최대 수치: 보너스 시트</x:v>
      </x:c>
    </x:row>
    <x:row r="11" ht="30" customHeight="1">
      <x:c r="B11" s="22" t="n">
        <x:v>9</x:v>
      </x:c>
      <x:c r="C11" s="18" t="str">
        <x:v>Noryangjin_MapTool_Mode_SR18</x:v>
      </x:c>
      <x:c r="D11" s="18" t="str">
        <x:v>SR18_L_B09_T105</x:v>
      </x:c>
      <x:c r="E11" s="23" t="n">
        <x:v>1</x:v>
      </x:c>
      <x:c r="F11" s="24" t="str">
        <x:v>Normal</x:v>
      </x:c>
      <x:c r="G11" s="21" t="str">
        <x:v>효과·최소·최대 수치: 보너스 시트</x:v>
      </x:c>
    </x:row>
    <x:row r="12" ht="30" customHeight="1">
      <x:c r="B12" s="22" t="n">
        <x:v>10</x:v>
      </x:c>
      <x:c r="C12" s="18" t="str">
        <x:v>Noryangjin_MapTool_Mode_SR18</x:v>
      </x:c>
      <x:c r="D12" s="18" t="str">
        <x:v>SR18_L_B10_T117</x:v>
      </x:c>
      <x:c r="E12" s="23" t="n">
        <x:v>1</x:v>
      </x:c>
      <x:c r="F12" s="24" t="str">
        <x:v>Normal</x:v>
      </x:c>
      <x:c r="G12" s="21" t="str">
        <x:v>효과·최소·최대 수치: 보너스 시트</x:v>
      </x:c>
    </x:row>
    <x:row r="13" ht="30" customHeight="1">
      <x:c r="B13" s="22" t="n">
        <x:v>11</x:v>
      </x:c>
      <x:c r="C13" s="18" t="str">
        <x:v>Noryangjin_MapTool_Mode_SR18</x:v>
      </x:c>
      <x:c r="D13" s="18" t="str">
        <x:v>SR18_L_B11_T129</x:v>
      </x:c>
      <x:c r="E13" s="23" t="n">
        <x:v>1</x:v>
      </x:c>
      <x:c r="F13" s="24" t="str">
        <x:v>Normal</x:v>
      </x:c>
      <x:c r="G13" s="21" t="str">
        <x:v>효과·최소·최대 수치: 보너스 시트</x:v>
      </x:c>
    </x:row>
    <x:row r="14" ht="30" customHeight="1">
      <x:c r="B14" s="22" t="n">
        <x:v>12</x:v>
      </x:c>
      <x:c r="C14" s="18" t="str">
        <x:v>Noryangjin_MapTool_Mode_SR18</x:v>
      </x:c>
      <x:c r="D14" s="18" t="str">
        <x:v>SR18_L_B12_T141</x:v>
      </x:c>
      <x:c r="E14" s="23" t="n">
        <x:v>1</x:v>
      </x:c>
      <x:c r="F14" s="24" t="str">
        <x:v>Rare</x:v>
      </x:c>
      <x:c r="G14" s="21" t="str">
        <x:v>효과·최소·최대 수치: 보너스 시트</x:v>
      </x:c>
    </x:row>
    <x:row r="15" ht="30" customHeight="1">
      <x:c r="B15" s="22" t="n">
        <x:v>13</x:v>
      </x:c>
      <x:c r="C15" s="18" t="str">
        <x:v>Noryangjin_MapTool_Mode_SR18</x:v>
      </x:c>
      <x:c r="D15" s="18" t="str">
        <x:v>SR18_L_B13_T153</x:v>
      </x:c>
      <x:c r="E15" s="23" t="n">
        <x:v>1</x:v>
      </x:c>
      <x:c r="F15" s="24" t="str">
        <x:v>Normal</x:v>
      </x:c>
      <x:c r="G15" s="21" t="str">
        <x:v>효과·최소·최대 수치: 보너스 시트</x:v>
      </x:c>
    </x:row>
    <x:row r="16" ht="30" customHeight="1">
      <x:c r="B16" s="22" t="n">
        <x:v>14</x:v>
      </x:c>
      <x:c r="C16" s="18" t="str">
        <x:v>Noryangjin_MapTool_Mode_SR18</x:v>
      </x:c>
      <x:c r="D16" s="18" t="str">
        <x:v>SR18_L_B14_T161</x:v>
      </x:c>
      <x:c r="E16" s="23" t="n">
        <x:v>1</x:v>
      </x:c>
      <x:c r="F16" s="24" t="str">
        <x:v>Normal</x:v>
      </x:c>
      <x:c r="G16" s="21" t="str">
        <x:v>효과·최소·최대 수치: 보너스 시트</x:v>
      </x:c>
    </x:row>
    <x:row r="17" ht="30" customHeight="1">
      <x:c r="B17" s="22" t="n">
        <x:v>15</x:v>
      </x:c>
      <x:c r="C17" s="18" t="str">
        <x:v>Noryangjin_MapTool_Mode_SR18</x:v>
      </x:c>
      <x:c r="D17" s="18" t="str">
        <x:v>SR18_L_B15_T177</x:v>
      </x:c>
      <x:c r="E17" s="23" t="n">
        <x:v>1</x:v>
      </x:c>
      <x:c r="F17" s="24" t="str">
        <x:v>Normal</x:v>
      </x:c>
      <x:c r="G17" s="21" t="str">
        <x:v>효과·최소·최대 수치: 보너스 시트</x:v>
      </x:c>
    </x:row>
    <x:row r="18" ht="30" customHeight="1">
      <x:c r="B18" s="22" t="n">
        <x:v>16</x:v>
      </x:c>
      <x:c r="C18" s="18" t="str">
        <x:v>Noryangjin_MapTool_Mode_SR18</x:v>
      </x:c>
      <x:c r="D18" s="18" t="str">
        <x:v>SR18_L_B16_T189</x:v>
      </x:c>
      <x:c r="E18" s="23" t="n">
        <x:v>1</x:v>
      </x:c>
      <x:c r="F18" s="24" t="str">
        <x:v>Rare</x:v>
      </x:c>
      <x:c r="G18" s="21" t="str">
        <x:v>효과·최소·최대 수치: 보너스 시트</x:v>
      </x:c>
    </x:row>
    <x:row r="19" ht="30" customHeight="1">
      <x:c r="B19" s="22" t="n">
        <x:v>17</x:v>
      </x:c>
      <x:c r="C19" s="18" t="str">
        <x:v>Noryangjin_MapTool_Mode_SR18</x:v>
      </x:c>
      <x:c r="D19" s="18" t="str">
        <x:v>SR18_L_B17_T201</x:v>
      </x:c>
      <x:c r="E19" s="23" t="n">
        <x:v>1</x:v>
      </x:c>
      <x:c r="F19" s="24" t="str">
        <x:v>Normal</x:v>
      </x:c>
      <x:c r="G19" s="21" t="str">
        <x:v>효과·최소·최대 수치: 보너스 시트</x:v>
      </x:c>
    </x:row>
    <x:row r="20" ht="30" customHeight="1">
      <x:c r="B20" s="22" t="n">
        <x:v>18</x:v>
      </x:c>
      <x:c r="C20" s="18" t="str">
        <x:v>Noryangjin_MapTool_Mode_SR18</x:v>
      </x:c>
      <x:c r="D20" s="18" t="str">
        <x:v>SR18_L_B18_T213</x:v>
      </x:c>
      <x:c r="E20" s="23" t="n">
        <x:v>1</x:v>
      </x:c>
      <x:c r="F20" s="24" t="str">
        <x:v>Normal</x:v>
      </x:c>
      <x:c r="G20" s="21" t="str">
        <x:v>효과·최소·최대 수치: 보너스 시트</x:v>
      </x:c>
    </x:row>
    <x:row r="21" ht="30" customHeight="1">
      <x:c r="B21" s="22" t="n">
        <x:v>19</x:v>
      </x:c>
      <x:c r="C21" s="18" t="str">
        <x:v>Noryangjin_MapTool_Mode_SR18</x:v>
      </x:c>
      <x:c r="D21" s="18" t="str">
        <x:v>SR18_L_B19_T225</x:v>
      </x:c>
      <x:c r="E21" s="23" t="n">
        <x:v>1</x:v>
      </x:c>
      <x:c r="F21" s="24" t="str">
        <x:v>Normal</x:v>
      </x:c>
      <x:c r="G21" s="21" t="str">
        <x:v>효과·최소·최대 수치: 보너스 시트</x:v>
      </x:c>
    </x:row>
    <x:row r="22" ht="30" customHeight="1">
      <x:c r="B22" s="22" t="n">
        <x:v>20</x:v>
      </x:c>
      <x:c r="C22" s="18" t="str">
        <x:v>Noryangjin_MapTool_Mode_SR18</x:v>
      </x:c>
      <x:c r="D22" s="18" t="str">
        <x:v>SR18_L_B20_T237</x:v>
      </x:c>
      <x:c r="E22" s="23" t="n">
        <x:v>1</x:v>
      </x:c>
      <x:c r="F22" s="24" t="str">
        <x:v>Rare</x:v>
      </x:c>
      <x:c r="G22" s="21" t="str">
        <x:v>효과·최소·최대 수치: 보너스 시트</x:v>
      </x:c>
    </x:row>
    <x:row r="23" ht="30" customHeight="1">
      <x:c r="B23" s="22" t="n">
        <x:v>21</x:v>
      </x:c>
      <x:c r="C23" s="18" t="str">
        <x:v>Noryangjin_MapTool_Mode_SR18</x:v>
      </x:c>
      <x:c r="D23" s="18" t="str">
        <x:v>SR18_L_B21_T249</x:v>
      </x:c>
      <x:c r="E23" s="23" t="n">
        <x:v>1</x:v>
      </x:c>
      <x:c r="F23" s="24" t="str">
        <x:v>Normal</x:v>
      </x:c>
      <x:c r="G23" s="21" t="str">
        <x:v>효과·최소·최대 수치: 보너스 시트</x:v>
      </x:c>
    </x:row>
    <x:row r="24" ht="30" customHeight="1">
      <x:c r="B24" s="22" t="n">
        <x:v>22</x:v>
      </x:c>
      <x:c r="C24" s="18" t="str">
        <x:v>Noryangjin_MapTool_Mode_SR18</x:v>
      </x:c>
      <x:c r="D24" s="18" t="str">
        <x:v>SR18_L_B22_T261</x:v>
      </x:c>
      <x:c r="E24" s="23" t="n">
        <x:v>1</x:v>
      </x:c>
      <x:c r="F24" s="24" t="str">
        <x:v>Normal</x:v>
      </x:c>
      <x:c r="G24" s="21" t="str">
        <x:v>효과·최소·최대 수치: 보너스 시트</x:v>
      </x:c>
    </x:row>
    <x:row r="25" ht="30" customHeight="1">
      <x:c r="B25" s="22" t="n">
        <x:v>23</x:v>
      </x:c>
      <x:c r="C25" s="18" t="str">
        <x:v>Noryangjin_MapTool_Mode_SR18</x:v>
      </x:c>
      <x:c r="D25" s="18" t="str">
        <x:v>SR18_L_B23_T269</x:v>
      </x:c>
      <x:c r="E25" s="23" t="n">
        <x:v>1</x:v>
      </x:c>
      <x:c r="F25" s="24" t="str">
        <x:v>Normal</x:v>
      </x:c>
      <x:c r="G25" s="21" t="str">
        <x:v>효과·최소·최대 수치: 보너스 시트</x:v>
      </x:c>
    </x:row>
    <x:row r="26" ht="30" customHeight="1">
      <x:c r="B26" s="22" t="n">
        <x:v>24</x:v>
      </x:c>
      <x:c r="C26" s="18" t="str">
        <x:v>Noryangjin_MapTool_Mode_SR18</x:v>
      </x:c>
      <x:c r="D26" s="18" t="str">
        <x:v>SR18_L_B24_T285</x:v>
      </x:c>
      <x:c r="E26" s="23" t="n">
        <x:v>1</x:v>
      </x:c>
      <x:c r="F26" s="24" t="str">
        <x:v>Rare</x:v>
      </x:c>
      <x:c r="G26" s="21" t="str">
        <x:v>효과·최소·최대 수치: 보너스 시트</x:v>
      </x:c>
    </x:row>
    <x:row r="27" ht="30" customHeight="1">
      <x:c r="B27" s="22" t="n">
        <x:v>25</x:v>
      </x:c>
      <x:c r="C27" s="18" t="str">
        <x:v>Noryangjin_MapTool_Mode_SR18</x:v>
      </x:c>
      <x:c r="D27" s="18" t="str">
        <x:v>SR18_L_B25_T297</x:v>
      </x:c>
      <x:c r="E27" s="23" t="n">
        <x:v>1</x:v>
      </x:c>
      <x:c r="F27" s="24" t="str">
        <x:v>Unique</x:v>
      </x:c>
      <x:c r="G27" s="21" t="str">
        <x:v>효과·최소·최대 수치: 보너스 시트</x:v>
      </x:c>
    </x:row>
    <x:row r="28">
      <x:c r="B28" t="n">
        <x:v>26</x:v>
      </x:c>
      <x:c r="C28" t="str">
        <x:v>HighWay</x:v>
      </x:c>
      <x:c r="D28" t="str">
        <x:v>HWY_B01</x:v>
      </x:c>
      <x:c r="E28" t="n">
        <x:v>1</x:v>
      </x:c>
      <x:c r="F28" t="str">
        <x:v>Normal</x:v>
      </x:c>
      <x:c r="G28" t="str">
        <x:v>좌우 한 묶음에서 한 번만 선택.</x:v>
      </x:c>
    </x:row>
    <x:row r="29">
      <x:c r="B29" t="n">
        <x:v>27</x:v>
      </x:c>
      <x:c r="C29" t="str">
        <x:v>HighWay</x:v>
      </x:c>
      <x:c r="D29" t="str">
        <x:v>HWY_B02</x:v>
      </x:c>
      <x:c r="E29" t="n">
        <x:v>1</x:v>
      </x:c>
      <x:c r="F29" t="str">
        <x:v>Normal</x:v>
      </x:c>
      <x:c r="G29" t="str">
        <x:v>좌우 한 묶음에서 한 번만 선택.</x:v>
      </x:c>
    </x:row>
    <x:row r="30">
      <x:c r="B30" t="n">
        <x:v>28</x:v>
      </x:c>
      <x:c r="C30" t="str">
        <x:v>HighWay</x:v>
      </x:c>
      <x:c r="D30" t="str">
        <x:v>HWY_B03</x:v>
      </x:c>
      <x:c r="E30" t="n">
        <x:v>1</x:v>
      </x:c>
      <x:c r="F30" t="str">
        <x:v>Normal</x:v>
      </x:c>
      <x:c r="G30" t="str">
        <x:v>좌우 한 묶음에서 한 번만 선택.</x:v>
      </x:c>
    </x:row>
    <x:row r="31">
      <x:c r="B31" t="n">
        <x:v>29</x:v>
      </x:c>
      <x:c r="C31" t="str">
        <x:v>HighWay</x:v>
      </x:c>
      <x:c r="D31" t="str">
        <x:v>HWY_B04</x:v>
      </x:c>
      <x:c r="E31" t="n">
        <x:v>1</x:v>
      </x:c>
      <x:c r="F31" t="str">
        <x:v>Rare</x:v>
      </x:c>
      <x:c r="G31" t="str">
        <x:v>좌우 한 묶음에서 한 번만 선택.</x:v>
      </x:c>
    </x:row>
    <x:row r="32">
      <x:c r="B32" t="n">
        <x:v>30</x:v>
      </x:c>
      <x:c r="C32" t="str">
        <x:v>HighWay</x:v>
      </x:c>
      <x:c r="D32" t="str">
        <x:v>HWY_B05</x:v>
      </x:c>
      <x:c r="E32" t="n">
        <x:v>1</x:v>
      </x:c>
      <x:c r="F32" t="str">
        <x:v>Normal</x:v>
      </x:c>
      <x:c r="G32" t="str">
        <x:v>좌우 한 묶음에서 한 번만 선택.</x:v>
      </x:c>
    </x:row>
    <x:row r="33">
      <x:c r="B33" t="n">
        <x:v>31</x:v>
      </x:c>
      <x:c r="C33" t="str">
        <x:v>HighWay</x:v>
      </x:c>
      <x:c r="D33" t="str">
        <x:v>HWY_B06</x:v>
      </x:c>
      <x:c r="E33" t="n">
        <x:v>1</x:v>
      </x:c>
      <x:c r="F33" t="str">
        <x:v>Normal</x:v>
      </x:c>
      <x:c r="G33" t="str">
        <x:v>좌우 한 묶음에서 한 번만 선택.</x:v>
      </x:c>
    </x:row>
    <x:row r="34">
      <x:c r="B34" t="n">
        <x:v>32</x:v>
      </x:c>
      <x:c r="C34" t="str">
        <x:v>HighWay</x:v>
      </x:c>
      <x:c r="D34" t="str">
        <x:v>HWY_B07</x:v>
      </x:c>
      <x:c r="E34" t="n">
        <x:v>1</x:v>
      </x:c>
      <x:c r="F34" t="str">
        <x:v>Normal</x:v>
      </x:c>
      <x:c r="G34" t="str">
        <x:v>좌우 한 묶음에서 한 번만 선택.</x:v>
      </x:c>
    </x:row>
    <x:row r="35">
      <x:c r="B35" t="n">
        <x:v>33</x:v>
      </x:c>
      <x:c r="C35" t="str">
        <x:v>HighWay</x:v>
      </x:c>
      <x:c r="D35" t="str">
        <x:v>HWY_B08</x:v>
      </x:c>
      <x:c r="E35" t="n">
        <x:v>1</x:v>
      </x:c>
      <x:c r="F35" t="str">
        <x:v>Rare</x:v>
      </x:c>
      <x:c r="G35" t="str">
        <x:v>좌우 한 묶음에서 한 번만 선택.</x:v>
      </x:c>
    </x:row>
    <x:row r="36">
      <x:c r="B36" t="n">
        <x:v>34</x:v>
      </x:c>
      <x:c r="C36" t="str">
        <x:v>HighWay</x:v>
      </x:c>
      <x:c r="D36" t="str">
        <x:v>HWY_B09</x:v>
      </x:c>
      <x:c r="E36" t="n">
        <x:v>1</x:v>
      </x:c>
      <x:c r="F36" t="str">
        <x:v>Normal</x:v>
      </x:c>
      <x:c r="G36" t="str">
        <x:v>좌우 한 묶음에서 한 번만 선택.</x:v>
      </x:c>
    </x:row>
    <x:row r="37">
      <x:c r="B37" t="n">
        <x:v>35</x:v>
      </x:c>
      <x:c r="C37" t="str">
        <x:v>HighWay</x:v>
      </x:c>
      <x:c r="D37" t="str">
        <x:v>HWY_B10</x:v>
      </x:c>
      <x:c r="E37" t="n">
        <x:v>1</x:v>
      </x:c>
      <x:c r="F37" t="str">
        <x:v>Normal</x:v>
      </x:c>
      <x:c r="G37" t="str">
        <x:v>좌우 한 묶음에서 한 번만 선택.</x:v>
      </x:c>
    </x:row>
    <x:row r="38">
      <x:c r="B38" t="n">
        <x:v>36</x:v>
      </x:c>
      <x:c r="C38" t="str">
        <x:v>HighWay</x:v>
      </x:c>
      <x:c r="D38" t="str">
        <x:v>HWY_B11</x:v>
      </x:c>
      <x:c r="E38" t="n">
        <x:v>1</x:v>
      </x:c>
      <x:c r="F38" t="str">
        <x:v>Normal</x:v>
      </x:c>
      <x:c r="G38" t="str">
        <x:v>좌우 한 묶음에서 한 번만 선택.</x:v>
      </x:c>
    </x:row>
    <x:row r="39">
      <x:c r="B39" t="n">
        <x:v>37</x:v>
      </x:c>
      <x:c r="C39" t="str">
        <x:v>HighWay</x:v>
      </x:c>
      <x:c r="D39" t="str">
        <x:v>HWY_B12</x:v>
      </x:c>
      <x:c r="E39" t="n">
        <x:v>1</x:v>
      </x:c>
      <x:c r="F39" t="str">
        <x:v>Rare</x:v>
      </x:c>
      <x:c r="G39" t="str">
        <x:v>좌우 한 묶음에서 한 번만 선택.</x:v>
      </x:c>
    </x:row>
    <x:row r="40">
      <x:c r="B40" t="n">
        <x:v>38</x:v>
      </x:c>
      <x:c r="C40" t="str">
        <x:v>HighWay</x:v>
      </x:c>
      <x:c r="D40" t="str">
        <x:v>HWY_B13</x:v>
      </x:c>
      <x:c r="E40" t="n">
        <x:v>1</x:v>
      </x:c>
      <x:c r="F40" t="str">
        <x:v>Normal</x:v>
      </x:c>
      <x:c r="G40" t="str">
        <x:v>좌우 한 묶음에서 한 번만 선택.</x:v>
      </x:c>
    </x:row>
    <x:row r="41">
      <x:c r="B41" t="n">
        <x:v>39</x:v>
      </x:c>
      <x:c r="C41" t="str">
        <x:v>HighWay</x:v>
      </x:c>
      <x:c r="D41" t="str">
        <x:v>HWY_B14</x:v>
      </x:c>
      <x:c r="E41" t="n">
        <x:v>1</x:v>
      </x:c>
      <x:c r="F41" t="str">
        <x:v>Normal</x:v>
      </x:c>
      <x:c r="G41" t="str">
        <x:v>좌우 한 묶음에서 한 번만 선택.</x:v>
      </x:c>
    </x:row>
    <x:row r="42">
      <x:c r="B42" t="n">
        <x:v>40</x:v>
      </x:c>
      <x:c r="C42" t="str">
        <x:v>HighWay</x:v>
      </x:c>
      <x:c r="D42" t="str">
        <x:v>HWY_B15</x:v>
      </x:c>
      <x:c r="E42" t="n">
        <x:v>1</x:v>
      </x:c>
      <x:c r="F42" t="str">
        <x:v>Normal</x:v>
      </x:c>
      <x:c r="G42" t="str">
        <x:v>좌우 한 묶음에서 한 번만 선택.</x:v>
      </x:c>
    </x:row>
    <x:row r="43">
      <x:c r="B43" t="n">
        <x:v>41</x:v>
      </x:c>
      <x:c r="C43" t="str">
        <x:v>HighWay</x:v>
      </x:c>
      <x:c r="D43" t="str">
        <x:v>HWY_B16</x:v>
      </x:c>
      <x:c r="E43" t="n">
        <x:v>1</x:v>
      </x:c>
      <x:c r="F43" t="str">
        <x:v>Rare</x:v>
      </x:c>
      <x:c r="G43" t="str">
        <x:v>좌우 한 묶음에서 한 번만 선택.</x:v>
      </x:c>
    </x:row>
    <x:row r="44">
      <x:c r="B44" t="n">
        <x:v>42</x:v>
      </x:c>
      <x:c r="C44" t="str">
        <x:v>HighWay</x:v>
      </x:c>
      <x:c r="D44" t="str">
        <x:v>HWY_B17</x:v>
      </x:c>
      <x:c r="E44" t="n">
        <x:v>1</x:v>
      </x:c>
      <x:c r="F44" t="str">
        <x:v>Normal</x:v>
      </x:c>
      <x:c r="G44" t="str">
        <x:v>좌우 한 묶음에서 한 번만 선택.</x:v>
      </x:c>
    </x:row>
    <x:row r="45">
      <x:c r="B45" t="n">
        <x:v>43</x:v>
      </x:c>
      <x:c r="C45" t="str">
        <x:v>HighWay</x:v>
      </x:c>
      <x:c r="D45" t="str">
        <x:v>HWY_B18</x:v>
      </x:c>
      <x:c r="E45" t="n">
        <x:v>1</x:v>
      </x:c>
      <x:c r="F45" t="str">
        <x:v>Normal</x:v>
      </x:c>
      <x:c r="G45" t="str">
        <x:v>좌우 한 묶음에서 한 번만 선택.</x:v>
      </x:c>
    </x:row>
    <x:row r="46">
      <x:c r="B46" t="n">
        <x:v>44</x:v>
      </x:c>
      <x:c r="C46" t="str">
        <x:v>HighWay</x:v>
      </x:c>
      <x:c r="D46" t="str">
        <x:v>HWY_B19</x:v>
      </x:c>
      <x:c r="E46" t="n">
        <x:v>1</x:v>
      </x:c>
      <x:c r="F46" t="str">
        <x:v>Normal</x:v>
      </x:c>
      <x:c r="G46" t="str">
        <x:v>좌우 한 묶음에서 한 번만 선택.</x:v>
      </x:c>
    </x:row>
    <x:row r="47">
      <x:c r="B47" t="n">
        <x:v>45</x:v>
      </x:c>
      <x:c r="C47" t="str">
        <x:v>HighWay</x:v>
      </x:c>
      <x:c r="D47" t="str">
        <x:v>HWY_B20</x:v>
      </x:c>
      <x:c r="E47" t="n">
        <x:v>1</x:v>
      </x:c>
      <x:c r="F47" t="str">
        <x:v>Rare</x:v>
      </x:c>
      <x:c r="G47" t="str">
        <x:v>좌우 한 묶음에서 한 번만 선택.</x:v>
      </x:c>
    </x:row>
    <x:row r="48">
      <x:c r="B48" t="n">
        <x:v>46</x:v>
      </x:c>
      <x:c r="C48" t="str">
        <x:v>HighWay</x:v>
      </x:c>
      <x:c r="D48" t="str">
        <x:v>HWY_B21</x:v>
      </x:c>
      <x:c r="E48" t="n">
        <x:v>1</x:v>
      </x:c>
      <x:c r="F48" t="str">
        <x:v>Normal</x:v>
      </x:c>
      <x:c r="G48" t="str">
        <x:v>좌우 한 묶음에서 한 번만 선택.</x:v>
      </x:c>
    </x:row>
    <x:row r="49">
      <x:c r="B49" t="n">
        <x:v>47</x:v>
      </x:c>
      <x:c r="C49" t="str">
        <x:v>HighWay</x:v>
      </x:c>
      <x:c r="D49" t="str">
        <x:v>HWY_B22</x:v>
      </x:c>
      <x:c r="E49" t="n">
        <x:v>1</x:v>
      </x:c>
      <x:c r="F49" t="str">
        <x:v>Normal</x:v>
      </x:c>
      <x:c r="G49" t="str">
        <x:v>좌우 한 묶음에서 한 번만 선택.</x:v>
      </x:c>
    </x:row>
    <x:row r="50">
      <x:c r="B50" t="n">
        <x:v>48</x:v>
      </x:c>
      <x:c r="C50" t="str">
        <x:v>HighWay</x:v>
      </x:c>
      <x:c r="D50" t="str">
        <x:v>HWY_B23</x:v>
      </x:c>
      <x:c r="E50" t="n">
        <x:v>1</x:v>
      </x:c>
      <x:c r="F50" t="str">
        <x:v>Normal</x:v>
      </x:c>
      <x:c r="G50" t="str">
        <x:v>좌우 한 묶음에서 한 번만 선택.</x:v>
      </x:c>
    </x:row>
    <x:row r="51">
      <x:c r="B51" t="n">
        <x:v>49</x:v>
      </x:c>
      <x:c r="C51" t="str">
        <x:v>HighWay</x:v>
      </x:c>
      <x:c r="D51" t="str">
        <x:v>HWY_B24</x:v>
      </x:c>
      <x:c r="E51" t="n">
        <x:v>1</x:v>
      </x:c>
      <x:c r="F51" t="str">
        <x:v>Rare</x:v>
      </x:c>
      <x:c r="G51" t="str">
        <x:v>좌우 한 묶음에서 한 번만 선택.</x:v>
      </x:c>
    </x:row>
    <x:row r="52">
      <x:c r="B52" t="n">
        <x:v>50</x:v>
      </x:c>
      <x:c r="C52" t="str">
        <x:v>HighWay</x:v>
      </x:c>
      <x:c r="D52" t="str">
        <x:v>HWY_B25</x:v>
      </x:c>
      <x:c r="E52" t="n">
        <x:v>1</x:v>
      </x:c>
      <x:c r="F52" t="str">
        <x:v>Unique</x:v>
      </x:c>
      <x:c r="G52" t="str">
        <x:v>좌우 한 묶음에서 한 번만 선택.</x:v>
      </x:c>
    </x:row>
    <x:row r="53">
      <x:c r="B53" t="n">
        <x:v>51</x:v>
      </x:c>
      <x:c r="C53" t="str">
        <x:v>RestStop</x:v>
      </x:c>
      <x:c r="D53" t="str">
        <x:v>RST_B01</x:v>
      </x:c>
      <x:c r="E53" t="n">
        <x:v>1</x:v>
      </x:c>
      <x:c r="F53" t="str">
        <x:v>Normal</x:v>
      </x:c>
      <x:c r="G53" t="str">
        <x:v>좌우 중 하나 선택</x:v>
      </x:c>
    </x:row>
    <x:row r="54">
      <x:c r="B54" t="n">
        <x:v>52</x:v>
      </x:c>
      <x:c r="C54" t="str">
        <x:v>RestStop</x:v>
      </x:c>
      <x:c r="D54" t="str">
        <x:v>RST_B02</x:v>
      </x:c>
      <x:c r="E54" t="n">
        <x:v>1</x:v>
      </x:c>
      <x:c r="F54" t="str">
        <x:v>Normal</x:v>
      </x:c>
      <x:c r="G54" t="str">
        <x:v>좌우 중 하나 선택</x:v>
      </x:c>
    </x:row>
    <x:row r="55">
      <x:c r="B55" t="n">
        <x:v>53</x:v>
      </x:c>
      <x:c r="C55" t="str">
        <x:v>RestStop</x:v>
      </x:c>
      <x:c r="D55" t="str">
        <x:v>RST_B03</x:v>
      </x:c>
      <x:c r="E55" t="n">
        <x:v>1</x:v>
      </x:c>
      <x:c r="F55" t="str">
        <x:v>Normal</x:v>
      </x:c>
      <x:c r="G55" t="str">
        <x:v>좌우 중 하나 선택</x:v>
      </x:c>
    </x:row>
    <x:row r="56">
      <x:c r="B56" t="n">
        <x:v>54</x:v>
      </x:c>
      <x:c r="C56" t="str">
        <x:v>RestStop</x:v>
      </x:c>
      <x:c r="D56" t="str">
        <x:v>RST_B04</x:v>
      </x:c>
      <x:c r="E56" t="n">
        <x:v>1</x:v>
      </x:c>
      <x:c r="F56" t="str">
        <x:v>Normal</x:v>
      </x:c>
      <x:c r="G56" t="str">
        <x:v>좌우 중 하나 선택</x:v>
      </x:c>
    </x:row>
    <x:row r="57">
      <x:c r="B57" t="n">
        <x:v>55</x:v>
      </x:c>
      <x:c r="C57" t="str">
        <x:v>RestStop</x:v>
      </x:c>
      <x:c r="D57" t="str">
        <x:v>RST_B05</x:v>
      </x:c>
      <x:c r="E57" t="n">
        <x:v>1</x:v>
      </x:c>
      <x:c r="F57" t="str">
        <x:v>Rare</x:v>
      </x:c>
      <x:c r="G57" t="str">
        <x:v>좌우 중 하나 선택</x:v>
      </x:c>
    </x:row>
    <x:row r="58">
      <x:c r="B58" t="n">
        <x:v>56</x:v>
      </x:c>
      <x:c r="C58" t="str">
        <x:v>RestStop</x:v>
      </x:c>
      <x:c r="D58" t="str">
        <x:v>RST_B06</x:v>
      </x:c>
      <x:c r="E58" t="n">
        <x:v>1</x:v>
      </x:c>
      <x:c r="F58" t="str">
        <x:v>Normal</x:v>
      </x:c>
      <x:c r="G58" t="str">
        <x:v>좌우 중 하나 선택</x:v>
      </x:c>
    </x:row>
    <x:row r="59">
      <x:c r="B59" t="n">
        <x:v>57</x:v>
      </x:c>
      <x:c r="C59" t="str">
        <x:v>RestStop</x:v>
      </x:c>
      <x:c r="D59" t="str">
        <x:v>RST_B07</x:v>
      </x:c>
      <x:c r="E59" t="n">
        <x:v>1</x:v>
      </x:c>
      <x:c r="F59" t="str">
        <x:v>Normal</x:v>
      </x:c>
      <x:c r="G59" t="str">
        <x:v>좌우 중 하나 선택</x:v>
      </x:c>
    </x:row>
    <x:row r="60">
      <x:c r="B60" t="n">
        <x:v>58</x:v>
      </x:c>
      <x:c r="C60" t="str">
        <x:v>RestStop</x:v>
      </x:c>
      <x:c r="D60" t="str">
        <x:v>RST_B08</x:v>
      </x:c>
      <x:c r="E60" t="n">
        <x:v>1</x:v>
      </x:c>
      <x:c r="F60" t="str">
        <x:v>Normal</x:v>
      </x:c>
      <x:c r="G60" t="str">
        <x:v>좌우 중 하나 선택</x:v>
      </x:c>
    </x:row>
    <x:row r="61">
      <x:c r="B61" t="n">
        <x:v>59</x:v>
      </x:c>
      <x:c r="C61" t="str">
        <x:v>RestStop</x:v>
      </x:c>
      <x:c r="D61" t="str">
        <x:v>RST_B09</x:v>
      </x:c>
      <x:c r="E61" t="n">
        <x:v>1</x:v>
      </x:c>
      <x:c r="F61" t="str">
        <x:v>Normal</x:v>
      </x:c>
      <x:c r="G61" t="str">
        <x:v>좌우 중 하나 선택</x:v>
      </x:c>
    </x:row>
    <x:row r="62">
      <x:c r="B62" t="n">
        <x:v>60</x:v>
      </x:c>
      <x:c r="C62" t="str">
        <x:v>RestStop</x:v>
      </x:c>
      <x:c r="D62" t="str">
        <x:v>RST_B10</x:v>
      </x:c>
      <x:c r="E62" t="n">
        <x:v>1</x:v>
      </x:c>
      <x:c r="F62" t="str">
        <x:v>Rare</x:v>
      </x:c>
      <x:c r="G62" t="str">
        <x:v>좌우 중 하나 선택</x:v>
      </x:c>
    </x:row>
    <x:row r="63">
      <x:c r="B63" t="n">
        <x:v>61</x:v>
      </x:c>
      <x:c r="C63" t="str">
        <x:v>RestStop</x:v>
      </x:c>
      <x:c r="D63" t="str">
        <x:v>RST_B11</x:v>
      </x:c>
      <x:c r="E63" t="n">
        <x:v>0</x:v>
      </x:c>
      <x:c r="F63" t="str">
        <x:v>Normal</x:v>
      </x:c>
      <x:c r="G63" t="str">
        <x:v>좌우 중 하나 선택</x:v>
      </x:c>
    </x:row>
    <x:row r="64">
      <x:c r="B64" t="n">
        <x:v>62</x:v>
      </x:c>
      <x:c r="C64" t="str">
        <x:v>RestStop</x:v>
      </x:c>
      <x:c r="D64" t="str">
        <x:v>RST_B12</x:v>
      </x:c>
      <x:c r="E64" t="n">
        <x:v>0</x:v>
      </x:c>
      <x:c r="F64" t="str">
        <x:v>Normal</x:v>
      </x:c>
      <x:c r="G64" t="str">
        <x:v>좌우 중 하나 선택</x:v>
      </x:c>
    </x:row>
    <x:row r="65">
      <x:c r="B65" t="n">
        <x:v>63</x:v>
      </x:c>
      <x:c r="C65" t="str">
        <x:v>RestStop</x:v>
      </x:c>
      <x:c r="D65" t="str">
        <x:v>RST_B13</x:v>
      </x:c>
      <x:c r="E65" t="n">
        <x:v>1</x:v>
      </x:c>
      <x:c r="F65" t="str">
        <x:v>Normal</x:v>
      </x:c>
      <x:c r="G65" t="str">
        <x:v>좌우 중 하나 선택</x:v>
      </x:c>
    </x:row>
    <x:row r="66">
      <x:c r="B66" t="n">
        <x:v>64</x:v>
      </x:c>
      <x:c r="C66" t="str">
        <x:v>RestStop</x:v>
      </x:c>
      <x:c r="D66" t="str">
        <x:v>RST_B14</x:v>
      </x:c>
      <x:c r="E66" t="n">
        <x:v>1</x:v>
      </x:c>
      <x:c r="F66" t="str">
        <x:v>Normal</x:v>
      </x:c>
      <x:c r="G66" t="str">
        <x:v>좌우 중 하나 선택</x:v>
      </x:c>
    </x:row>
    <x:row r="67">
      <x:c r="B67" t="n">
        <x:v>65</x:v>
      </x:c>
      <x:c r="C67" t="str">
        <x:v>RestStop</x:v>
      </x:c>
      <x:c r="D67" t="str">
        <x:v>RST_B15</x:v>
      </x:c>
      <x:c r="E67" t="n">
        <x:v>1</x:v>
      </x:c>
      <x:c r="F67" t="str">
        <x:v>Rare</x:v>
      </x:c>
      <x:c r="G67" t="str">
        <x:v>좌우 중 하나 선택</x:v>
      </x:c>
    </x:row>
    <x:row r="68">
      <x:c r="B68" t="n">
        <x:v>66</x:v>
      </x:c>
      <x:c r="C68" t="str">
        <x:v>RestStop</x:v>
      </x:c>
      <x:c r="D68" t="str">
        <x:v>RST_B16</x:v>
      </x:c>
      <x:c r="E68" t="n">
        <x:v>1</x:v>
      </x:c>
      <x:c r="F68" t="str">
        <x:v>Normal</x:v>
      </x:c>
      <x:c r="G68" t="str">
        <x:v>좌우 중 하나 선택</x:v>
      </x:c>
    </x:row>
    <x:row r="69">
      <x:c r="B69" t="n">
        <x:v>67</x:v>
      </x:c>
      <x:c r="C69" t="str">
        <x:v>RestStop</x:v>
      </x:c>
      <x:c r="D69" t="str">
        <x:v>RST_B17</x:v>
      </x:c>
      <x:c r="E69" t="n">
        <x:v>1</x:v>
      </x:c>
      <x:c r="F69" t="str">
        <x:v>Normal</x:v>
      </x:c>
      <x:c r="G69" t="str">
        <x:v>좌우 중 하나 선택</x:v>
      </x:c>
    </x:row>
    <x:row r="70">
      <x:c r="B70" t="n">
        <x:v>68</x:v>
      </x:c>
      <x:c r="C70" t="str">
        <x:v>RestStop</x:v>
      </x:c>
      <x:c r="D70" t="str">
        <x:v>RST_B18</x:v>
      </x:c>
      <x:c r="E70" t="n">
        <x:v>1</x:v>
      </x:c>
      <x:c r="F70" t="str">
        <x:v>Normal</x:v>
      </x:c>
      <x:c r="G70" t="str">
        <x:v>좌우 중 하나 선택</x:v>
      </x:c>
    </x:row>
    <x:row r="71">
      <x:c r="B71" t="n">
        <x:v>69</x:v>
      </x:c>
      <x:c r="C71" t="str">
        <x:v>RestStop</x:v>
      </x:c>
      <x:c r="D71" t="str">
        <x:v>RST_B19</x:v>
      </x:c>
      <x:c r="E71" t="n">
        <x:v>1</x:v>
      </x:c>
      <x:c r="F71" t="str">
        <x:v>Normal</x:v>
      </x:c>
      <x:c r="G71" t="str">
        <x:v>좌우 중 하나 선택</x:v>
      </x:c>
    </x:row>
    <x:row r="72">
      <x:c r="B72" t="n">
        <x:v>70</x:v>
      </x:c>
      <x:c r="C72" t="str">
        <x:v>RestStop</x:v>
      </x:c>
      <x:c r="D72" t="str">
        <x:v>RST_B20</x:v>
      </x:c>
      <x:c r="E72" t="n">
        <x:v>1</x:v>
      </x:c>
      <x:c r="F72" t="str">
        <x:v>Rare</x:v>
      </x:c>
      <x:c r="G72" t="str">
        <x:v>좌우 중 하나 선택</x:v>
      </x:c>
    </x:row>
    <x:row r="73">
      <x:c r="B73" t="n">
        <x:v>71</x:v>
      </x:c>
      <x:c r="C73" t="str">
        <x:v>RestStop</x:v>
      </x:c>
      <x:c r="D73" t="str">
        <x:v>RST_B21</x:v>
      </x:c>
      <x:c r="E73" t="n">
        <x:v>1</x:v>
      </x:c>
      <x:c r="F73" t="str">
        <x:v>Normal</x:v>
      </x:c>
      <x:c r="G73" t="str">
        <x:v>좌우 중 하나 선택</x:v>
      </x:c>
    </x:row>
    <x:row r="74">
      <x:c r="B74" t="n">
        <x:v>72</x:v>
      </x:c>
      <x:c r="C74" t="str">
        <x:v>RestStop</x:v>
      </x:c>
      <x:c r="D74" t="str">
        <x:v>RST_B22</x:v>
      </x:c>
      <x:c r="E74" t="n">
        <x:v>1</x:v>
      </x:c>
      <x:c r="F74" t="str">
        <x:v>Normal</x:v>
      </x:c>
      <x:c r="G74" t="str">
        <x:v>좌우 중 하나 선택</x:v>
      </x:c>
    </x:row>
    <x:row r="75">
      <x:c r="B75" t="n">
        <x:v>73</x:v>
      </x:c>
      <x:c r="C75" t="str">
        <x:v>RestStop</x:v>
      </x:c>
      <x:c r="D75" t="str">
        <x:v>RST_B23</x:v>
      </x:c>
      <x:c r="E75" t="n">
        <x:v>1</x:v>
      </x:c>
      <x:c r="F75" t="str">
        <x:v>Normal</x:v>
      </x:c>
      <x:c r="G75" t="str">
        <x:v>좌우 중 하나 선택</x:v>
      </x:c>
    </x:row>
    <x:row r="76">
      <x:c r="B76" t="n">
        <x:v>74</x:v>
      </x:c>
      <x:c r="C76" t="str">
        <x:v>RestStop</x:v>
      </x:c>
      <x:c r="D76" t="str">
        <x:v>RST_B24</x:v>
      </x:c>
      <x:c r="E76" t="n">
        <x:v>1</x:v>
      </x:c>
      <x:c r="F76" t="str">
        <x:v>Normal</x:v>
      </x:c>
      <x:c r="G76" t="str">
        <x:v>좌우 중 하나 선택</x:v>
      </x:c>
    </x:row>
    <x:row r="77">
      <x:c r="B77" t="n">
        <x:v>75</x:v>
      </x:c>
      <x:c r="C77" t="str">
        <x:v>RestStop</x:v>
      </x:c>
      <x:c r="D77" t="str">
        <x:v>RST_B25</x:v>
      </x:c>
      <x:c r="E77" t="n">
        <x:v>1</x:v>
      </x:c>
      <x:c r="F77" t="str">
        <x:v>Rare</x:v>
      </x:c>
      <x:c r="G77" t="str">
        <x:v>좌우 중 하나 선택</x:v>
      </x:c>
    </x:row>
  </x:sheetData>
  <x:dataValidations count="2">
    <x:dataValidation type="list" sqref="E3:E27">
      <x:formula1>"0,1"</x:formula1>
    </x:dataValidation>
    <x:dataValidation type="list" sqref="F3:F27">
      <x:formula1>"Normal,Rare,Unique"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55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>
      <x:c r="B1" s="18" t="str">
        <x:v>값을 저장한 뒤 다음 Play부터 적용됩니다. 사용: 1=배치 유지, 0=숨김. 맵·배치ID·기믹종류는 연결용입니다.</x:v>
      </x:c>
      <x:c r="C1" s="18"/>
      <x:c r="D1" s="18"/>
      <x:c r="E1" s="18"/>
      <x:c r="F1" s="18"/>
      <x:c r="G1" s="18"/>
      <x:c r="H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기믹종류</x:v>
      </x:c>
      <x:c r="G2" s="20" t="str">
        <x:v>효과값</x:v>
      </x:c>
      <x:c r="H2" s="20" t="str">
        <x:v>설명</x:v>
      </x:c>
      <x:c r="I2" s="48" t="str">
        <x:v>내구도</x:v>
      </x:c>
      <x:c r="J2" s="48" t="str">
        <x:v>예고초</x:v>
      </x:c>
      <x:c r="K2" s="48" t="str">
        <x:v>작동초</x:v>
      </x:c>
      <x:c r="L2" s="48" t="str">
        <x:v>이동폭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SR18_L_G01_T013_Bucket</x:v>
      </x:c>
      <x:c r="E3" s="23" t="n">
        <x:v>0</x:v>
      </x:c>
      <x:c r="F3" s="25" t="str">
        <x:v>Bucket</x:v>
      </x:c>
      <x:c r="G3" s="24" t="n">
        <x:v>3</x:v>
      </x:c>
      <x:c r="H3" s="21" t="str">
        <x:v>3개 묶음 전체에 적용. 효과값: 바구니별 사격 금지 시간(초).</x:v>
      </x:c>
      <x:c r="I3"/>
      <x:c r="J3"/>
      <x:c r="K3"/>
      <x:c r="L3"/>
    </x:row>
    <x:row r="4" ht="30" customHeight="1">
      <x:c r="B4" s="22" t="n">
        <x:v>2</x:v>
      </x:c>
      <x:c r="C4" s="18" t="str">
        <x:v>Noryangjin_MapTool_Mode_SR18</x:v>
      </x:c>
      <x:c r="D4" s="18" t="str">
        <x:v>SR18_L_G02_T025_Light</x:v>
      </x:c>
      <x:c r="E4" s="23" t="n">
        <x:v>1</x:v>
      </x:c>
      <x:c r="F4" s="25" t="str">
        <x:v>Light</x:v>
      </x:c>
      <x:c r="G4" s="24" t="n">
        <x:v>50</x:v>
      </x:c>
      <x:c r="H4" s="21" t="str">
        <x:v>효과값: 접촉 피해량. 기믹종류는 모델 확인용.</x:v>
      </x:c>
      <x:c r="I4"/>
      <x:c r="J4"/>
      <x:c r="K4"/>
      <x:c r="L4"/>
    </x:row>
    <x:row r="5" ht="30" customHeight="1">
      <x:c r="B5" s="22" t="n">
        <x:v>3</x:v>
      </x:c>
      <x:c r="C5" s="18" t="str">
        <x:v>Noryangjin_MapTool_Mode_SR18</x:v>
      </x:c>
      <x:c r="D5" s="18" t="str">
        <x:v>SR18_L_G03_T037_Hole</x:v>
      </x:c>
      <x:c r="E5" s="23" t="n">
        <x:v>1</x:v>
      </x:c>
      <x:c r="F5" s="25" t="str">
        <x:v>Hole</x:v>
      </x:c>
      <x:c r="G5" s="24" t="n">
        <x:v>80</x:v>
      </x:c>
      <x:c r="H5" s="21" t="str">
        <x:v>파손된 판자 · 피해80, 생존하면 전진 유지</x:v>
      </x:c>
      <x:c r="I5"/>
      <x:c r="J5"/>
      <x:c r="K5"/>
      <x:c r="L5"/>
    </x:row>
    <x:row r="6" ht="30" customHeight="1">
      <x:c r="B6" s="22" t="n">
        <x:v>4</x:v>
      </x:c>
      <x:c r="C6" s="18" t="str">
        <x:v>Noryangjin_MapTool_Mode_SR18</x:v>
      </x:c>
      <x:c r="D6" s="18" t="str">
        <x:v>SR18_L_G04_T049_Bucket</x:v>
      </x:c>
      <x:c r="E6" s="23" t="n">
        <x:v>1</x:v>
      </x:c>
      <x:c r="F6" s="25" t="str">
        <x:v>Bucket</x:v>
      </x:c>
      <x:c r="G6" s="24" t="n">
        <x:v>3</x:v>
      </x:c>
      <x:c r="H6" s="21" t="str">
        <x:v>3개 묶음 전체에 적용. 효과값: 바구니별 사격 금지 시간(초).</x:v>
      </x:c>
      <x:c r="I6"/>
      <x:c r="J6"/>
      <x:c r="K6"/>
      <x:c r="L6"/>
    </x:row>
    <x:row r="7" ht="30" customHeight="1">
      <x:c r="B7" s="22" t="n">
        <x:v>5</x:v>
      </x:c>
      <x:c r="C7" s="18" t="str">
        <x:v>Noryangjin_MapTool_Mode_SR18</x:v>
      </x:c>
      <x:c r="D7" s="18" t="str">
        <x:v>SR18_L_G05_T061_Light</x:v>
      </x:c>
      <x:c r="E7" s="23" t="n">
        <x:v>1</x:v>
      </x:c>
      <x:c r="F7" s="25" t="str">
        <x:v>Light</x:v>
      </x:c>
      <x:c r="G7" s="24" t="n">
        <x:v>50</x:v>
      </x:c>
      <x:c r="H7" s="21" t="str">
        <x:v>효과값: 접촉 피해량. 기믹종류는 모델 확인용.</x:v>
      </x:c>
      <x:c r="I7"/>
      <x:c r="J7"/>
      <x:c r="K7"/>
      <x:c r="L7"/>
    </x:row>
    <x:row r="8" ht="30" customHeight="1">
      <x:c r="B8" s="22" t="n">
        <x:v>6</x:v>
      </x:c>
      <x:c r="C8" s="18" t="str">
        <x:v>Noryangjin_MapTool_Mode_SR18</x:v>
      </x:c>
      <x:c r="D8" s="18" t="str">
        <x:v>SR18_L_G06_T073_Hole</x:v>
      </x:c>
      <x:c r="E8" s="23" t="n">
        <x:v>1</x:v>
      </x:c>
      <x:c r="F8" s="25" t="str">
        <x:v>Hole</x:v>
      </x:c>
      <x:c r="G8" s="24" t="n">
        <x:v>80</x:v>
      </x:c>
      <x:c r="H8" s="21" t="str">
        <x:v>파손된 판자 · 피해80, 생존하면 전진 유지</x:v>
      </x:c>
      <x:c r="I8"/>
      <x:c r="J8"/>
      <x:c r="K8"/>
      <x:c r="L8"/>
    </x:row>
    <x:row r="9" ht="30" customHeight="1">
      <x:c r="B9" s="22" t="n">
        <x:v>7</x:v>
      </x:c>
      <x:c r="C9" s="18" t="str">
        <x:v>Noryangjin_MapTool_Mode_SR18</x:v>
      </x:c>
      <x:c r="D9" s="18" t="str">
        <x:v>SR18_L_G07_T085_Bucket</x:v>
      </x:c>
      <x:c r="E9" s="23" t="n">
        <x:v>1</x:v>
      </x:c>
      <x:c r="F9" s="25" t="str">
        <x:v>Bucket</x:v>
      </x:c>
      <x:c r="G9" s="24" t="n">
        <x:v>3</x:v>
      </x:c>
      <x:c r="H9" s="21" t="str">
        <x:v>3개 묶음 전체에 적용. 효과값: 바구니별 사격 금지 시간(초).</x:v>
      </x:c>
      <x:c r="I9"/>
      <x:c r="J9"/>
      <x:c r="K9"/>
      <x:c r="L9"/>
    </x:row>
    <x:row r="10" ht="30" customHeight="1">
      <x:c r="B10" s="22" t="n">
        <x:v>8</x:v>
      </x:c>
      <x:c r="C10" s="18" t="str">
        <x:v>Noryangjin_MapTool_Mode_SR18</x:v>
      </x:c>
      <x:c r="D10" s="18" t="str">
        <x:v>SR18_L_G08_T097_Oldman</x:v>
      </x:c>
      <x:c r="E10" s="23" t="n">
        <x:v>1</x:v>
      </x:c>
      <x:c r="F10" s="25" t="str">
        <x:v>Oldman</x:v>
      </x:c>
      <x:c r="G10" s="24" t="n">
        <x:f>'밸런스 조정'!$C$67</x:f>
        <x:v>12</x:v>
      </x:c>
      <x:c r="H10" s="21" t="str">
        <x:v>노에 닿으면 피해를 받고 모델만 회전. 진행과 카메라 유지.</x:v>
      </x:c>
      <x:c r="I10"/>
      <x:c r="J10"/>
      <x:c r="K10"/>
      <x:c r="L10"/>
    </x:row>
    <x:row r="11" ht="30" customHeight="1">
      <x:c r="B11" s="22" t="n">
        <x:v>9</x:v>
      </x:c>
      <x:c r="C11" s="18" t="str">
        <x:v>Noryangjin_MapTool_Mode_SR18</x:v>
      </x:c>
      <x:c r="D11" s="18" t="str">
        <x:v>SR18_L_G09_T109_Hole</x:v>
      </x:c>
      <x:c r="E11" s="23" t="n">
        <x:v>1</x:v>
      </x:c>
      <x:c r="F11" s="25" t="str">
        <x:v>Hole</x:v>
      </x:c>
      <x:c r="G11" s="24" t="n">
        <x:v>80</x:v>
      </x:c>
      <x:c r="H11" s="21" t="str">
        <x:v>파손된 판자 · 피해80, 생존하면 전진 유지</x:v>
      </x:c>
      <x:c r="I11"/>
      <x:c r="J11"/>
      <x:c r="K11"/>
      <x:c r="L11"/>
    </x:row>
    <x:row r="12" ht="30" customHeight="1">
      <x:c r="B12" s="22" t="n">
        <x:v>10</x:v>
      </x:c>
      <x:c r="C12" s="18" t="str">
        <x:v>Noryangjin_MapTool_Mode_SR18</x:v>
      </x:c>
      <x:c r="D12" s="18" t="str">
        <x:v>SR18_L_G10_T121_Oil</x:v>
      </x:c>
      <x:c r="E12" s="23" t="n">
        <x:v>1</x:v>
      </x:c>
      <x:c r="F12" s="25" t="str">
        <x:v>Oil</x:v>
      </x:c>
      <x:c r="G12" s="24" t="n">
        <x:f>'밸런스 조정'!$C$48</x:f>
        <x:v>2</x:v>
      </x:c>
      <x:c r="H12" s="21" t="str">
        <x:v>잠시 좌우 조작 감소. 진행 방향과 사격 유지.</x:v>
      </x:c>
      <x:c r="I12"/>
      <x:c r="J12"/>
      <x:c r="K12"/>
      <x:c r="L12"/>
    </x:row>
    <x:row r="13" ht="30" customHeight="1">
      <x:c r="B13" s="22" t="n">
        <x:v>11</x:v>
      </x:c>
      <x:c r="C13" s="18" t="str">
        <x:v>Noryangjin_MapTool_Mode_SR18</x:v>
      </x:c>
      <x:c r="D13" s="18" t="str">
        <x:v>SR18_L_G11_T133_Light</x:v>
      </x:c>
      <x:c r="E13" s="23" t="n">
        <x:v>1</x:v>
      </x:c>
      <x:c r="F13" s="25" t="str">
        <x:v>Light</x:v>
      </x:c>
      <x:c r="G13" s="24" t="n">
        <x:v>50</x:v>
      </x:c>
      <x:c r="H13" s="21" t="str">
        <x:v>효과값: 접촉 피해량. 기믹종류는 모델 확인용.</x:v>
      </x:c>
      <x:c r="I13"/>
      <x:c r="J13"/>
      <x:c r="K13"/>
      <x:c r="L13"/>
    </x:row>
    <x:row r="14" ht="30" customHeight="1">
      <x:c r="B14" s="22" t="n">
        <x:v>12</x:v>
      </x:c>
      <x:c r="C14" s="18" t="str">
        <x:v>Noryangjin_MapTool_Mode_SR18</x:v>
      </x:c>
      <x:c r="D14" s="18" t="str">
        <x:v>SR18_L_G12_T145_Hole</x:v>
      </x:c>
      <x:c r="E14" s="23" t="n">
        <x:v>1</x:v>
      </x:c>
      <x:c r="F14" s="25" t="str">
        <x:v>Hole</x:v>
      </x:c>
      <x:c r="G14" s="24" t="n">
        <x:v>80</x:v>
      </x:c>
      <x:c r="H14" s="21" t="str">
        <x:v>파손된 판자 · 피해80, 생존하면 전진 유지</x:v>
      </x:c>
      <x:c r="I14"/>
      <x:c r="J14"/>
      <x:c r="K14"/>
      <x:c r="L14"/>
    </x:row>
    <x:row r="15" ht="30" customHeight="1">
      <x:c r="B15" s="22" t="n">
        <x:v>13</x:v>
      </x:c>
      <x:c r="C15" s="18" t="str">
        <x:v>Noryangjin_MapTool_Mode_SR18</x:v>
      </x:c>
      <x:c r="D15" s="18" t="str">
        <x:v>SR18_L_G13_T157_Bucket</x:v>
      </x:c>
      <x:c r="E15" s="23" t="n">
        <x:v>1</x:v>
      </x:c>
      <x:c r="F15" s="25" t="str">
        <x:v>Bucket</x:v>
      </x:c>
      <x:c r="G15" s="24" t="n">
        <x:v>3</x:v>
      </x:c>
      <x:c r="H15" s="21" t="str">
        <x:v>3개 묶음 전체에 적용. 효과값: 바구니별 사격 금지 시간(초).</x:v>
      </x:c>
      <x:c r="I15"/>
      <x:c r="J15"/>
      <x:c r="K15"/>
      <x:c r="L15"/>
    </x:row>
    <x:row r="16" ht="30" customHeight="1">
      <x:c r="B16" s="22" t="n">
        <x:v>14</x:v>
      </x:c>
      <x:c r="C16" s="18" t="str">
        <x:v>Noryangjin_MapTool_Mode_SR18</x:v>
      </x:c>
      <x:c r="D16" s="18" t="str">
        <x:v>SR18_L_G14_T169_Light</x:v>
      </x:c>
      <x:c r="E16" s="23" t="n">
        <x:v>1</x:v>
      </x:c>
      <x:c r="F16" s="25" t="str">
        <x:v>Light</x:v>
      </x:c>
      <x:c r="G16" s="24" t="n">
        <x:v>50</x:v>
      </x:c>
      <x:c r="H16" s="21" t="str">
        <x:v>효과값: 접촉 피해량. 기믹종류는 모델 확인용.</x:v>
      </x:c>
      <x:c r="I16"/>
      <x:c r="J16"/>
      <x:c r="K16"/>
      <x:c r="L16"/>
    </x:row>
    <x:row r="17" ht="30" customHeight="1">
      <x:c r="B17" s="22" t="n">
        <x:v>15</x:v>
      </x:c>
      <x:c r="C17" s="18" t="str">
        <x:v>Noryangjin_MapTool_Mode_SR18</x:v>
      </x:c>
      <x:c r="D17" s="18" t="str">
        <x:v>SR18_L_G15_T181_Bucket</x:v>
      </x:c>
      <x:c r="E17" s="23" t="n">
        <x:v>1</x:v>
      </x:c>
      <x:c r="F17" s="25" t="str">
        <x:v>Bucket</x:v>
      </x:c>
      <x:c r="G17" s="24" t="n">
        <x:v>3</x:v>
      </x:c>
      <x:c r="H17" s="21" t="str">
        <x:v>3개 묶음 전체에 적용. 효과값: 바구니별 사격 금지 시간(초).</x:v>
      </x:c>
      <x:c r="I17"/>
      <x:c r="J17"/>
      <x:c r="K17"/>
      <x:c r="L17"/>
    </x:row>
    <x:row r="18" ht="30" customHeight="1">
      <x:c r="B18" s="22" t="n">
        <x:v>16</x:v>
      </x:c>
      <x:c r="C18" s="18" t="str">
        <x:v>Noryangjin_MapTool_Mode_SR18</x:v>
      </x:c>
      <x:c r="D18" s="18" t="str">
        <x:v>SR18_L_G16_T193_Seagull</x:v>
      </x:c>
      <x:c r="E18" s="23" t="n">
        <x:v>1</x:v>
      </x:c>
      <x:c r="F18" s="25" t="str">
        <x:v>Seagull</x:v>
      </x:c>
      <x:c r="G18" s="24" t="n">
        <x:f>'밸런스 조정'!$C$49</x:f>
        <x:v>20</x:v>
      </x:c>
      <x:c r="H18" s="21" t="str">
        <x:v>그림자 예고 후 갈매기 급강하</x:v>
      </x:c>
      <x:c r="I18"/>
      <x:c r="J18"/>
      <x:c r="K18"/>
      <x:c r="L18"/>
    </x:row>
    <x:row r="19" ht="30" customHeight="1">
      <x:c r="B19" s="22" t="n">
        <x:v>17</x:v>
      </x:c>
      <x:c r="C19" s="18" t="str">
        <x:v>Noryangjin_MapTool_Mode_SR18</x:v>
      </x:c>
      <x:c r="D19" s="18" t="str">
        <x:v>SR18_L_G17_T205_Dolphin</x:v>
      </x:c>
      <x:c r="E19" s="23" t="n">
        <x:v>1</x:v>
      </x:c>
      <x:c r="F19" s="25" t="str">
        <x:v>Dolphin</x:v>
      </x:c>
      <x:c r="G19" s="24" t="n">
        <x:f>'밸런스 조정'!$C$68</x:f>
        <x:v>3</x:v>
      </x:c>
      <x:c r="H19" s="21" t="str">
        <x:v>물가 점프 높이(m). 접촉 피해 없음.</x:v>
      </x:c>
      <x:c r="I19"/>
      <x:c r="J19"/>
      <x:c r="K19"/>
      <x:c r="L19"/>
    </x:row>
    <x:row r="20" ht="30" customHeight="1">
      <x:c r="B20" s="22" t="n">
        <x:v>18</x:v>
      </x:c>
      <x:c r="C20" s="18" t="str">
        <x:v>Noryangjin_MapTool_Mode_SR18</x:v>
      </x:c>
      <x:c r="D20" s="18" t="str">
        <x:v>SR18_L_G18_T217_Hole</x:v>
      </x:c>
      <x:c r="E20" s="23" t="n">
        <x:v>1</x:v>
      </x:c>
      <x:c r="F20" s="25" t="str">
        <x:v>Hole</x:v>
      </x:c>
      <x:c r="G20" s="24" t="n">
        <x:v>80</x:v>
      </x:c>
      <x:c r="H20" s="21" t="str">
        <x:v>파손된 판자 · 피해80, 생존하면 전진 유지</x:v>
      </x:c>
      <x:c r="I20"/>
      <x:c r="J20"/>
      <x:c r="K20"/>
      <x:c r="L20"/>
    </x:row>
    <x:row r="21" ht="30" customHeight="1">
      <x:c r="B21" s="22" t="n">
        <x:v>19</x:v>
      </x:c>
      <x:c r="C21" s="18" t="str">
        <x:v>Noryangjin_MapTool_Mode_SR18</x:v>
      </x:c>
      <x:c r="D21" s="18" t="str">
        <x:v>SR18_L_G19_T229_Oil</x:v>
      </x:c>
      <x:c r="E21" s="23" t="n">
        <x:v>1</x:v>
      </x:c>
      <x:c r="F21" s="25" t="str">
        <x:v>Oil</x:v>
      </x:c>
      <x:c r="G21" s="24" t="n">
        <x:f>'밸런스 조정'!$C$48</x:f>
        <x:v>2</x:v>
      </x:c>
      <x:c r="H21" s="21" t="str">
        <x:v>잠시 좌우 조작 감소. 진행 방향과 사격 유지.</x:v>
      </x:c>
      <x:c r="I21"/>
      <x:c r="J21"/>
      <x:c r="K21"/>
      <x:c r="L21"/>
    </x:row>
    <x:row r="22" ht="30" customHeight="1">
      <x:c r="B22" s="22" t="n">
        <x:v>20</x:v>
      </x:c>
      <x:c r="C22" s="18" t="str">
        <x:v>Noryangjin_MapTool_Mode_SR18</x:v>
      </x:c>
      <x:c r="D22" s="18" t="str">
        <x:v>SR18_L_G20_T241_Light</x:v>
      </x:c>
      <x:c r="E22" s="23" t="n">
        <x:v>1</x:v>
      </x:c>
      <x:c r="F22" s="25" t="str">
        <x:v>Light</x:v>
      </x:c>
      <x:c r="G22" s="24" t="n">
        <x:v>50</x:v>
      </x:c>
      <x:c r="H22" s="21" t="str">
        <x:v>효과값: 접촉 피해량. 기믹종류는 모델 확인용.</x:v>
      </x:c>
      <x:c r="I22"/>
      <x:c r="J22"/>
      <x:c r="K22"/>
      <x:c r="L22"/>
    </x:row>
    <x:row r="23" ht="30" customHeight="1">
      <x:c r="B23" s="22" t="n">
        <x:v>21</x:v>
      </x:c>
      <x:c r="C23" s="18" t="str">
        <x:v>Noryangjin_MapTool_Mode_SR18</x:v>
      </x:c>
      <x:c r="D23" s="18" t="str">
        <x:v>SR18_L_G21_T253_Hole</x:v>
      </x:c>
      <x:c r="E23" s="23" t="n">
        <x:v>1</x:v>
      </x:c>
      <x:c r="F23" s="25" t="str">
        <x:v>Hole</x:v>
      </x:c>
      <x:c r="G23" s="24" t="n">
        <x:v>80</x:v>
      </x:c>
      <x:c r="H23" s="21" t="str">
        <x:v>파손된 판자 · 피해80, 생존하면 전진 유지</x:v>
      </x:c>
      <x:c r="I23"/>
      <x:c r="J23"/>
      <x:c r="K23"/>
      <x:c r="L23"/>
    </x:row>
    <x:row r="24" ht="30" customHeight="1">
      <x:c r="B24" s="22" t="n">
        <x:v>22</x:v>
      </x:c>
      <x:c r="C24" s="18" t="str">
        <x:v>Noryangjin_MapTool_Mode_SR18</x:v>
      </x:c>
      <x:c r="D24" s="18" t="str">
        <x:v>SR18_L_G22_T265_Bucket</x:v>
      </x:c>
      <x:c r="E24" s="23" t="n">
        <x:v>1</x:v>
      </x:c>
      <x:c r="F24" s="25" t="str">
        <x:v>Bucket</x:v>
      </x:c>
      <x:c r="G24" s="24" t="n">
        <x:v>3</x:v>
      </x:c>
      <x:c r="H24" s="21" t="str">
        <x:v>3개 묶음 전체에 적용. 효과값: 바구니별 사격 금지 시간(초).</x:v>
      </x:c>
      <x:c r="I24"/>
      <x:c r="J24"/>
      <x:c r="K24"/>
      <x:c r="L24"/>
    </x:row>
    <x:row r="25" ht="30" customHeight="1">
      <x:c r="B25" s="22" t="n">
        <x:v>23</x:v>
      </x:c>
      <x:c r="C25" s="18" t="str">
        <x:v>Noryangjin_MapTool_Mode_SR18</x:v>
      </x:c>
      <x:c r="D25" s="18" t="str">
        <x:v>SR18_L_G23_T277_Light</x:v>
      </x:c>
      <x:c r="E25" s="23" t="n">
        <x:v>1</x:v>
      </x:c>
      <x:c r="F25" s="25" t="str">
        <x:v>Light</x:v>
      </x:c>
      <x:c r="G25" s="24" t="n">
        <x:v>50</x:v>
      </x:c>
      <x:c r="H25" s="21" t="str">
        <x:v>효과값: 접촉 피해량. 기믹종류는 모델 확인용.</x:v>
      </x:c>
      <x:c r="I25"/>
      <x:c r="J25"/>
      <x:c r="K25"/>
      <x:c r="L25"/>
    </x:row>
    <x:row r="26" ht="30" customHeight="1">
      <x:c r="B26" s="22" t="n">
        <x:v>24</x:v>
      </x:c>
      <x:c r="C26" s="18" t="str">
        <x:v>Noryangjin_MapTool_Mode_SR18</x:v>
      </x:c>
      <x:c r="D26" s="18" t="str">
        <x:v>SR18_L_G24_T289_Hole</x:v>
      </x:c>
      <x:c r="E26" s="23" t="n">
        <x:v>1</x:v>
      </x:c>
      <x:c r="F26" s="25" t="str">
        <x:v>Hole</x:v>
      </x:c>
      <x:c r="G26" s="24" t="n">
        <x:v>80</x:v>
      </x:c>
      <x:c r="H26" s="21" t="str">
        <x:v>파손된 판자 · 피해80, 생존하면 전진 유지</x:v>
      </x:c>
      <x:c r="I26"/>
      <x:c r="J26"/>
      <x:c r="K26"/>
      <x:c r="L26"/>
    </x:row>
    <x:row r="27">
      <x:c r="B27" t="n">
        <x:v>25</x:v>
      </x:c>
      <x:c r="C27" t="str">
        <x:v>Noryangjin_MapTool_Mode_SR18</x:v>
      </x:c>
      <x:c r="D27" t="str">
        <x:v>SR18_Polish_Ship_2</x:v>
      </x:c>
      <x:c r="E27" t="n">
        <x:v>1</x:v>
      </x:c>
      <x:c r="F27" t="str">
        <x:v>Ship</x:v>
      </x:c>
      <x:c r="G27" t="n">
        <x:f>'밸런스 조정'!$C$50</x:f>
        <x:v>10</x:v>
      </x:c>
      <x:c r="H27" t="str">
        <x:v>해안에서 진행로를 향한 포격</x:v>
      </x:c>
      <x:c r="I27"/>
      <x:c r="J27"/>
      <x:c r="K27"/>
      <x:c r="L27"/>
    </x:row>
    <x:row r="28">
      <x:c r="B28" t="n">
        <x:v>26</x:v>
      </x:c>
      <x:c r="C28" t="str">
        <x:v>HighWay</x:v>
      </x:c>
      <x:c r="D28" t="str">
        <x:v>HWY_G01_Roadblock</x:v>
      </x:c>
      <x:c r="E28" t="n">
        <x:v>1</x:v>
      </x:c>
      <x:c r="F28" t="str">
        <x:v>HighwayRoadblock</x:v>
      </x:c>
      <x:c r="G28" t="n">
        <x:f>'밸런스 조정'!$C$38</x:f>
        <x:v>180</x:v>
      </x:c>
      <x:c r="H28" t="str">
        <x:v>예고와 진행 간격을 확보한 고속도로 장애물</x:v>
      </x:c>
      <x:c r="I28" t="n">
        <x:f>'밸런스 조정'!$C$41</x:f>
        <x:v>240</x:v>
      </x:c>
      <x:c r="J28" t="n">
        <x:f>'밸런스 조정'!$C$42</x:f>
        <x:v>1.8</x:v>
      </x:c>
      <x:c r="K28" t="n">
        <x:f>'밸런스 조정'!$C$43</x:f>
        <x:v>4</x:v>
      </x:c>
      <x:c r="L28" t="n">
        <x:f>0</x:f>
        <x:v>0</x:v>
      </x:c>
    </x:row>
    <x:row r="29">
      <x:c r="B29" t="n">
        <x:v>27</x:v>
      </x:c>
      <x:c r="C29" t="str">
        <x:v>HighWay</x:v>
      </x:c>
      <x:c r="D29" t="str">
        <x:v>HWY_G02_Roadblock</x:v>
      </x:c>
      <x:c r="E29" t="n">
        <x:v>1</x:v>
      </x:c>
      <x:c r="F29" t="str">
        <x:v>HighwayRoadblock</x:v>
      </x:c>
      <x:c r="G29" t="n">
        <x:f>'밸런스 조정'!$C$38</x:f>
        <x:v>180</x:v>
      </x:c>
      <x:c r="H29" t="str">
        <x:v>예고와 진행 간격을 확보한 고속도로 장애물</x:v>
      </x:c>
      <x:c r="I29" t="n">
        <x:f>'밸런스 조정'!$C$41</x:f>
        <x:v>240</x:v>
      </x:c>
      <x:c r="J29" t="n">
        <x:f>'밸런스 조정'!$C$42</x:f>
        <x:v>1.8</x:v>
      </x:c>
      <x:c r="K29" t="n">
        <x:f>'밸런스 조정'!$C$43</x:f>
        <x:v>4</x:v>
      </x:c>
      <x:c r="L29" t="n">
        <x:f>0</x:f>
        <x:v>0</x:v>
      </x:c>
    </x:row>
    <x:row r="30">
      <x:c r="B30" t="n">
        <x:v>28</x:v>
      </x:c>
      <x:c r="C30" t="str">
        <x:v>HighWay</x:v>
      </x:c>
      <x:c r="D30" t="str">
        <x:v>HWY_G03_Roadblock</x:v>
      </x:c>
      <x:c r="E30" t="n">
        <x:v>1</x:v>
      </x:c>
      <x:c r="F30" t="str">
        <x:v>HighwayRoadblock</x:v>
      </x:c>
      <x:c r="G30" t="n">
        <x:f>'밸런스 조정'!$C$38</x:f>
        <x:v>180</x:v>
      </x:c>
      <x:c r="H30" t="str">
        <x:v>예고와 진행 간격을 확보한 고속도로 장애물</x:v>
      </x:c>
      <x:c r="I30" t="n">
        <x:f>'밸런스 조정'!$C$41</x:f>
        <x:v>240</x:v>
      </x:c>
      <x:c r="J30" t="n">
        <x:f>'밸런스 조정'!$C$42</x:f>
        <x:v>1.8</x:v>
      </x:c>
      <x:c r="K30" t="n">
        <x:f>'밸런스 조정'!$C$43</x:f>
        <x:v>4</x:v>
      </x:c>
      <x:c r="L30" t="n">
        <x:f>0</x:f>
        <x:v>0</x:v>
      </x:c>
    </x:row>
    <x:row r="31">
      <x:c r="B31" t="n">
        <x:v>29</x:v>
      </x:c>
      <x:c r="C31" t="str">
        <x:v>HighWay</x:v>
      </x:c>
      <x:c r="D31" t="str">
        <x:v>HWY_G04_Roadblock</x:v>
      </x:c>
      <x:c r="E31" t="n">
        <x:v>1</x:v>
      </x:c>
      <x:c r="F31" t="str">
        <x:v>HighwayRoadblock</x:v>
      </x:c>
      <x:c r="G31" t="n">
        <x:f>'밸런스 조정'!$C$38</x:f>
        <x:v>180</x:v>
      </x:c>
      <x:c r="H31" t="str">
        <x:v>예고와 진행 간격을 확보한 고속도로 장애물</x:v>
      </x:c>
      <x:c r="I31" t="n">
        <x:f>'밸런스 조정'!$C$41</x:f>
        <x:v>240</x:v>
      </x:c>
      <x:c r="J31" t="n">
        <x:f>'밸런스 조정'!$C$42</x:f>
        <x:v>1.8</x:v>
      </x:c>
      <x:c r="K31" t="n">
        <x:f>'밸런스 조정'!$C$43</x:f>
        <x:v>4</x:v>
      </x:c>
      <x:c r="L31" t="n">
        <x:f>0</x:f>
        <x:v>0</x:v>
      </x:c>
    </x:row>
    <x:row r="32">
      <x:c r="B32" t="n">
        <x:v>30</x:v>
      </x:c>
      <x:c r="C32" t="str">
        <x:v>HighWay</x:v>
      </x:c>
      <x:c r="D32" t="str">
        <x:v>HWY_G05_Roadblock</x:v>
      </x:c>
      <x:c r="E32" t="n">
        <x:v>1</x:v>
      </x:c>
      <x:c r="F32" t="str">
        <x:v>HighwayRoadblock</x:v>
      </x:c>
      <x:c r="G32" t="n">
        <x:f>'밸런스 조정'!$C$38</x:f>
        <x:v>180</x:v>
      </x:c>
      <x:c r="H32" t="str">
        <x:v>예고와 진행 간격을 확보한 고속도로 장애물</x:v>
      </x:c>
      <x:c r="I32" t="n">
        <x:f>'밸런스 조정'!$C$41</x:f>
        <x:v>240</x:v>
      </x:c>
      <x:c r="J32" t="n">
        <x:f>'밸런스 조정'!$C$42</x:f>
        <x:v>1.8</x:v>
      </x:c>
      <x:c r="K32" t="n">
        <x:f>'밸런스 조정'!$C$43</x:f>
        <x:v>4</x:v>
      </x:c>
      <x:c r="L32" t="n">
        <x:f>0</x:f>
        <x:v>0</x:v>
      </x:c>
    </x:row>
    <x:row r="33">
      <x:c r="B33" t="n">
        <x:v>31</x:v>
      </x:c>
      <x:c r="C33" t="str">
        <x:v>HighWay</x:v>
      </x:c>
      <x:c r="D33" t="str">
        <x:v>HWY_G06_Roadblock</x:v>
      </x:c>
      <x:c r="E33" t="n">
        <x:v>1</x:v>
      </x:c>
      <x:c r="F33" t="str">
        <x:v>HighwayRoadblock</x:v>
      </x:c>
      <x:c r="G33" t="n">
        <x:f>'밸런스 조정'!$C$38</x:f>
        <x:v>180</x:v>
      </x:c>
      <x:c r="H33" t="str">
        <x:v>예고와 진행 간격을 확보한 고속도로 장애물</x:v>
      </x:c>
      <x:c r="I33" t="n">
        <x:f>'밸런스 조정'!$C$41</x:f>
        <x:v>240</x:v>
      </x:c>
      <x:c r="J33" t="n">
        <x:f>'밸런스 조정'!$C$42</x:f>
        <x:v>1.8</x:v>
      </x:c>
      <x:c r="K33" t="n">
        <x:f>'밸런스 조정'!$C$43</x:f>
        <x:v>4</x:v>
      </x:c>
      <x:c r="L33" t="n">
        <x:f>0</x:f>
        <x:v>0</x:v>
      </x:c>
    </x:row>
    <x:row r="34">
      <x:c r="B34" t="n">
        <x:v>32</x:v>
      </x:c>
      <x:c r="C34" t="str">
        <x:v>HighWay</x:v>
      </x:c>
      <x:c r="D34" t="str">
        <x:v>HWY_G07_Roadblock</x:v>
      </x:c>
      <x:c r="E34" t="n">
        <x:v>1</x:v>
      </x:c>
      <x:c r="F34" t="str">
        <x:v>HighwayRoadblock</x:v>
      </x:c>
      <x:c r="G34" t="n">
        <x:f>'밸런스 조정'!$C$38</x:f>
        <x:v>180</x:v>
      </x:c>
      <x:c r="H34" t="str">
        <x:v>예고와 진행 간격을 확보한 고속도로 장애물</x:v>
      </x:c>
      <x:c r="I34" t="n">
        <x:f>'밸런스 조정'!$C$41</x:f>
        <x:v>240</x:v>
      </x:c>
      <x:c r="J34" t="n">
        <x:f>'밸런스 조정'!$C$42</x:f>
        <x:v>1.8</x:v>
      </x:c>
      <x:c r="K34" t="n">
        <x:f>'밸런스 조정'!$C$43</x:f>
        <x:v>4</x:v>
      </x:c>
      <x:c r="L34" t="n">
        <x:f>0</x:f>
        <x:v>0</x:v>
      </x:c>
    </x:row>
    <x:row r="35">
      <x:c r="B35" t="n">
        <x:v>33</x:v>
      </x:c>
      <x:c r="C35" t="str">
        <x:v>HighWay</x:v>
      </x:c>
      <x:c r="D35" t="str">
        <x:v>HWY_G08_Roadblock</x:v>
      </x:c>
      <x:c r="E35" t="n">
        <x:v>1</x:v>
      </x:c>
      <x:c r="F35" t="str">
        <x:v>HighwayRoadblock</x:v>
      </x:c>
      <x:c r="G35" t="n">
        <x:f>'밸런스 조정'!$C$38</x:f>
        <x:v>180</x:v>
      </x:c>
      <x:c r="H35" t="str">
        <x:v>예고와 진행 간격을 확보한 고속도로 장애물</x:v>
      </x:c>
      <x:c r="I35" t="n">
        <x:f>'밸런스 조정'!$C$41</x:f>
        <x:v>240</x:v>
      </x:c>
      <x:c r="J35" t="n">
        <x:f>'밸런스 조정'!$C$42</x:f>
        <x:v>1.8</x:v>
      </x:c>
      <x:c r="K35" t="n">
        <x:f>'밸런스 조정'!$C$43</x:f>
        <x:v>4</x:v>
      </x:c>
      <x:c r="L35" t="n">
        <x:f>0</x:f>
        <x:v>0</x:v>
      </x:c>
    </x:row>
    <x:row r="36">
      <x:c r="B36" t="n">
        <x:v>34</x:v>
      </x:c>
      <x:c r="C36" t="str">
        <x:v>HighWay</x:v>
      </x:c>
      <x:c r="D36" t="str">
        <x:v>HWY_G09_Roadblock</x:v>
      </x:c>
      <x:c r="E36" t="n">
        <x:v>1</x:v>
      </x:c>
      <x:c r="F36" t="str">
        <x:v>HighwayRoadblock</x:v>
      </x:c>
      <x:c r="G36" t="n">
        <x:f>'밸런스 조정'!$C$38</x:f>
        <x:v>180</x:v>
      </x:c>
      <x:c r="H36" t="str">
        <x:v>예고와 진행 간격을 확보한 고속도로 장애물</x:v>
      </x:c>
      <x:c r="I36" t="n">
        <x:f>'밸런스 조정'!$C$41</x:f>
        <x:v>240</x:v>
      </x:c>
      <x:c r="J36" t="n">
        <x:f>'밸런스 조정'!$C$42</x:f>
        <x:v>1.8</x:v>
      </x:c>
      <x:c r="K36" t="n">
        <x:f>'밸런스 조정'!$C$43</x:f>
        <x:v>4</x:v>
      </x:c>
      <x:c r="L36" t="n">
        <x:f>0</x:f>
        <x:v>0</x:v>
      </x:c>
    </x:row>
    <x:row r="37">
      <x:c r="B37" t="n">
        <x:v>35</x:v>
      </x:c>
      <x:c r="C37" t="str">
        <x:v>HighWay</x:v>
      </x:c>
      <x:c r="D37" t="str">
        <x:v>HWY_G10_Roadblock</x:v>
      </x:c>
      <x:c r="E37" t="n">
        <x:v>1</x:v>
      </x:c>
      <x:c r="F37" t="str">
        <x:v>HighwayRoadblock</x:v>
      </x:c>
      <x:c r="G37" t="n">
        <x:f>'밸런스 조정'!$C$38</x:f>
        <x:v>180</x:v>
      </x:c>
      <x:c r="H37" t="str">
        <x:v>예고와 진행 간격을 확보한 고속도로 장애물</x:v>
      </x:c>
      <x:c r="I37" t="n">
        <x:f>'밸런스 조정'!$C$41</x:f>
        <x:v>240</x:v>
      </x:c>
      <x:c r="J37" t="n">
        <x:f>'밸런스 조정'!$C$42</x:f>
        <x:v>1.8</x:v>
      </x:c>
      <x:c r="K37" t="n">
        <x:f>'밸런스 조정'!$C$43</x:f>
        <x:v>4</x:v>
      </x:c>
      <x:c r="L37" t="n">
        <x:f>0</x:f>
        <x:v>0</x:v>
      </x:c>
    </x:row>
    <x:row r="38">
      <x:c r="B38" t="n">
        <x:v>36</x:v>
      </x:c>
      <x:c r="C38" t="str">
        <x:v>HighWay</x:v>
      </x:c>
      <x:c r="D38" t="str">
        <x:v>HWY_G11_Roadblock</x:v>
      </x:c>
      <x:c r="E38" t="n">
        <x:v>1</x:v>
      </x:c>
      <x:c r="F38" t="str">
        <x:v>HighwayRoadblock</x:v>
      </x:c>
      <x:c r="G38" t="n">
        <x:f>'밸런스 조정'!$C$38</x:f>
        <x:v>180</x:v>
      </x:c>
      <x:c r="H38" t="str">
        <x:v>예고와 진행 간격을 확보한 고속도로 장애물</x:v>
      </x:c>
      <x:c r="I38" t="n">
        <x:f>'밸런스 조정'!$C$41</x:f>
        <x:v>240</x:v>
      </x:c>
      <x:c r="J38" t="n">
        <x:f>'밸런스 조정'!$C$42</x:f>
        <x:v>1.8</x:v>
      </x:c>
      <x:c r="K38" t="n">
        <x:f>'밸런스 조정'!$C$43</x:f>
        <x:v>4</x:v>
      </x:c>
      <x:c r="L38" t="n">
        <x:f>0</x:f>
        <x:v>0</x:v>
      </x:c>
    </x:row>
    <x:row r="39">
      <x:c r="B39" t="n">
        <x:v>37</x:v>
      </x:c>
      <x:c r="C39" t="str">
        <x:v>HighWay</x:v>
      </x:c>
      <x:c r="D39" t="str">
        <x:v>HWY_G12_Roadblock</x:v>
      </x:c>
      <x:c r="E39" t="n">
        <x:v>1</x:v>
      </x:c>
      <x:c r="F39" t="str">
        <x:v>HighwayRoadblock</x:v>
      </x:c>
      <x:c r="G39" t="n">
        <x:f>'밸런스 조정'!$C$38</x:f>
        <x:v>180</x:v>
      </x:c>
      <x:c r="H39" t="str">
        <x:v>예고와 진행 간격을 확보한 고속도로 장애물</x:v>
      </x:c>
      <x:c r="I39" t="n">
        <x:f>'밸런스 조정'!$C$41</x:f>
        <x:v>240</x:v>
      </x:c>
      <x:c r="J39" t="n">
        <x:f>'밸런스 조정'!$C$42</x:f>
        <x:v>1.8</x:v>
      </x:c>
      <x:c r="K39" t="n">
        <x:f>'밸런스 조정'!$C$43</x:f>
        <x:v>4</x:v>
      </x:c>
      <x:c r="L39" t="n">
        <x:f>0</x:f>
        <x:v>0</x:v>
      </x:c>
    </x:row>
    <x:row r="40">
      <x:c r="B40" t="n">
        <x:v>38</x:v>
      </x:c>
      <x:c r="C40" t="str">
        <x:v>HighWay</x:v>
      </x:c>
      <x:c r="D40" t="str">
        <x:v>HWY_G13_Roadblock</x:v>
      </x:c>
      <x:c r="E40" t="n">
        <x:v>1</x:v>
      </x:c>
      <x:c r="F40" t="str">
        <x:v>HighwayRoadblock</x:v>
      </x:c>
      <x:c r="G40" t="n">
        <x:f>'밸런스 조정'!$C$38</x:f>
        <x:v>180</x:v>
      </x:c>
      <x:c r="H40" t="str">
        <x:v>예고와 진행 간격을 확보한 고속도로 장애물</x:v>
      </x:c>
      <x:c r="I40" t="n">
        <x:f>'밸런스 조정'!$C$41</x:f>
        <x:v>240</x:v>
      </x:c>
      <x:c r="J40" t="n">
        <x:f>'밸런스 조정'!$C$42</x:f>
        <x:v>1.8</x:v>
      </x:c>
      <x:c r="K40" t="n">
        <x:f>'밸런스 조정'!$C$43</x:f>
        <x:v>4</x:v>
      </x:c>
      <x:c r="L40" t="n">
        <x:f>0</x:f>
        <x:v>0</x:v>
      </x:c>
    </x:row>
    <x:row r="41">
      <x:c r="B41" t="n">
        <x:v>39</x:v>
      </x:c>
      <x:c r="C41" t="str">
        <x:v>HighWay</x:v>
      </x:c>
      <x:c r="D41" t="str">
        <x:v>HWY_G14_Roadblock</x:v>
      </x:c>
      <x:c r="E41" t="n">
        <x:v>1</x:v>
      </x:c>
      <x:c r="F41" t="str">
        <x:v>HighwayRoadblock</x:v>
      </x:c>
      <x:c r="G41" t="n">
        <x:f>'밸런스 조정'!$C$38</x:f>
        <x:v>180</x:v>
      </x:c>
      <x:c r="H41" t="str">
        <x:v>예고와 진행 간격을 확보한 고속도로 장애물</x:v>
      </x:c>
      <x:c r="I41" t="n">
        <x:f>'밸런스 조정'!$C$41</x:f>
        <x:v>240</x:v>
      </x:c>
      <x:c r="J41" t="n">
        <x:f>'밸런스 조정'!$C$42</x:f>
        <x:v>1.8</x:v>
      </x:c>
      <x:c r="K41" t="n">
        <x:f>'밸런스 조정'!$C$43</x:f>
        <x:v>4</x:v>
      </x:c>
      <x:c r="L41" t="n">
        <x:f>0</x:f>
        <x:v>0</x:v>
      </x:c>
    </x:row>
    <x:row r="42">
      <x:c r="B42" t="n">
        <x:v>40</x:v>
      </x:c>
      <x:c r="C42" t="str">
        <x:v>HighWay</x:v>
      </x:c>
      <x:c r="D42" t="str">
        <x:v>HWY_G15_Traffic</x:v>
      </x:c>
      <x:c r="E42" t="n">
        <x:v>1</x:v>
      </x:c>
      <x:c r="F42" t="str">
        <x:v>HighwayTraffic</x:v>
      </x:c>
      <x:c r="G42" t="n">
        <x:f>'밸런스 조정'!$C$39</x:f>
        <x:v>240</x:v>
      </x:c>
      <x:c r="H42" t="str">
        <x:v>예고와 진행 간격을 확보한 고속도로 장애물</x:v>
      </x:c>
      <x:c r="I42" t="n">
        <x:f>0</x:f>
        <x:v>0</x:v>
      </x:c>
      <x:c r="J42" t="n">
        <x:f>'밸런스 조정'!$C$42</x:f>
        <x:v>1.8</x:v>
      </x:c>
      <x:c r="K42" t="n">
        <x:f>'밸런스 조정'!$C$43</x:f>
        <x:v>4</x:v>
      </x:c>
      <x:c r="L42" t="n">
        <x:f>'밸런스 조정'!$C$45</x:f>
        <x:v>9</x:v>
      </x:c>
    </x:row>
    <x:row r="43">
      <x:c r="B43" t="n">
        <x:v>41</x:v>
      </x:c>
      <x:c r="C43" t="str">
        <x:v>HighWay</x:v>
      </x:c>
      <x:c r="D43" t="str">
        <x:v>HWY_TollStation_1</x:v>
      </x:c>
      <x:c r="E43" t="n">
        <x:v>1</x:v>
      </x:c>
      <x:c r="F43" t="str">
        <x:v>HighwayToll</x:v>
      </x:c>
      <x:c r="G43" t="n">
        <x:f>'밸런스 조정'!$C$40</x:f>
        <x:v>280</x:v>
      </x:c>
      <x:c r="H43" t="str">
        <x:v>3차선 한 묶음. 모든 차선에 공통 주기 적용.</x:v>
      </x:c>
      <x:c r="I43" t="n">
        <x:f>0</x:f>
        <x:v>0</x:v>
      </x:c>
      <x:c r="J43" t="n">
        <x:f>'밸런스 조정'!$C$42</x:f>
        <x:v>1.8</x:v>
      </x:c>
      <x:c r="K43" t="n">
        <x:f>'밸런스 조정'!$C$44</x:f>
        <x:v>6</x:v>
      </x:c>
      <x:c r="L43" t="n">
        <x:f>0</x:f>
        <x:v>0</x:v>
      </x:c>
    </x:row>
    <x:row r="44">
      <x:c r="B44" t="n">
        <x:v>42</x:v>
      </x:c>
      <x:c r="C44" t="str">
        <x:v>HighWay</x:v>
      </x:c>
      <x:c r="D44" t="str">
        <x:v>HWY_G16_Traffic</x:v>
      </x:c>
      <x:c r="E44" t="n">
        <x:v>1</x:v>
      </x:c>
      <x:c r="F44" t="str">
        <x:v>HighwayTraffic</x:v>
      </x:c>
      <x:c r="G44" t="n">
        <x:f>'밸런스 조정'!$C$39</x:f>
        <x:v>240</x:v>
      </x:c>
      <x:c r="H44" t="str">
        <x:v>예고와 진행 간격을 확보한 고속도로 장애물</x:v>
      </x:c>
      <x:c r="I44" t="n">
        <x:f>0</x:f>
        <x:v>0</x:v>
      </x:c>
      <x:c r="J44" t="n">
        <x:f>'밸런스 조정'!$C$42</x:f>
        <x:v>1.8</x:v>
      </x:c>
      <x:c r="K44" t="n">
        <x:f>'밸런스 조정'!$C$43</x:f>
        <x:v>4</x:v>
      </x:c>
      <x:c r="L44" t="n">
        <x:f>'밸런스 조정'!$C$45</x:f>
        <x:v>9</x:v>
      </x:c>
    </x:row>
    <x:row r="45">
      <x:c r="B45" t="n">
        <x:v>43</x:v>
      </x:c>
      <x:c r="C45" t="str">
        <x:v>HighWay</x:v>
      </x:c>
      <x:c r="D45" t="str">
        <x:v>HWY_G17_Traffic</x:v>
      </x:c>
      <x:c r="E45" t="n">
        <x:v>1</x:v>
      </x:c>
      <x:c r="F45" t="str">
        <x:v>HighwayTraffic</x:v>
      </x:c>
      <x:c r="G45" t="n">
        <x:f>'밸런스 조정'!$C$39</x:f>
        <x:v>240</x:v>
      </x:c>
      <x:c r="H45" t="str">
        <x:v>예고와 진행 간격을 확보한 고속도로 장애물</x:v>
      </x:c>
      <x:c r="I45" t="n">
        <x:f>0</x:f>
        <x:v>0</x:v>
      </x:c>
      <x:c r="J45" t="n">
        <x:f>'밸런스 조정'!$C$42</x:f>
        <x:v>1.8</x:v>
      </x:c>
      <x:c r="K45" t="n">
        <x:f>'밸런스 조정'!$C$43</x:f>
        <x:v>4</x:v>
      </x:c>
      <x:c r="L45" t="n">
        <x:f>'밸런스 조정'!$C$45</x:f>
        <x:v>9</x:v>
      </x:c>
    </x:row>
    <x:row r="46">
      <x:c r="B46" t="n">
        <x:v>44</x:v>
      </x:c>
      <x:c r="C46" t="str">
        <x:v>HighWay</x:v>
      </x:c>
      <x:c r="D46" t="str">
        <x:v>HWY_TollStation_2</x:v>
      </x:c>
      <x:c r="E46" t="n">
        <x:v>1</x:v>
      </x:c>
      <x:c r="F46" t="str">
        <x:v>HighwayToll</x:v>
      </x:c>
      <x:c r="G46" t="n">
        <x:f>'밸런스 조정'!$C$40</x:f>
        <x:v>280</x:v>
      </x:c>
      <x:c r="H46" t="str">
        <x:v>3차선 한 묶음. 모든 차선에 공통 주기 적용.</x:v>
      </x:c>
      <x:c r="I46" t="n">
        <x:f>0</x:f>
        <x:v>0</x:v>
      </x:c>
      <x:c r="J46" t="n">
        <x:f>'밸런스 조정'!$C$42</x:f>
        <x:v>1.8</x:v>
      </x:c>
      <x:c r="K46" t="n">
        <x:f>'밸런스 조정'!$C$44</x:f>
        <x:v>6</x:v>
      </x:c>
      <x:c r="L46" t="n">
        <x:f>0</x:f>
        <x:v>0</x:v>
      </x:c>
    </x:row>
    <x:row r="47">
      <x:c r="B47" t="n">
        <x:v>45</x:v>
      </x:c>
      <x:c r="C47" t="str">
        <x:v>HighWay</x:v>
      </x:c>
      <x:c r="D47" t="str">
        <x:v>HWY_G18_Traffic</x:v>
      </x:c>
      <x:c r="E47" t="n">
        <x:v>1</x:v>
      </x:c>
      <x:c r="F47" t="str">
        <x:v>HighwayTraffic</x:v>
      </x:c>
      <x:c r="G47" t="n">
        <x:f>'밸런스 조정'!$C$39</x:f>
        <x:v>240</x:v>
      </x:c>
      <x:c r="H47" t="str">
        <x:v>예고와 진행 간격을 확보한 고속도로 장애물</x:v>
      </x:c>
      <x:c r="I47" t="n">
        <x:f>0</x:f>
        <x:v>0</x:v>
      </x:c>
      <x:c r="J47" t="n">
        <x:f>'밸런스 조정'!$C$42</x:f>
        <x:v>1.8</x:v>
      </x:c>
      <x:c r="K47" t="n">
        <x:f>'밸런스 조정'!$C$43</x:f>
        <x:v>4</x:v>
      </x:c>
      <x:c r="L47" t="n">
        <x:f>'밸런스 조정'!$C$45</x:f>
        <x:v>9</x:v>
      </x:c>
    </x:row>
    <x:row r="48">
      <x:c r="B48" t="n">
        <x:v>46</x:v>
      </x:c>
      <x:c r="C48" t="str">
        <x:v>HighWay</x:v>
      </x:c>
      <x:c r="D48" t="str">
        <x:v>HWY_G19_Traffic</x:v>
      </x:c>
      <x:c r="E48" t="n">
        <x:v>1</x:v>
      </x:c>
      <x:c r="F48" t="str">
        <x:v>HighwayTraffic</x:v>
      </x:c>
      <x:c r="G48" t="n">
        <x:f>'밸런스 조정'!$C$39</x:f>
        <x:v>240</x:v>
      </x:c>
      <x:c r="H48" t="str">
        <x:v>예고와 진행 간격을 확보한 고속도로 장애물</x:v>
      </x:c>
      <x:c r="I48" t="n">
        <x:f>0</x:f>
        <x:v>0</x:v>
      </x:c>
      <x:c r="J48" t="n">
        <x:f>'밸런스 조정'!$C$42</x:f>
        <x:v>1.8</x:v>
      </x:c>
      <x:c r="K48" t="n">
        <x:f>'밸런스 조정'!$C$43</x:f>
        <x:v>4</x:v>
      </x:c>
      <x:c r="L48" t="n">
        <x:f>'밸런스 조정'!$C$45</x:f>
        <x:v>9</x:v>
      </x:c>
    </x:row>
    <x:row r="49">
      <x:c r="B49" t="n">
        <x:v>47</x:v>
      </x:c>
      <x:c r="C49" t="str">
        <x:v>HighWay</x:v>
      </x:c>
      <x:c r="D49" t="str">
        <x:v>HWY_TollStation_3</x:v>
      </x:c>
      <x:c r="E49" t="n">
        <x:v>1</x:v>
      </x:c>
      <x:c r="F49" t="str">
        <x:v>HighwayToll</x:v>
      </x:c>
      <x:c r="G49" t="n">
        <x:f>'밸런스 조정'!$C$40</x:f>
        <x:v>280</x:v>
      </x:c>
      <x:c r="H49" t="str">
        <x:v>3차선 한 묶음. 모든 차선에 공통 주기 적용.</x:v>
      </x:c>
      <x:c r="I49" t="n">
        <x:f>0</x:f>
        <x:v>0</x:v>
      </x:c>
      <x:c r="J49" t="n">
        <x:f>'밸런스 조정'!$C$42</x:f>
        <x:v>1.8</x:v>
      </x:c>
      <x:c r="K49" t="n">
        <x:f>'밸런스 조정'!$C$44</x:f>
        <x:v>6</x:v>
      </x:c>
      <x:c r="L49" t="n">
        <x:f>0</x:f>
        <x:v>0</x:v>
      </x:c>
    </x:row>
    <x:row r="50">
      <x:c r="B50" t="n">
        <x:v>48</x:v>
      </x:c>
      <x:c r="C50" t="str">
        <x:v>HighWay</x:v>
      </x:c>
      <x:c r="D50" t="str">
        <x:v>HWY_G20_Traffic</x:v>
      </x:c>
      <x:c r="E50" t="n">
        <x:v>1</x:v>
      </x:c>
      <x:c r="F50" t="str">
        <x:v>HighwayTraffic</x:v>
      </x:c>
      <x:c r="G50" t="n">
        <x:f>'밸런스 조정'!$C$39</x:f>
        <x:v>240</x:v>
      </x:c>
      <x:c r="H50" t="str">
        <x:v>예고와 진행 간격을 확보한 고속도로 장애물</x:v>
      </x:c>
      <x:c r="I50" t="n">
        <x:f>0</x:f>
        <x:v>0</x:v>
      </x:c>
      <x:c r="J50" t="n">
        <x:f>'밸런스 조정'!$C$42</x:f>
        <x:v>1.8</x:v>
      </x:c>
      <x:c r="K50" t="n">
        <x:f>'밸런스 조정'!$C$43</x:f>
        <x:v>4</x:v>
      </x:c>
      <x:c r="L50" t="n">
        <x:f>'밸런스 조정'!$C$45</x:f>
        <x:v>9</x:v>
      </x:c>
    </x:row>
    <x:row r="51">
      <x:c r="B51" t="n">
        <x:v>49</x:v>
      </x:c>
      <x:c r="C51" t="str">
        <x:v>HighWay</x:v>
      </x:c>
      <x:c r="D51" t="str">
        <x:v>HWY_AddedRoadblock_1</x:v>
      </x:c>
      <x:c r="E51" t="n">
        <x:v>1</x:v>
      </x:c>
      <x:c r="F51" t="str">
        <x:v>HighwayRoadblock</x:v>
      </x:c>
      <x:c r="G51" t="n">
        <x:f>'밸런스 조정'!$C$38</x:f>
        <x:v>180</x:v>
      </x:c>
      <x:c r="H51" t="str">
        <x:v>예고와 진행 간격을 확보한 고속도로 장애물</x:v>
      </x:c>
      <x:c r="I51" t="n">
        <x:f>'밸런스 조정'!$C$41</x:f>
        <x:v>240</x:v>
      </x:c>
      <x:c r="J51" t="n">
        <x:f>'밸런스 조정'!$C$42</x:f>
        <x:v>1.8</x:v>
      </x:c>
      <x:c r="K51" t="n">
        <x:f>'밸런스 조정'!$C$43</x:f>
        <x:v>4</x:v>
      </x:c>
      <x:c r="L51" t="n">
        <x:f>0</x:f>
        <x:v>0</x:v>
      </x:c>
    </x:row>
    <x:row r="52">
      <x:c r="B52" t="n">
        <x:v>50</x:v>
      </x:c>
      <x:c r="C52" t="str">
        <x:v>HighWay</x:v>
      </x:c>
      <x:c r="D52" t="str">
        <x:v>HWY_AddedRoadblock_2</x:v>
      </x:c>
      <x:c r="E52" t="n">
        <x:v>1</x:v>
      </x:c>
      <x:c r="F52" t="str">
        <x:v>HighwayRoadblock</x:v>
      </x:c>
      <x:c r="G52" t="n">
        <x:f>'밸런스 조정'!$C$38</x:f>
        <x:v>180</x:v>
      </x:c>
      <x:c r="H52" t="str">
        <x:v>예고와 진행 간격을 확보한 고속도로 장애물</x:v>
      </x:c>
      <x:c r="I52" t="n">
        <x:f>'밸런스 조정'!$C$41</x:f>
        <x:v>240</x:v>
      </x:c>
      <x:c r="J52" t="n">
        <x:f>'밸런스 조정'!$C$42</x:f>
        <x:v>1.8</x:v>
      </x:c>
      <x:c r="K52" t="n">
        <x:f>'밸런스 조정'!$C$43</x:f>
        <x:v>4</x:v>
      </x:c>
      <x:c r="L52" t="n">
        <x:f>0</x:f>
        <x:v>0</x:v>
      </x:c>
    </x:row>
    <x:row r="53">
      <x:c r="B53" t="n">
        <x:v>51</x:v>
      </x:c>
      <x:c r="C53" t="str">
        <x:v>RestStop</x:v>
      </x:c>
      <x:c r="D53" t="str">
        <x:v>RST_G01</x:v>
      </x:c>
      <x:c r="E53" t="n">
        <x:v>1</x:v>
      </x:c>
      <x:c r="F53" t="str">
        <x:v>HighwayRoadblock</x:v>
      </x:c>
      <x:c r="G53" t="n">
        <x:f>'밸런스 조정'!$C$80</x:f>
        <x:v>500</x:v>
      </x:c>
      <x:c r="H53" t="str">
        <x:v>정비용 안전 바리케이드</x:v>
      </x:c>
      <x:c r="I53" t="n">
        <x:f>'밸런스 조정'!$C$83</x:f>
        <x:v>1250</x:v>
      </x:c>
      <x:c r="J53" t="n">
        <x:v>0</x:v>
      </x:c>
      <x:c r="K53" t="n">
        <x:v>0</x:v>
      </x:c>
      <x:c r="L53" t="n">
        <x:v>0</x:v>
      </x:c>
    </x:row>
    <x:row r="54">
      <x:c r="B54" t="n">
        <x:v>52</x:v>
      </x:c>
      <x:c r="C54" t="str">
        <x:v>RestStop</x:v>
      </x:c>
      <x:c r="D54" t="str">
        <x:v>RST_G02</x:v>
      </x:c>
      <x:c r="E54" t="n">
        <x:v>1</x:v>
      </x:c>
      <x:c r="F54" t="str">
        <x:v>HighwayTraffic</x:v>
      </x:c>
      <x:c r="G54" t="n">
        <x:f>'밸런스 조정'!$C$81</x:f>
        <x:v>650</x:v>
      </x:c>
      <x:c r="H54" t="str">
        <x:v>주차장에서 나오는 차량</x:v>
      </x:c>
      <x:c r="I54" t="n">
        <x:v>0</x:v>
      </x:c>
      <x:c r="J54" t="n">
        <x:f>'밸런스 조정'!$C$84</x:f>
        <x:v>2</x:v>
      </x:c>
      <x:c r="K54" t="n">
        <x:f>'밸런스 조정'!$C$85</x:f>
        <x:v>5.5</x:v>
      </x:c>
      <x:c r="L54" t="n">
        <x:f>'밸런스 조정'!$C$87</x:f>
        <x:v>9</x:v>
      </x:c>
    </x:row>
    <x:row r="55">
      <x:c r="B55" t="n">
        <x:v>53</x:v>
      </x:c>
      <x:c r="C55" t="str">
        <x:v>RestStop</x:v>
      </x:c>
      <x:c r="D55" t="str">
        <x:v>RST_G03</x:v>
      </x:c>
      <x:c r="E55" t="n">
        <x:v>1</x:v>
      </x:c>
      <x:c r="F55" t="str">
        <x:v>HighwayRoadblock</x:v>
      </x:c>
      <x:c r="G55" t="n">
        <x:f>'밸런스 조정'!$C$80</x:f>
        <x:v>500</x:v>
      </x:c>
      <x:c r="H55" t="str">
        <x:v>정비용 안전 바리케이드</x:v>
      </x:c>
      <x:c r="I55" t="n">
        <x:f>'밸런스 조정'!$C$83</x:f>
        <x:v>1250</x:v>
      </x:c>
      <x:c r="J55" t="n">
        <x:v>0</x:v>
      </x:c>
      <x:c r="K55" t="n">
        <x:v>0</x:v>
      </x:c>
      <x:c r="L55" t="n">
        <x:v>0</x:v>
      </x:c>
    </x:row>
    <x:row r="56">
      <x:c r="B56" t="n">
        <x:v>54</x:v>
      </x:c>
      <x:c r="C56" t="str">
        <x:v>RestStop</x:v>
      </x:c>
      <x:c r="D56" t="str">
        <x:v>RST_G04</x:v>
      </x:c>
      <x:c r="E56" t="n">
        <x:v>1</x:v>
      </x:c>
      <x:c r="F56" t="str">
        <x:v>HighwayToll</x:v>
      </x:c>
      <x:c r="G56" t="n">
        <x:f>'밸런스 조정'!$C$82</x:f>
        <x:v>750</x:v>
      </x:c>
      <x:c r="H56" t="str">
        <x:v>주차장 차단기</x:v>
      </x:c>
      <x:c r="I56" t="n">
        <x:v>0</x:v>
      </x:c>
      <x:c r="J56" t="n">
        <x:v>0</x:v>
      </x:c>
      <x:c r="K56" t="n">
        <x:f>'밸런스 조정'!$C$86</x:f>
        <x:v>7</x:v>
      </x:c>
      <x:c r="L56" t="n">
        <x:v>0</x:v>
      </x:c>
    </x:row>
    <x:row r="57">
      <x:c r="B57" t="n">
        <x:v>55</x:v>
      </x:c>
      <x:c r="C57" t="str">
        <x:v>RestStop</x:v>
      </x:c>
      <x:c r="D57" t="str">
        <x:v>RST_G05</x:v>
      </x:c>
      <x:c r="E57" t="n">
        <x:v>1</x:v>
      </x:c>
      <x:c r="F57" t="str">
        <x:v>HighwayTraffic</x:v>
      </x:c>
      <x:c r="G57" t="n">
        <x:f>'밸런스 조정'!$C$81</x:f>
        <x:v>650</x:v>
      </x:c>
      <x:c r="H57" t="str">
        <x:v>주차장에서 나오는 차량</x:v>
      </x:c>
      <x:c r="I57" t="n">
        <x:v>0</x:v>
      </x:c>
      <x:c r="J57" t="n">
        <x:f>'밸런스 조정'!$C$84</x:f>
        <x:v>2</x:v>
      </x:c>
      <x:c r="K57" t="n">
        <x:f>'밸런스 조정'!$C$85</x:f>
        <x:v>5.5</x:v>
      </x:c>
      <x:c r="L57" t="n">
        <x:f>'밸런스 조정'!$C$87</x:f>
        <x:v>9</x:v>
      </x:c>
    </x:row>
    <x:row r="58">
      <x:c r="B58" t="n">
        <x:v>56</x:v>
      </x:c>
      <x:c r="C58" t="str">
        <x:v>RestStop</x:v>
      </x:c>
      <x:c r="D58" t="str">
        <x:v>RST_G06</x:v>
      </x:c>
      <x:c r="E58" t="n">
        <x:v>1</x:v>
      </x:c>
      <x:c r="F58" t="str">
        <x:v>HighwayRoadblock</x:v>
      </x:c>
      <x:c r="G58" t="n">
        <x:f>'밸런스 조정'!$C$80</x:f>
        <x:v>500</x:v>
      </x:c>
      <x:c r="H58" t="str">
        <x:v>정비용 안전 바리케이드</x:v>
      </x:c>
      <x:c r="I58" t="n">
        <x:f>'밸런스 조정'!$C$83</x:f>
        <x:v>1250</x:v>
      </x:c>
      <x:c r="J58" t="n">
        <x:v>0</x:v>
      </x:c>
      <x:c r="K58" t="n">
        <x:v>0</x:v>
      </x:c>
      <x:c r="L58" t="n">
        <x:v>0</x:v>
      </x:c>
    </x:row>
    <x:row r="59">
      <x:c r="B59" t="n">
        <x:v>57</x:v>
      </x:c>
      <x:c r="C59" t="str">
        <x:v>RestStop</x:v>
      </x:c>
      <x:c r="D59" t="str">
        <x:v>RST_G07</x:v>
      </x:c>
      <x:c r="E59" t="n">
        <x:v>1</x:v>
      </x:c>
      <x:c r="F59" t="str">
        <x:v>HighwayTraffic</x:v>
      </x:c>
      <x:c r="G59" t="n">
        <x:f>'밸런스 조정'!$C$81</x:f>
        <x:v>650</x:v>
      </x:c>
      <x:c r="H59" t="str">
        <x:v>주차장에서 나오는 차량</x:v>
      </x:c>
      <x:c r="I59" t="n">
        <x:v>0</x:v>
      </x:c>
      <x:c r="J59" t="n">
        <x:f>'밸런스 조정'!$C$84</x:f>
        <x:v>2</x:v>
      </x:c>
      <x:c r="K59" t="n">
        <x:f>'밸런스 조정'!$C$85</x:f>
        <x:v>5.5</x:v>
      </x:c>
      <x:c r="L59" t="n">
        <x:f>'밸런스 조정'!$C$87</x:f>
        <x:v>9</x:v>
      </x:c>
    </x:row>
    <x:row r="60">
      <x:c r="B60" t="n">
        <x:v>58</x:v>
      </x:c>
      <x:c r="C60" t="str">
        <x:v>RestStop</x:v>
      </x:c>
      <x:c r="D60" t="str">
        <x:v>RST_G08</x:v>
      </x:c>
      <x:c r="E60" t="n">
        <x:v>1</x:v>
      </x:c>
      <x:c r="F60" t="str">
        <x:v>HighwayRoadblock</x:v>
      </x:c>
      <x:c r="G60" t="n">
        <x:f>'밸런스 조정'!$C$80</x:f>
        <x:v>500</x:v>
      </x:c>
      <x:c r="H60" t="str">
        <x:v>정비용 안전 바리케이드</x:v>
      </x:c>
      <x:c r="I60" t="n">
        <x:f>'밸런스 조정'!$C$83</x:f>
        <x:v>1250</x:v>
      </x:c>
      <x:c r="J60" t="n">
        <x:v>0</x:v>
      </x:c>
      <x:c r="K60" t="n">
        <x:v>0</x:v>
      </x:c>
      <x:c r="L60" t="n">
        <x:v>0</x:v>
      </x:c>
    </x:row>
    <x:row r="61">
      <x:c r="B61" t="n">
        <x:v>59</x:v>
      </x:c>
      <x:c r="C61" t="str">
        <x:v>RestStop</x:v>
      </x:c>
      <x:c r="D61" t="str">
        <x:v>RST_G09</x:v>
      </x:c>
      <x:c r="E61" t="n">
        <x:v>1</x:v>
      </x:c>
      <x:c r="F61" t="str">
        <x:v>HighwayToll</x:v>
      </x:c>
      <x:c r="G61" t="n">
        <x:f>'밸런스 조정'!$C$82</x:f>
        <x:v>750</x:v>
      </x:c>
      <x:c r="H61" t="str">
        <x:v>주차장 차단기</x:v>
      </x:c>
      <x:c r="I61" t="n">
        <x:v>0</x:v>
      </x:c>
      <x:c r="J61" t="n">
        <x:v>0</x:v>
      </x:c>
      <x:c r="K61" t="n">
        <x:f>'밸런스 조정'!$C$86</x:f>
        <x:v>7</x:v>
      </x:c>
      <x:c r="L61" t="n">
        <x:v>0</x:v>
      </x:c>
    </x:row>
    <x:row r="62">
      <x:c r="B62" t="n">
        <x:v>60</x:v>
      </x:c>
      <x:c r="C62" t="str">
        <x:v>RestStop</x:v>
      </x:c>
      <x:c r="D62" t="str">
        <x:v>RST_G10</x:v>
      </x:c>
      <x:c r="E62" t="n">
        <x:v>1</x:v>
      </x:c>
      <x:c r="F62" t="str">
        <x:v>HighwayTraffic</x:v>
      </x:c>
      <x:c r="G62" t="n">
        <x:f>'밸런스 조정'!$C$81</x:f>
        <x:v>650</x:v>
      </x:c>
      <x:c r="H62" t="str">
        <x:v>주차장에서 나오는 차량</x:v>
      </x:c>
      <x:c r="I62" t="n">
        <x:v>0</x:v>
      </x:c>
      <x:c r="J62" t="n">
        <x:f>'밸런스 조정'!$C$84</x:f>
        <x:v>2</x:v>
      </x:c>
      <x:c r="K62" t="n">
        <x:f>'밸런스 조정'!$C$85</x:f>
        <x:v>5.5</x:v>
      </x:c>
      <x:c r="L62" t="n">
        <x:f>'밸런스 조정'!$C$87</x:f>
        <x:v>9</x:v>
      </x:c>
    </x:row>
    <x:row r="63">
      <x:c r="B63" t="n">
        <x:v>61</x:v>
      </x:c>
      <x:c r="C63" t="str">
        <x:v>RestStop</x:v>
      </x:c>
      <x:c r="D63" t="str">
        <x:v>RST_G11</x:v>
      </x:c>
      <x:c r="E63" t="n">
        <x:v>0</x:v>
      </x:c>
      <x:c r="F63" t="str">
        <x:v>HighwayRoadblock</x:v>
      </x:c>
      <x:c r="G63" t="n">
        <x:f>'밸런스 조정'!$C$80</x:f>
        <x:v>500</x:v>
      </x:c>
      <x:c r="H63" t="str">
        <x:v>정비용 안전 바리케이드</x:v>
      </x:c>
      <x:c r="I63" t="n">
        <x:f>'밸런스 조정'!$C$83</x:f>
        <x:v>1250</x:v>
      </x:c>
      <x:c r="J63" t="n">
        <x:v>0</x:v>
      </x:c>
      <x:c r="K63" t="n">
        <x:v>0</x:v>
      </x:c>
      <x:c r="L63" t="n">
        <x:v>0</x:v>
      </x:c>
    </x:row>
    <x:row r="64">
      <x:c r="B64" t="n">
        <x:v>62</x:v>
      </x:c>
      <x:c r="C64" t="str">
        <x:v>RestStop</x:v>
      </x:c>
      <x:c r="D64" t="str">
        <x:v>RST_G12</x:v>
      </x:c>
      <x:c r="E64" t="n">
        <x:v>0</x:v>
      </x:c>
      <x:c r="F64" t="str">
        <x:v>HighwayTraffic</x:v>
      </x:c>
      <x:c r="G64" t="n">
        <x:f>'밸런스 조정'!$C$81</x:f>
        <x:v>650</x:v>
      </x:c>
      <x:c r="H64" t="str">
        <x:v>주차장에서 나오는 차량</x:v>
      </x:c>
      <x:c r="I64" t="n">
        <x:v>0</x:v>
      </x:c>
      <x:c r="J64" t="n">
        <x:f>'밸런스 조정'!$C$84</x:f>
        <x:v>2</x:v>
      </x:c>
      <x:c r="K64" t="n">
        <x:f>'밸런스 조정'!$C$85</x:f>
        <x:v>5.5</x:v>
      </x:c>
      <x:c r="L64" t="n">
        <x:f>'밸런스 조정'!$C$87</x:f>
        <x:v>9</x:v>
      </x:c>
    </x:row>
    <x:row r="65">
      <x:c r="B65" t="n">
        <x:v>63</x:v>
      </x:c>
      <x:c r="C65" t="str">
        <x:v>RestStop</x:v>
      </x:c>
      <x:c r="D65" t="str">
        <x:v>RST_G13</x:v>
      </x:c>
      <x:c r="E65" t="n">
        <x:v>1</x:v>
      </x:c>
      <x:c r="F65" t="str">
        <x:v>HighwayRoadblock</x:v>
      </x:c>
      <x:c r="G65" t="n">
        <x:f>'밸런스 조정'!$C$80</x:f>
        <x:v>500</x:v>
      </x:c>
      <x:c r="H65" t="str">
        <x:v>정비용 안전 바리케이드</x:v>
      </x:c>
      <x:c r="I65" t="n">
        <x:f>'밸런스 조정'!$C$83</x:f>
        <x:v>1250</x:v>
      </x:c>
      <x:c r="J65" t="n">
        <x:v>0</x:v>
      </x:c>
      <x:c r="K65" t="n">
        <x:v>0</x:v>
      </x:c>
      <x:c r="L65" t="n">
        <x:v>0</x:v>
      </x:c>
    </x:row>
    <x:row r="66">
      <x:c r="B66" t="n">
        <x:v>64</x:v>
      </x:c>
      <x:c r="C66" t="str">
        <x:v>RestStop</x:v>
      </x:c>
      <x:c r="D66" t="str">
        <x:v>RST_G14</x:v>
      </x:c>
      <x:c r="E66" t="n">
        <x:v>1</x:v>
      </x:c>
      <x:c r="F66" t="str">
        <x:v>HighwayToll</x:v>
      </x:c>
      <x:c r="G66" t="n">
        <x:f>'밸런스 조정'!$C$82</x:f>
        <x:v>750</x:v>
      </x:c>
      <x:c r="H66" t="str">
        <x:v>주차장 차단기</x:v>
      </x:c>
      <x:c r="I66" t="n">
        <x:v>0</x:v>
      </x:c>
      <x:c r="J66" t="n">
        <x:v>0</x:v>
      </x:c>
      <x:c r="K66" t="n">
        <x:f>'밸런스 조정'!$C$86</x:f>
        <x:v>7</x:v>
      </x:c>
      <x:c r="L66" t="n">
        <x:v>0</x:v>
      </x:c>
    </x:row>
    <x:row r="67">
      <x:c r="B67" t="n">
        <x:v>65</x:v>
      </x:c>
      <x:c r="C67" t="str">
        <x:v>RestStop</x:v>
      </x:c>
      <x:c r="D67" t="str">
        <x:v>RST_G15</x:v>
      </x:c>
      <x:c r="E67" t="n">
        <x:v>1</x:v>
      </x:c>
      <x:c r="F67" t="str">
        <x:v>HighwayTraffic</x:v>
      </x:c>
      <x:c r="G67" t="n">
        <x:f>'밸런스 조정'!$C$81</x:f>
        <x:v>650</x:v>
      </x:c>
      <x:c r="H67" t="str">
        <x:v>주차장에서 나오는 차량</x:v>
      </x:c>
      <x:c r="I67" t="n">
        <x:v>0</x:v>
      </x:c>
      <x:c r="J67" t="n">
        <x:f>'밸런스 조정'!$C$84</x:f>
        <x:v>2</x:v>
      </x:c>
      <x:c r="K67" t="n">
        <x:f>'밸런스 조정'!$C$85</x:f>
        <x:v>5.5</x:v>
      </x:c>
      <x:c r="L67" t="n">
        <x:f>'밸런스 조정'!$C$87</x:f>
        <x:v>9</x:v>
      </x:c>
    </x:row>
    <x:row r="68">
      <x:c r="B68" t="n">
        <x:v>66</x:v>
      </x:c>
      <x:c r="C68" t="str">
        <x:v>RestStop</x:v>
      </x:c>
      <x:c r="D68" t="str">
        <x:v>RST_G16</x:v>
      </x:c>
      <x:c r="E68" t="n">
        <x:v>1</x:v>
      </x:c>
      <x:c r="F68" t="str">
        <x:v>HighwayRoadblock</x:v>
      </x:c>
      <x:c r="G68" t="n">
        <x:f>'밸런스 조정'!$C$80</x:f>
        <x:v>500</x:v>
      </x:c>
      <x:c r="H68" t="str">
        <x:v>정비용 안전 바리케이드</x:v>
      </x:c>
      <x:c r="I68" t="n">
        <x:f>'밸런스 조정'!$C$83</x:f>
        <x:v>1250</x:v>
      </x:c>
      <x:c r="J68" t="n">
        <x:v>0</x:v>
      </x:c>
      <x:c r="K68" t="n">
        <x:v>0</x:v>
      </x:c>
      <x:c r="L68" t="n">
        <x:v>0</x:v>
      </x:c>
    </x:row>
    <x:row r="69">
      <x:c r="B69" t="n">
        <x:v>67</x:v>
      </x:c>
      <x:c r="C69" t="str">
        <x:v>RestStop</x:v>
      </x:c>
      <x:c r="D69" t="str">
        <x:v>RST_G17</x:v>
      </x:c>
      <x:c r="E69" t="n">
        <x:v>1</x:v>
      </x:c>
      <x:c r="F69" t="str">
        <x:v>HighwayTraffic</x:v>
      </x:c>
      <x:c r="G69" t="n">
        <x:f>'밸런스 조정'!$C$81</x:f>
        <x:v>650</x:v>
      </x:c>
      <x:c r="H69" t="str">
        <x:v>주차장에서 나오는 차량</x:v>
      </x:c>
      <x:c r="I69" t="n">
        <x:v>0</x:v>
      </x:c>
      <x:c r="J69" t="n">
        <x:f>'밸런스 조정'!$C$84</x:f>
        <x:v>2</x:v>
      </x:c>
      <x:c r="K69" t="n">
        <x:f>'밸런스 조정'!$C$85</x:f>
        <x:v>5.5</x:v>
      </x:c>
      <x:c r="L69" t="n">
        <x:f>'밸런스 조정'!$C$87</x:f>
        <x:v>9</x:v>
      </x:c>
    </x:row>
    <x:row r="70">
      <x:c r="B70" t="n">
        <x:v>68</x:v>
      </x:c>
      <x:c r="C70" t="str">
        <x:v>RestStop</x:v>
      </x:c>
      <x:c r="D70" t="str">
        <x:v>RST_G18</x:v>
      </x:c>
      <x:c r="E70" t="n">
        <x:v>1</x:v>
      </x:c>
      <x:c r="F70" t="str">
        <x:v>HighwayRoadblock</x:v>
      </x:c>
      <x:c r="G70" t="n">
        <x:f>'밸런스 조정'!$C$80</x:f>
        <x:v>500</x:v>
      </x:c>
      <x:c r="H70" t="str">
        <x:v>정비용 안전 바리케이드</x:v>
      </x:c>
      <x:c r="I70" t="n">
        <x:f>'밸런스 조정'!$C$83</x:f>
        <x:v>1250</x:v>
      </x:c>
      <x:c r="J70" t="n">
        <x:v>0</x:v>
      </x:c>
      <x:c r="K70" t="n">
        <x:v>0</x:v>
      </x:c>
      <x:c r="L70" t="n">
        <x:v>0</x:v>
      </x:c>
    </x:row>
    <x:row r="71">
      <x:c r="B71" t="n">
        <x:v>69</x:v>
      </x:c>
      <x:c r="C71" t="str">
        <x:v>RestStop</x:v>
      </x:c>
      <x:c r="D71" t="str">
        <x:v>RST_G19</x:v>
      </x:c>
      <x:c r="E71" t="n">
        <x:v>1</x:v>
      </x:c>
      <x:c r="F71" t="str">
        <x:v>HighwayToll</x:v>
      </x:c>
      <x:c r="G71" t="n">
        <x:f>'밸런스 조정'!$C$82</x:f>
        <x:v>750</x:v>
      </x:c>
      <x:c r="H71" t="str">
        <x:v>주차장 차단기</x:v>
      </x:c>
      <x:c r="I71" t="n">
        <x:v>0</x:v>
      </x:c>
      <x:c r="J71" t="n">
        <x:v>0</x:v>
      </x:c>
      <x:c r="K71" t="n">
        <x:f>'밸런스 조정'!$C$86</x:f>
        <x:v>7</x:v>
      </x:c>
      <x:c r="L71" t="n">
        <x:v>0</x:v>
      </x:c>
    </x:row>
    <x:row r="72">
      <x:c r="B72" t="n">
        <x:v>70</x:v>
      </x:c>
      <x:c r="C72" t="str">
        <x:v>RestStop</x:v>
      </x:c>
      <x:c r="D72" t="str">
        <x:v>RST_G20</x:v>
      </x:c>
      <x:c r="E72" t="n">
        <x:v>1</x:v>
      </x:c>
      <x:c r="F72" t="str">
        <x:v>HighwayTraffic</x:v>
      </x:c>
      <x:c r="G72" t="n">
        <x:f>'밸런스 조정'!$C$81</x:f>
        <x:v>650</x:v>
      </x:c>
      <x:c r="H72" t="str">
        <x:v>주차장에서 나오는 차량</x:v>
      </x:c>
      <x:c r="I72" t="n">
        <x:v>0</x:v>
      </x:c>
      <x:c r="J72" t="n">
        <x:f>'밸런스 조정'!$C$84</x:f>
        <x:v>2</x:v>
      </x:c>
      <x:c r="K72" t="n">
        <x:f>'밸런스 조정'!$C$85</x:f>
        <x:v>5.5</x:v>
      </x:c>
      <x:c r="L72" t="n">
        <x:f>'밸런스 조정'!$C$87</x:f>
        <x:v>9</x:v>
      </x:c>
    </x:row>
    <x:row r="73">
      <x:c r="B73" t="n">
        <x:v>71</x:v>
      </x:c>
      <x:c r="C73" t="str">
        <x:v>RestStop</x:v>
      </x:c>
      <x:c r="D73" t="str">
        <x:v>RST_G21</x:v>
      </x:c>
      <x:c r="E73" t="n">
        <x:v>1</x:v>
      </x:c>
      <x:c r="F73" t="str">
        <x:v>HighwayRoadblock</x:v>
      </x:c>
      <x:c r="G73" t="n">
        <x:f>'밸런스 조정'!$C$80</x:f>
        <x:v>500</x:v>
      </x:c>
      <x:c r="H73" t="str">
        <x:v>정비용 안전 바리케이드</x:v>
      </x:c>
      <x:c r="I73" t="n">
        <x:f>'밸런스 조정'!$C$83</x:f>
        <x:v>1250</x:v>
      </x:c>
      <x:c r="J73" t="n">
        <x:v>0</x:v>
      </x:c>
      <x:c r="K73" t="n">
        <x:v>0</x:v>
      </x:c>
      <x:c r="L73" t="n">
        <x:v>0</x:v>
      </x:c>
    </x:row>
    <x:row r="74">
      <x:c r="B74" t="n">
        <x:v>72</x:v>
      </x:c>
      <x:c r="C74" t="str">
        <x:v>RestStop</x:v>
      </x:c>
      <x:c r="D74" t="str">
        <x:v>RST_G22</x:v>
      </x:c>
      <x:c r="E74" t="n">
        <x:v>1</x:v>
      </x:c>
      <x:c r="F74" t="str">
        <x:v>HighwayTraffic</x:v>
      </x:c>
      <x:c r="G74" t="n">
        <x:f>'밸런스 조정'!$C$81</x:f>
        <x:v>650</x:v>
      </x:c>
      <x:c r="H74" t="str">
        <x:v>주차장에서 나오는 차량</x:v>
      </x:c>
      <x:c r="I74" t="n">
        <x:v>0</x:v>
      </x:c>
      <x:c r="J74" t="n">
        <x:f>'밸런스 조정'!$C$84</x:f>
        <x:v>2</x:v>
      </x:c>
      <x:c r="K74" t="n">
        <x:f>'밸런스 조정'!$C$85</x:f>
        <x:v>5.5</x:v>
      </x:c>
      <x:c r="L74" t="n">
        <x:f>'밸런스 조정'!$C$87</x:f>
        <x:v>9</x:v>
      </x:c>
    </x:row>
    <x:row r="75">
      <x:c r="B75" t="n">
        <x:v>73</x:v>
      </x:c>
      <x:c r="C75" t="str">
        <x:v>RestStop</x:v>
      </x:c>
      <x:c r="D75" t="str">
        <x:v>RST_G23</x:v>
      </x:c>
      <x:c r="E75" t="n">
        <x:v>1</x:v>
      </x:c>
      <x:c r="F75" t="str">
        <x:v>HighwayRoadblock</x:v>
      </x:c>
      <x:c r="G75" t="n">
        <x:f>'밸런스 조정'!$C$80</x:f>
        <x:v>500</x:v>
      </x:c>
      <x:c r="H75" t="str">
        <x:v>정비용 안전 바리케이드</x:v>
      </x:c>
      <x:c r="I75" t="n">
        <x:f>'밸런스 조정'!$C$83</x:f>
        <x:v>1250</x:v>
      </x:c>
      <x:c r="J75" t="n">
        <x:v>0</x:v>
      </x:c>
      <x:c r="K75" t="n">
        <x:v>0</x:v>
      </x:c>
      <x:c r="L75" t="n">
        <x:v>0</x:v>
      </x:c>
    </x:row>
    <x:row r="76">
      <x:c r="B76" t="n">
        <x:v>74</x:v>
      </x:c>
      <x:c r="C76" t="str">
        <x:v>RestStop</x:v>
      </x:c>
      <x:c r="D76" t="str">
        <x:v>RST_G24</x:v>
      </x:c>
      <x:c r="E76" t="n">
        <x:v>1</x:v>
      </x:c>
      <x:c r="F76" t="str">
        <x:v>HighwayToll</x:v>
      </x:c>
      <x:c r="G76" t="n">
        <x:f>'밸런스 조정'!$C$82</x:f>
        <x:v>750</x:v>
      </x:c>
      <x:c r="H76" t="str">
        <x:v>주차장 차단기</x:v>
      </x:c>
      <x:c r="I76" t="n">
        <x:v>0</x:v>
      </x:c>
      <x:c r="J76" t="n">
        <x:v>0</x:v>
      </x:c>
      <x:c r="K76" t="n">
        <x:f>'밸런스 조정'!$C$86</x:f>
        <x:v>7</x:v>
      </x:c>
      <x:c r="L76" t="n">
        <x:v>0</x:v>
      </x:c>
    </x:row>
    <x:row r="77">
      <x:c r="B77" t="n">
        <x:v>75</x:v>
      </x:c>
      <x:c r="C77" t="str">
        <x:v>RestStop</x:v>
      </x:c>
      <x:c r="D77" t="str">
        <x:v>RST_G25</x:v>
      </x:c>
      <x:c r="E77" t="n">
        <x:v>1</x:v>
      </x:c>
      <x:c r="F77" t="str">
        <x:v>HighwayTraffic</x:v>
      </x:c>
      <x:c r="G77" t="n">
        <x:f>'밸런스 조정'!$C$81</x:f>
        <x:v>650</x:v>
      </x:c>
      <x:c r="H77" t="str">
        <x:v>주차장에서 나오는 차량</x:v>
      </x:c>
      <x:c r="I77" t="n">
        <x:v>0</x:v>
      </x:c>
      <x:c r="J77" t="n">
        <x:f>'밸런스 조정'!$C$84</x:f>
        <x:v>2</x:v>
      </x:c>
      <x:c r="K77" t="n">
        <x:f>'밸런스 조정'!$C$85</x:f>
        <x:v>5.5</x:v>
      </x:c>
      <x:c r="L77" t="n">
        <x:f>'밸런스 조정'!$C$87</x:f>
        <x:v>9</x:v>
      </x:c>
    </x:row>
  </x:sheetData>
  <x:dataValidations count="1">
    <x:dataValidation type="list" sqref="E3:E26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6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8" hidden="0" customWidth="1"/>
  </x:cols>
  <x:sheetData>
    <x:row r="1" ht="27" customHeight="1">
      <x:c r="B1" s="36" t="str">
        <x:v>노량진 성장과 구매 비용</x:v>
      </x:c>
      <x:c r="C1" s="36"/>
      <x:c r="D1" s="36"/>
      <x:c r="E1" s="36"/>
      <x:c r="F1" s="36"/>
      <x:c r="G1" s="36"/>
      <x:c r="H1" s="36"/>
      <x:c r="I1" s="36"/>
    </x:row>
    <x:row r="2" ht="30" customHeight="1">
      <x:c r="B2" s="27" t="str">
        <x:v>항목</x:v>
      </x:c>
      <x:c r="C2" s="27" t="str">
        <x:v>기본값</x:v>
      </x:c>
      <x:c r="D2" s="27" t="str">
        <x:v>레벨당 증가</x:v>
      </x:c>
      <x:c r="E2" s="27" t="str">
        <x:v>첫 가격</x:v>
      </x:c>
      <x:c r="F2" s="27" t="str">
        <x:v>가격 증가</x:v>
      </x:c>
      <x:c r="G2" s="27" t="str">
        <x:v>수치 타입</x:v>
      </x:c>
      <x:c r="H2" s="27" t="str">
        <x:v>가격 타입</x:v>
      </x:c>
    </x:row>
    <x:row r="3" ht="27" customHeight="1">
      <x:c r="B3" s="28" t="str">
        <x:v>ATT</x:v>
      </x:c>
      <x:c r="C3" s="29" t="n">
        <x:v>0</x:v>
      </x:c>
      <x:c r="D3" s="29" t="n">
        <x:v>4</x:v>
      </x:c>
      <x:c r="E3" s="29" t="n">
        <x:v>10</x:v>
      </x:c>
      <x:c r="F3" s="29" t="n">
        <x:v>5</x:v>
      </x:c>
      <x:c r="G3" s="28" t="str">
        <x:v>value</x:v>
      </x:c>
      <x:c r="H3" s="28" t="str">
        <x:v>Coin</x:v>
      </x:c>
    </x:row>
    <x:row r="4" ht="27" customHeight="1">
      <x:c r="B4" s="28" t="str">
        <x:v>HP</x:v>
      </x:c>
      <x:c r="C4" s="29" t="n">
        <x:v>0</x:v>
      </x:c>
      <x:c r="D4" s="29" t="n">
        <x:v>20</x:v>
      </x:c>
      <x:c r="E4" s="29" t="n">
        <x:v>10</x:v>
      </x:c>
      <x:c r="F4" s="29" t="n">
        <x:v>5</x:v>
      </x:c>
      <x:c r="G4" s="28" t="str">
        <x:v>value</x:v>
      </x:c>
      <x:c r="H4" s="28" t="str">
        <x:v>Coin</x:v>
      </x:c>
    </x:row>
    <x:row r="5" ht="27" customHeight="1">
      <x:c r="B5" s="28" t="str">
        <x:v>ATT_SPEED</x:v>
      </x:c>
      <x:c r="C5" s="29" t="n">
        <x:v>0</x:v>
      </x:c>
      <x:c r="D5" s="29" t="n">
        <x:v>5</x:v>
      </x:c>
      <x:c r="E5" s="29" t="n">
        <x:v>45</x:v>
      </x:c>
      <x:c r="F5" s="29" t="n">
        <x:v>20</x:v>
      </x:c>
      <x:c r="G5" s="28" t="str">
        <x:v>percent</x:v>
      </x:c>
      <x:c r="H5" s="28" t="str">
        <x:v>Coin</x:v>
      </x:c>
    </x:row>
    <x:row r="6" ht="27" customHeight="1">
      <x:c r="B6" s="28" t="str">
        <x:v>PROJECTILE_SPEED</x:v>
      </x:c>
      <x:c r="C6" s="29" t="n">
        <x:v>0</x:v>
      </x:c>
      <x:c r="D6" s="29" t="n">
        <x:v>4</x:v>
      </x:c>
      <x:c r="E6" s="29" t="n">
        <x:v>40</x:v>
      </x:c>
      <x:c r="F6" s="29" t="n">
        <x:v>16</x:v>
      </x:c>
      <x:c r="G6" s="28" t="str">
        <x:v>percent</x:v>
      </x:c>
      <x:c r="H6" s="28" t="str">
        <x:v>Coin</x:v>
      </x:c>
    </x:row>
    <x:row r="7" ht="27" customHeight="1">
      <x:c r="B7" s="28" t="str">
        <x:v>BOSS_DAMAGE</x:v>
      </x:c>
      <x:c r="C7" s="29" t="n">
        <x:v>0</x:v>
      </x:c>
      <x:c r="D7" s="29" t="n">
        <x:v>8</x:v>
      </x:c>
      <x:c r="E7" s="29" t="n">
        <x:v>60</x:v>
      </x:c>
      <x:c r="F7" s="29" t="n">
        <x:v>25</x:v>
      </x:c>
      <x:c r="G7" s="28" t="str">
        <x:v>percent</x:v>
      </x:c>
      <x:c r="H7" s="28" t="str">
        <x:v>Coin</x:v>
      </x:c>
    </x:row>
    <x:row r="8" ht="27" customHeight="1">
      <x:c r="B8" s="28" t="str">
        <x:v>COIN_BONUS</x:v>
      </x:c>
      <x:c r="C8" s="29" t="n">
        <x:v>0</x:v>
      </x:c>
      <x:c r="D8" s="29" t="n">
        <x:v>8</x:v>
      </x:c>
      <x:c r="E8" s="29" t="n">
        <x:v>70</x:v>
      </x:c>
      <x:c r="F8" s="29" t="n">
        <x:v>35</x:v>
      </x:c>
      <x:c r="G8" s="28" t="str">
        <x:v>percent</x:v>
      </x:c>
      <x:c r="H8" s="28" t="str">
        <x:v>Coin</x:v>
      </x:c>
    </x:row>
    <x:row r="9" ht="27" customHeight="1">
      <x:c r="B9" s="28" t="str">
        <x:v>HP_REGEN</x:v>
      </x:c>
      <x:c r="C9" s="29" t="n">
        <x:v>0</x:v>
      </x:c>
      <x:c r="D9" s="29" t="n">
        <x:v>0.1</x:v>
      </x:c>
      <x:c r="E9" s="29" t="n">
        <x:v>80</x:v>
      </x:c>
      <x:c r="F9" s="29" t="n">
        <x:v>35</x:v>
      </x:c>
      <x:c r="G9" s="28" t="str">
        <x:v>value</x:v>
      </x:c>
      <x:c r="H9" s="28" t="str">
        <x:v>Coin</x:v>
      </x:c>
    </x:row>
    <x:row r="10" ht="27" customHeight="1">
      <x:c r="B10" s="28" t="str">
        <x:v>TUNGTUNGTUNG</x:v>
      </x:c>
      <x:c r="C10" s="29" t="n">
        <x:v>95</x:v>
      </x:c>
      <x:c r="D10" s="29" t="n">
        <x:v>5</x:v>
      </x:c>
      <x:c r="E10" s="29" t="n">
        <x:v>450</x:v>
      </x:c>
      <x:c r="F10" s="29" t="n">
        <x:v>120</x:v>
      </x:c>
      <x:c r="G10" s="28" t="str">
        <x:v>percent</x:v>
      </x:c>
      <x:c r="H10" s="28" t="str">
        <x:v>Coin</x:v>
      </x:c>
    </x:row>
    <x:row r="11" ht="27" customHeight="1">
      <x:c r="B11" s="28" t="str">
        <x:v>BOOMBAR</x:v>
      </x:c>
      <x:c r="C11" s="29" t="n">
        <x:v>125</x:v>
      </x:c>
      <x:c r="D11" s="29" t="n">
        <x:v>5</x:v>
      </x:c>
      <x:c r="E11" s="29" t="n">
        <x:v>550</x:v>
      </x:c>
      <x:c r="F11" s="29" t="n">
        <x:v>150</x:v>
      </x:c>
      <x:c r="G11" s="28" t="str">
        <x:v>percent</x:v>
      </x:c>
      <x:c r="H11" s="28" t="str">
        <x:v>Coin</x:v>
      </x:c>
    </x:row>
    <x:row r="12" ht="27" customHeight="1">
      <x:c r="B12" s="28"/>
      <x:c r="C12" s="28"/>
      <x:c r="D12" s="28"/>
      <x:c r="E12" s="28"/>
      <x:c r="F12" s="28"/>
      <x:c r="G12" s="28"/>
      <x:c r="H12" s="28"/>
    </x:row>
    <x:row r="13" ht="27" customHeight="1">
      <x:c r="B13" s="28"/>
      <x:c r="C13" s="28"/>
      <x:c r="D13" s="28"/>
      <x:c r="E13" s="28"/>
      <x:c r="F13" s="28"/>
      <x:c r="G13" s="28"/>
      <x:c r="H13" s="28"/>
    </x:row>
    <x:row r="14" ht="27" customHeight="1">
      <x:c r="B14" s="27" t="str">
        <x:v>적 성장 기준</x:v>
      </x:c>
      <x:c r="C14" s="27" t="str">
        <x:v>값</x:v>
      </x:c>
      <x:c r="D14" s="28"/>
      <x:c r="E14" s="28"/>
      <x:c r="F14" s="28"/>
      <x:c r="G14" s="28"/>
      <x:c r="H14" s="28"/>
    </x:row>
    <x:row r="15" ht="27" customHeight="1">
      <x:c r="B15" s="28" t="str">
        <x:v>첫 일반 공격력</x:v>
      </x:c>
      <x:c r="C15" s="29" t="n">
        <x:v>8</x:v>
      </x:c>
      <x:c r="D15" s="28"/>
      <x:c r="E15" s="28"/>
      <x:c r="F15" s="28"/>
      <x:c r="G15" s="28"/>
      <x:c r="H15" s="28"/>
    </x:row>
    <x:row r="16" ht="27" customHeight="1">
      <x:c r="B16" s="28" t="str">
        <x:v>첫 일반 체력</x:v>
      </x:c>
      <x:c r="C16" s="29" t="n">
        <x:v>45</x:v>
      </x:c>
      <x:c r="D16" s="28"/>
      <x:c r="E16" s="28"/>
      <x:c r="F16" s="28"/>
      <x:c r="G16" s="28"/>
      <x:c r="H16" s="28"/>
    </x:row>
    <x:row r="17" ht="27" customHeight="1">
      <x:c r="B17" s="28" t="str">
        <x:v>일반 공격력 증가율</x:v>
      </x:c>
      <x:c r="C17" s="31" t="n">
        <x:v>0.04</x:v>
      </x:c>
      <x:c r="D17" s="28"/>
      <x:c r="E17" s="28"/>
      <x:c r="F17" s="28"/>
      <x:c r="G17" s="28"/>
      <x:c r="H17" s="28"/>
    </x:row>
    <x:row r="18" ht="27" customHeight="1">
      <x:c r="B18" s="28" t="str">
        <x:v>일반 체력 증가율</x:v>
      </x:c>
      <x:c r="C18" s="31" t="n">
        <x:v>0.1</x:v>
      </x:c>
      <x:c r="D18" s="28"/>
      <x:c r="E18" s="28"/>
      <x:c r="F18" s="28"/>
      <x:c r="G18" s="28"/>
      <x:c r="H18" s="28"/>
    </x:row>
    <x:row r="19" ht="27" customHeight="1">
      <x:c r="B19" s="28" t="str">
        <x:v>엘리트 공격력 배수</x:v>
      </x:c>
      <x:c r="C19" s="29" t="n">
        <x:v>1.6</x:v>
      </x:c>
      <x:c r="D19" s="28"/>
      <x:c r="E19" s="28"/>
      <x:c r="F19" s="28"/>
      <x:c r="G19" s="28"/>
      <x:c r="H19" s="28"/>
    </x:row>
    <x:row r="20" ht="27" customHeight="1">
      <x:c r="B20" s="28" t="str">
        <x:v>엘리트 체력 배수</x:v>
      </x:c>
      <x:c r="C20" s="29" t="n">
        <x:v>1.8</x:v>
      </x:c>
      <x:c r="D20" s="28"/>
      <x:c r="E20" s="28"/>
      <x:c r="F20" s="28"/>
      <x:c r="G20" s="28"/>
      <x:c r="H20" s="28"/>
    </x:row>
    <x:row r="21" ht="27" customHeight="1">
      <x:c r="B21" s="28" t="str">
        <x:v>보스 공격력 배수</x:v>
      </x:c>
      <x:c r="C21" s="29" t="n">
        <x:v>3</x:v>
      </x:c>
      <x:c r="D21" s="28"/>
      <x:c r="E21" s="28"/>
      <x:c r="F21" s="28"/>
      <x:c r="G21" s="28"/>
      <x:c r="H21" s="28"/>
    </x:row>
    <x:row r="22" ht="27" customHeight="1">
      <x:c r="B22" s="28" t="str">
        <x:v>보스 체력 배수</x:v>
      </x:c>
      <x:c r="C22" s="29" t="n">
        <x:v>3.4</x:v>
      </x:c>
      <x:c r="D22" s="28"/>
      <x:c r="E22" s="28"/>
      <x:c r="F22" s="28"/>
      <x:c r="G22" s="28"/>
      <x:c r="H22" s="28"/>
    </x:row>
    <x:row r="23" ht="27" customHeight="1">
      <x:c r="B23" s="28" t="str">
        <x:v>두 번째 일반 적 체력</x:v>
      </x:c>
      <x:c r="C23" s="29" t="n">
        <x:v>55</x:v>
      </x:c>
      <x:c r="D23" s="28"/>
      <x:c r="E23" s="28"/>
      <x:c r="F23" s="28"/>
      <x:c r="G23" s="28"/>
      <x:c r="H23" s="28"/>
    </x:row>
    <x:row r="24" ht="27" customHeight="1">
      <x:c r="B24" s="28" t="str">
        <x:v>첫 성장 벽 체력</x:v>
      </x:c>
      <x:c r="C24" s="29" t="n">
        <x:v>130</x:v>
      </x:c>
      <x:c r="D24" s="28"/>
      <x:c r="E24" s="28"/>
      <x:c r="F24" s="28"/>
      <x:c r="G24" s="28"/>
      <x:c r="H24" s="28"/>
    </x:row>
    <x:row r="25" ht="27" customHeight="1">
      <x:c r="B25" s="28" t="str">
        <x:v>약 20회 도전 목표. 첫 도전 약 30초, 실제 획득 코인과 업그레이드 구매로 진행을 검증.</x:v>
      </x:c>
      <x:c r="C25" s="28"/>
      <x:c r="D25" s="28"/>
      <x:c r="E25" s="28"/>
      <x:c r="F25" s="28"/>
      <x:c r="G25" s="28"/>
      <x:c r="H25" s="28"/>
    </x:row>
    <x:row r="28">
      <x:c r="B28" s="41" t="str">
        <x:v>고속도로 전투와 기믹</x:v>
      </x:c>
      <x:c r="C28" s="41"/>
      <x:c r="D28" s="41"/>
    </x:row>
    <x:row r="29">
      <x:c r="B29" s="43" t="str">
        <x:v>항목</x:v>
      </x:c>
      <x:c r="C29" s="43" t="str">
        <x:v>값</x:v>
      </x:c>
      <x:c r="D29" s="43" t="str">
        <x:v>설명</x:v>
      </x:c>
    </x:row>
    <x:row r="30" ht="32" customHeight="1">
      <x:c r="B30" s="40" t="str">
        <x:v>첫 일반 공격력</x:v>
      </x:c>
      <x:c r="C30" s="44" t="n">
        <x:v>220</x:v>
      </x:c>
      <x:c r="D30" s="46" t="str">
        <x:v>투사체 기본 피해</x:v>
      </x:c>
    </x:row>
    <x:row r="31" ht="32" customHeight="1">
      <x:c r="B31" s="40" t="str">
        <x:v>첫 일반 체력</x:v>
      </x:c>
      <x:c r="C31" s="44" t="n">
        <x:v>540</x:v>
      </x:c>
      <x:c r="D31" s="46" t="str">
        <x:v>첫 전투 기준</x:v>
      </x:c>
    </x:row>
    <x:row r="32" ht="32" customHeight="1">
      <x:c r="B32" s="40" t="str">
        <x:v>공격력 증가율</x:v>
      </x:c>
      <x:c r="C32" s="45" t="n">
        <x:v>0.035</x:v>
      </x:c>
      <x:c r="D32" s="46" t="str">
        <x:v>배치 순서마다 증가</x:v>
      </x:c>
    </x:row>
    <x:row r="33" ht="32" customHeight="1">
      <x:c r="B33" s="40" t="str">
        <x:v>체력 증가율</x:v>
      </x:c>
      <x:c r="C33" s="45" t="n">
        <x:v>0.075</x:v>
      </x:c>
      <x:c r="D33" s="46" t="str">
        <x:v>배치 순서마다 증가</x:v>
      </x:c>
    </x:row>
    <x:row r="34" ht="32" customHeight="1">
      <x:c r="B34" s="40" t="str">
        <x:v>엘리트 공격력 배수</x:v>
      </x:c>
      <x:c r="C34" s="44" t="n">
        <x:v>1.25</x:v>
      </x:c>
      <x:c r="D34" s="46" t="str">
        <x:v>일반 성장값에 적용</x:v>
      </x:c>
    </x:row>
    <x:row r="35" ht="32" customHeight="1">
      <x:c r="B35" s="40" t="str">
        <x:v>엘리트 체력 배수</x:v>
      </x:c>
      <x:c r="C35" s="44" t="n">
        <x:v>1.5</x:v>
      </x:c>
      <x:c r="D35" s="46" t="str">
        <x:v>일반 성장값에 적용</x:v>
      </x:c>
    </x:row>
    <x:row r="36" ht="32" customHeight="1">
      <x:c r="B36" s="40" t="str">
        <x:v>보스 공격력 배수</x:v>
      </x:c>
      <x:c r="C36" s="44" t="n">
        <x:v>1.8</x:v>
      </x:c>
      <x:c r="D36" s="46" t="str">
        <x:v>마지막 대장에 적용</x:v>
      </x:c>
    </x:row>
    <x:row r="37" ht="32" customHeight="1">
      <x:c r="B37" s="40" t="str">
        <x:v>보스 체력 배수</x:v>
      </x:c>
      <x:c r="C37" s="44" t="n">
        <x:v>2.6</x:v>
      </x:c>
      <x:c r="D37" s="46" t="str">
        <x:v>마지막 대장에 적용</x:v>
      </x:c>
    </x:row>
    <x:row r="38" ht="32" customHeight="1">
      <x:c r="B38" s="40" t="str">
        <x:v>도로 장애물 피해</x:v>
      </x:c>
      <x:c r="C38" s="44" t="n">
        <x:v>180</x:v>
      </x:c>
      <x:c r="D38" s="46" t="str">
        <x:v>충돌 시 피해</x:v>
      </x:c>
    </x:row>
    <x:row r="39" ht="32" customHeight="1">
      <x:c r="B39" s="40" t="str">
        <x:v>차량 충돌 피해</x:v>
      </x:c>
      <x:c r="C39" s="44" t="n">
        <x:v>240</x:v>
      </x:c>
      <x:c r="D39" s="46" t="str">
        <x:v>횡단 차량의 피해</x:v>
      </x:c>
    </x:row>
    <x:row r="40" ht="32" customHeight="1">
      <x:c r="B40" s="40" t="str">
        <x:v>차단기 충돌 피해</x:v>
      </x:c>
      <x:c r="C40" s="44" t="n">
        <x:v>280</x:v>
      </x:c>
      <x:c r="D40" s="46" t="str">
        <x:v>닫힌 차단기의 피해</x:v>
      </x:c>
    </x:row>
    <x:row r="41" ht="32" customHeight="1">
      <x:c r="B41" s="40" t="str">
        <x:v>장애물 내구도</x:v>
      </x:c>
      <x:c r="C41" s="44" t="n">
        <x:v>240</x:v>
      </x:c>
      <x:c r="D41" s="46" t="str">
        <x:v>사격으로 부술 수 있음</x:v>
      </x:c>
    </x:row>
    <x:row r="42" ht="32" customHeight="1">
      <x:c r="B42" s="40" t="str">
        <x:v>차량 예고 시간</x:v>
      </x:c>
      <x:c r="C42" s="44" t="n">
        <x:v>1.8</x:v>
      </x:c>
      <x:c r="D42" s="46" t="str">
        <x:v>움직이기 전 경고(초)</x:v>
      </x:c>
    </x:row>
    <x:row r="43" ht="32" customHeight="1">
      <x:c r="B43" s="40" t="str">
        <x:v>차량 통과 시간</x:v>
      </x:c>
      <x:c r="C43" s="44" t="n">
        <x:v>4</x:v>
      </x:c>
      <x:c r="D43" s="46" t="str">
        <x:v>차선 횡단 시간(초)</x:v>
      </x:c>
    </x:row>
    <x:row r="44" ht="32" customHeight="1">
      <x:c r="B44" s="40" t="str">
        <x:v>차단기 주기</x:v>
      </x:c>
      <x:c r="C44" s="44" t="n">
        <x:v>6</x:v>
      </x:c>
      <x:c r="D44" s="46" t="str">
        <x:v>다음 통로 전환(초)</x:v>
      </x:c>
    </x:row>
    <x:row r="45" ht="32" customHeight="1">
      <x:c r="B45" s="40" t="str">
        <x:v>차량 이동 폭</x:v>
      </x:c>
      <x:c r="C45" s="44" t="n">
        <x:v>9</x:v>
      </x:c>
      <x:c r="D45" s="46" t="str">
        <x:v>좌우 횡단 거리</x:v>
      </x:c>
    </x:row>
    <x:row r="47">
      <x:c r="B47" s="49" t="str">
        <x:v>노량진 추가 기믹</x:v>
      </x:c>
      <x:c r="C47" s="49"/>
      <x:c r="D47" s="49"/>
    </x:row>
    <x:row r="48" ht="32" customHeight="1">
      <x:c r="B48" t="str">
        <x:v>기름 웅덩이 지속 시간</x:v>
      </x:c>
      <x:c r="C48" s="50" t="n">
        <x:v>2</x:v>
      </x:c>
      <x:c r="D48" s="51" t="str">
        <x:v>조작 감도 55%, 중첩 없음</x:v>
      </x:c>
    </x:row>
    <x:row r="49" ht="32" customHeight="1">
      <x:c r="B49" t="str">
        <x:v>갈매기 급강하 피해</x:v>
      </x:c>
      <x:c r="C49" s="50" t="n">
        <x:v>20</x:v>
      </x:c>
      <x:c r="D49" s="51" t="str">
        <x:v>그림자를 보고 회피</x:v>
      </x:c>
    </x:row>
    <x:row r="50" ht="32" customHeight="1">
      <x:c r="B50" t="str">
        <x:v>해안 배 포격 피해</x:v>
      </x:c>
      <x:c r="C50" s="50" t="n">
        <x:v>10</x:v>
      </x:c>
      <x:c r="D50" s="51" t="str">
        <x:v>물가에서 진행로를 조준</x:v>
      </x:c>
    </x:row>
    <x:row r="53" ht="28" customHeight="1">
      <x:c r="B53" s="27" t="str">
        <x:v>챕터 진행과 배치</x:v>
      </x:c>
      <x:c r="C53" s="27" t="str">
        <x:v>값</x:v>
      </x:c>
      <x:c r="D53" s="27" t="str">
        <x:v>설명</x:v>
      </x:c>
    </x:row>
    <x:row r="54" ht="42" customHeight="1">
      <x:c r="B54" s="28" t="str">
        <x:v>첫 도전 목표(초)</x:v>
      </x:c>
      <x:c r="C54" s="54" t="n">
        <x:v>30</x:v>
      </x:c>
      <x:c r="D54" s="56" t="str">
        <x:v>새 진행 기준</x:v>
      </x:c>
    </x:row>
    <x:row r="55" ht="42" customHeight="1">
      <x:c r="B55" s="28" t="str">
        <x:v>도전당 목표 증가(초)</x:v>
      </x:c>
      <x:c r="C55" s="54" t="n">
        <x:v>15</x:v>
      </x:c>
      <x:c r="D55" s="56" t="str">
        <x:v>조작·보너스에 따른 편차</x:v>
      </x:c>
    </x:row>
    <x:row r="56" ht="42" customHeight="1">
      <x:c r="B56" s="28" t="str">
        <x:v>첫 클리어 목표(판)</x:v>
      </x:c>
      <x:c r="C56" s="54" t="n">
        <x:v>20</x:v>
      </x:c>
      <x:c r="D56" s="56" t="str">
        <x:v>챕터별 목표, 실제 도전 횟수는 조작과 구매에 따라 달라짐</x:v>
      </x:c>
    </x:row>
    <x:row r="57" ht="42" customHeight="1">
      <x:c r="B57" s="28" t="str">
        <x:v>노량진 완주 목표(초)</x:v>
      </x:c>
      <x:c r="C57" s="54" t="n">
        <x:v>300</x:v>
      </x:c>
      <x:c r="D57" s="56" t="str">
        <x:v>길이·속도로 결정</x:v>
      </x:c>
    </x:row>
    <x:row r="58" ht="42" customHeight="1">
      <x:c r="B58" s="28" t="str">
        <x:v>고속도로 완주 목표(초)</x:v>
      </x:c>
      <x:c r="C58" s="54" t="n">
        <x:v>300</x:v>
      </x:c>
      <x:c r="D58" s="56" t="str">
        <x:v>길이·속도로 결정</x:v>
      </x:c>
    </x:row>
    <x:row r="59" ht="42" customHeight="1">
      <x:c r="B59" s="28" t="str">
        <x:v>노량진 전진 속도</x:v>
      </x:c>
      <x:c r="C59" s="55" t="n">
        <x:v>8.84</x:v>
      </x:c>
      <x:c r="D59" s="56" t="str">
        <x:v>월드 유닛/초</x:v>
      </x:c>
    </x:row>
    <x:row r="60" ht="42" customHeight="1">
      <x:c r="B60" s="28" t="str">
        <x:v>고속도로 전진 속도</x:v>
      </x:c>
      <x:c r="C60" s="55" t="n">
        <x:v>7.8</x:v>
      </x:c>
      <x:c r="D60" s="56" t="str">
        <x:v>월드 유닛/초</x:v>
      </x:c>
    </x:row>
    <x:row r="61" ht="42" customHeight="1">
      <x:c r="B61" s="28" t="str">
        <x:v>보너스 선택 묶음</x:v>
      </x:c>
      <x:c r="C61" s="54" t="n">
        <x:v>25</x:v>
      </x:c>
      <x:c r="D61" s="56" t="str">
        <x:v>좌우 선택지 한 쌍</x:v>
      </x:c>
    </x:row>
    <x:row r="62" ht="42" customHeight="1">
      <x:c r="B62" s="28" t="str">
        <x:v>적 개체</x:v>
      </x:c>
      <x:c r="C62" s="54" t="n">
        <x:v>50</x:v>
      </x:c>
      <x:c r="D62" s="56" t="str">
        <x:v>두 명씩25구간</x:v>
      </x:c>
    </x:row>
    <x:row r="63" ht="42" customHeight="1">
      <x:c r="B63" s="28" t="str">
        <x:v>기믹 구간</x:v>
      </x:c>
      <x:c r="C63" s="54" t="n">
        <x:v>25</x:v>
      </x:c>
      <x:c r="D63" s="56" t="str">
        <x:v>양동이·차선 묶음 단위</x:v>
      </x:c>
    </x:row>
    <x:row r="64" ht="42" customHeight="1">
      <x:c r="B64" s="28" t="str">
        <x:v>적 처치 보너스 드롭</x:v>
      </x:c>
      <x:c r="C64" s="54" t="n">
        <x:v>0</x:v>
      </x:c>
      <x:c r="D64" s="56" t="str">
        <x:v>0: 끔 / 1: 켬</x:v>
      </x:c>
    </x:row>
    <x:row r="65" ht="42" customHeight="1">
      <x:c r="B65" s="28" t="str">
        <x:v>일반 적 코인 보상</x:v>
      </x:c>
      <x:c r="C65" s="54" t="n">
        <x:v>10</x:v>
      </x:c>
      <x:c r="D65" s="56" t="str">
        <x:v>엘리트2배, 보스5배</x:v>
      </x:c>
    </x:row>
    <x:row r="66" ht="42" customHeight="1">
      <x:c r="B66" s="28" t="str">
        <x:v>HP 후반 성장 계수</x:v>
      </x:c>
      <x:c r="C66" s="54" t="n">
        <x:v>5</x:v>
      </x:c>
      <x:c r="D66" s="56" t="str">
        <x:v>레벨 × (레벨−1)</x:v>
      </x:c>
    </x:row>
    <x:row r="67" ht="42" customHeight="1">
      <x:c r="B67" s="28" t="str">
        <x:v>노꾼 노 피격 피해</x:v>
      </x:c>
      <x:c r="C67" s="54" t="n">
        <x:v>12</x:v>
      </x:c>
      <x:c r="D67" s="56" t="str">
        <x:v>모델 회전과 피해</x:v>
      </x:c>
    </x:row>
    <x:row r="68" ht="42" customHeight="1">
      <x:c r="B68" s="28" t="str">
        <x:v>돌고래 점프 높이</x:v>
      </x:c>
      <x:c r="C68" s="54" t="n">
        <x:v>3</x:v>
      </x:c>
      <x:c r="D68" s="56" t="str">
        <x:v>물가 연출, 피해 없음</x:v>
      </x:c>
    </x:row>
    <x:row r="69" ht="42" customHeight="1">
      <x:c r="B69" s="28" t="str">
        <x:v>후반 강화 가격 계수</x:v>
      </x:c>
      <x:c r="C69" s="54" t="n">
        <x:v>3.1</x:v>
      </x:c>
      <x:c r="D69" s="56" t="str">
        <x:v>4레벨 이후 가격 증가</x:v>
      </x:c>
    </x:row>
    <x:row r="71" ht="30" customHeight="1">
      <x:c r="B71" s="43" t="str">
        <x:v>휴게소 전투와 성장</x:v>
      </x:c>
      <x:c r="C71" s="43" t="str">
        <x:v>값</x:v>
      </x:c>
      <x:c r="D71" s="43" t="str">
        <x:v>설명</x:v>
      </x:c>
      <x:c r="J71" s="40" t="str">
        <x:v>챕터별 성장 목표</x:v>
      </x:c>
      <x:c r="K71" s="40"/>
      <x:c r="L71" s="40"/>
      <x:c r="M71" s="40"/>
      <x:c r="N71" s="40"/>
      <x:c r="O71" s="40"/>
      <x:c r="P71" s="40"/>
      <x:c r="Q71" s="40"/>
    </x:row>
    <x:row r="72" ht="30" customHeight="1">
      <x:c r="B72" s="40" t="str">
        <x:v>첫 일반 공격력</x:v>
      </x:c>
      <x:c r="C72" s="44" t="n">
        <x:v>650</x:v>
      </x:c>
      <x:c r="D72" s="46" t="str">
        <x:v> 고속도로 후반에서 이어지는 투사체 피해</x:v>
      </x:c>
      <x:c r="J72" s="43" t="str">
        <x:v>챕터</x:v>
      </x:c>
      <x:c r="K72" s="43" t="str">
        <x:v>이름</x:v>
      </x:c>
      <x:c r="L72" s="43" t="str">
        <x:v>도전 목표</x:v>
      </x:c>
      <x:c r="M72" s="43" t="str">
        <x:v>누적 도전</x:v>
      </x:c>
      <x:c r="N72" s="43" t="str">
        <x:v>체력 레벨</x:v>
      </x:c>
      <x:c r="O72" s="43" t="str">
        <x:v>공격 레벨</x:v>
      </x:c>
      <x:c r="P72" s="43" t="str">
        <x:v>일반 코인</x:v>
      </x:c>
      <x:c r="Q72" s="43" t="str">
        <x:v>완주 초</x:v>
      </x:c>
      <x:c r="R72" s="43" t="str">
        <x:v>첫 완주 보석</x:v>
      </x:c>
    </x:row>
    <x:row r="73" ht="30" customHeight="1">
      <x:c r="B73" s="40" t="str">
        <x:v>첫 일반 체력</x:v>
      </x:c>
      <x:c r="C73" s="44" t="n">
        <x:v>2750</x:v>
      </x:c>
      <x:c r="D73" s="46" t="str">
        <x:v> 고속도로 후반 일반 적 체력에 맞춘 진입 기준</x:v>
      </x:c>
      <x:c r="J73" s="40" t="n">
        <x:v>1</x:v>
      </x:c>
      <x:c r="K73" s="40" t="str">
        <x:v>노량진</x:v>
      </x:c>
      <x:c r="L73" s="40" t="n">
        <x:v>20</x:v>
      </x:c>
      <x:c r="M73" s="40" t="n">
        <x:f>L73</x:f>
        <x:v>20</x:v>
      </x:c>
      <x:c r="N73" s="40" t="n">
        <x:v>12</x:v>
      </x:c>
      <x:c r="O73" s="40" t="n">
        <x:v>10</x:v>
      </x:c>
      <x:c r="P73" s="40" t="n">
        <x:v>10</x:v>
      </x:c>
      <x:c r="Q73" s="40" t="n">
        <x:v>300</x:v>
      </x:c>
      <x:c r="R73" s="40" t="n">
        <x:f>C100</x:f>
        <x:v>20</x:v>
      </x:c>
    </x:row>
    <x:row r="74" ht="30" customHeight="1">
      <x:c r="B74" s="40" t="str">
        <x:v>공격력 증가율</x:v>
      </x:c>
      <x:c r="C74" s="45" t="n">
        <x:v>0.035</x:v>
      </x:c>
      <x:c r="D74" s="46" t="str">
        <x:v> 구간 순서마다 증가</x:v>
      </x:c>
      <x:c r="J74" s="40" t="n">
        <x:v>2</x:v>
      </x:c>
      <x:c r="K74" s="40" t="str">
        <x:v>고속도로</x:v>
      </x:c>
      <x:c r="L74" s="40" t="n">
        <x:v>20</x:v>
      </x:c>
      <x:c r="M74" s="40" t="n">
        <x:f>M73+L74</x:f>
        <x:v>40</x:v>
      </x:c>
      <x:c r="N74" s="40" t="n">
        <x:v>24</x:v>
      </x:c>
      <x:c r="O74" s="40" t="n">
        <x:v>20</x:v>
      </x:c>
      <x:c r="P74" s="40" t="n">
        <x:f>C91</x:f>
        <x:v>150</x:v>
      </x:c>
      <x:c r="Q74" s="40" t="n">
        <x:v>300</x:v>
      </x:c>
      <x:c r="R74" s="40" t="n">
        <x:f>C102</x:f>
        <x:v>25</x:v>
      </x:c>
    </x:row>
    <x:row r="75" ht="30" customHeight="1">
      <x:c r="B75" s="40" t="str">
        <x:v>체력 증가율</x:v>
      </x:c>
      <x:c r="C75" s="45" t="n">
        <x:v>0.06</x:v>
      </x:c>
      <x:c r="D75" s="46" t="str">
        <x:v> 구간 순서마다 증가</x:v>
      </x:c>
      <x:c r="J75" s="40" t="n">
        <x:v>3</x:v>
      </x:c>
      <x:c r="K75" s="40" t="str">
        <x:v>휴게소</x:v>
      </x:c>
      <x:c r="L75" s="40" t="n">
        <x:v>20</x:v>
      </x:c>
      <x:c r="M75" s="40" t="n">
        <x:f>M74+L75</x:f>
        <x:v>60</x:v>
      </x:c>
      <x:c r="N75" s="40" t="n">
        <x:v>36</x:v>
      </x:c>
      <x:c r="O75" s="40" t="n">
        <x:v>30</x:v>
      </x:c>
      <x:c r="P75" s="40" t="n">
        <x:f>C90</x:f>
        <x:v>300</x:v>
      </x:c>
      <x:c r="Q75" s="40" t="n">
        <x:v>300</x:v>
      </x:c>
      <x:c r="R75" s="40" t="n">
        <x:f>C104</x:f>
        <x:v>30</x:v>
      </x:c>
    </x:row>
    <x:row r="76" ht="30" customHeight="1">
      <x:c r="B76" s="40" t="str">
        <x:v>엘리트 공격력 배수</x:v>
      </x:c>
      <x:c r="C76" s="44" t="n">
        <x:v>1.25</x:v>
      </x:c>
      <x:c r="D76" s="46" t="str">
        <x:v> 일반 성장값에 적용</x:v>
      </x:c>
      <x:c r="J76" s="40" t="n">
        <x:v>4</x:v>
      </x:c>
      <x:c r="K76" s="40" t="str">
        <x:v>챕터4</x:v>
      </x:c>
      <x:c r="L76" s="40" t="n">
        <x:v>20</x:v>
      </x:c>
      <x:c r="M76" s="40" t="n">
        <x:f>M75+L76</x:f>
        <x:v>80</x:v>
      </x:c>
      <x:c r="N76" s="40" t="n">
        <x:v>48</x:v>
      </x:c>
      <x:c r="O76" s="40" t="n">
        <x:v>40</x:v>
      </x:c>
      <x:c r="P76" s="40" t="n">
        <x:v>700</x:v>
      </x:c>
      <x:c r="Q76" s="40" t="n">
        <x:v>300</x:v>
      </x:c>
      <x:c r="R76" s="40" t="n">
        <x:v>35</x:v>
      </x:c>
    </x:row>
    <x:row r="77" ht="30" customHeight="1">
      <x:c r="B77" s="40" t="str">
        <x:v>엘리트 체력 배수</x:v>
      </x:c>
      <x:c r="C77" s="44" t="n">
        <x:v>1.5</x:v>
      </x:c>
      <x:c r="D77" s="46" t="str">
        <x:v> 일반 성장값에 적용</x:v>
      </x:c>
      <x:c r="J77" s="40" t="n">
        <x:v>5</x:v>
      </x:c>
      <x:c r="K77" s="40" t="str">
        <x:v>챕터5</x:v>
      </x:c>
      <x:c r="L77" s="40" t="n">
        <x:v>20</x:v>
      </x:c>
      <x:c r="M77" s="40" t="n">
        <x:f>M76+L77</x:f>
        <x:v>100</x:v>
      </x:c>
      <x:c r="N77" s="40" t="n">
        <x:v>60</x:v>
      </x:c>
      <x:c r="O77" s="40" t="n">
        <x:v>50</x:v>
      </x:c>
      <x:c r="P77" s="40" t="n">
        <x:v>1200</x:v>
      </x:c>
      <x:c r="Q77" s="40" t="n">
        <x:v>300</x:v>
      </x:c>
      <x:c r="R77" s="40" t="n">
        <x:v>40</x:v>
      </x:c>
    </x:row>
    <x:row r="78" ht="30" customHeight="1">
      <x:c r="B78" s="40" t="str">
        <x:v>보스 공격력 배수</x:v>
      </x:c>
      <x:c r="C78" s="44" t="n">
        <x:v>1.8</x:v>
      </x:c>
      <x:c r="D78" s="46" t="str">
        <x:v> 마지막 구간에 적용</x:v>
      </x:c>
      <x:c r="J78" s="40"/>
      <x:c r="K78" s="40"/>
      <x:c r="L78" s="40"/>
      <x:c r="M78" s="40"/>
      <x:c r="N78" s="40"/>
      <x:c r="O78" s="40"/>
      <x:c r="P78" s="40"/>
      <x:c r="Q78" s="40"/>
    </x:row>
    <x:row r="79" ht="30" customHeight="1">
      <x:c r="B79" s="40" t="str">
        <x:v>보스 체력 배수</x:v>
      </x:c>
      <x:c r="C79" s="44" t="n">
        <x:v>2.6</x:v>
      </x:c>
      <x:c r="D79" s="46" t="str">
        <x:v> 마지막 구간에 적용</x:v>
      </x:c>
      <x:c r="J79" s="40" t="str">
        <x:v>4·5챕터 수치는 후속 씬의 설계 기준입니다.</x:v>
      </x:c>
      <x:c r="K79" s="40"/>
      <x:c r="L79" s="40"/>
      <x:c r="M79" s="40"/>
      <x:c r="N79" s="40"/>
      <x:c r="O79" s="40"/>
      <x:c r="P79" s="40"/>
      <x:c r="Q79" s="40"/>
    </x:row>
    <x:row r="80" ht="32" customHeight="1">
      <x:c r="B80" s="40" t="str">
        <x:v>정비 바리케이드 피해</x:v>
      </x:c>
      <x:c r="C80" s="44" t="n">
        <x:v>500</x:v>
      </x:c>
      <x:c r="D80" s="46" t="str">
        <x:v> 충돌 시 피해</x:v>
      </x:c>
    </x:row>
    <x:row r="81" ht="32" customHeight="1">
      <x:c r="B81" s="40" t="str">
        <x:v>출차 차량 피해</x:v>
      </x:c>
      <x:c r="C81" s="44" t="n">
        <x:v>650</x:v>
      </x:c>
      <x:c r="D81" s="46" t="str">
        <x:v> 예고 후 차량 횡단</x:v>
      </x:c>
    </x:row>
    <x:row r="82" ht="32" customHeight="1">
      <x:c r="B82" s="40" t="str">
        <x:v>주차 차단기 피해</x:v>
      </x:c>
      <x:c r="C82" s="44" t="n">
        <x:v>750</x:v>
      </x:c>
      <x:c r="D82" s="46" t="str">
        <x:v> 닫힌 통로에 부딪힌 피해</x:v>
      </x:c>
    </x:row>
    <x:row r="83" ht="32" customHeight="1">
      <x:c r="B83" s="40" t="str">
        <x:v>바리케이드 내구도</x:v>
      </x:c>
      <x:c r="C83" s="44" t="n">
        <x:v>1250</x:v>
      </x:c>
      <x:c r="D83" s="46" t="str">
        <x:v> 사격으로 파괴 가능</x:v>
      </x:c>
    </x:row>
    <x:row r="84" ht="32" customHeight="1">
      <x:c r="B84" s="40" t="str">
        <x:v>출차 예고 시간</x:v>
      </x:c>
      <x:c r="C84" s="44" t="n">
        <x:v>2</x:v>
      </x:c>
      <x:c r="D84" s="46" t="str">
        <x:v> 초</x:v>
      </x:c>
    </x:row>
    <x:row r="85" ht="32" customHeight="1">
      <x:c r="B85" s="40" t="str">
        <x:v>차량 횡단 시간</x:v>
      </x:c>
      <x:c r="C85" s="44" t="n">
        <x:v>5.5</x:v>
      </x:c>
      <x:c r="D85" s="46" t="str">
        <x:v> 초</x:v>
      </x:c>
    </x:row>
    <x:row r="86" ht="32" customHeight="1">
      <x:c r="B86" s="40" t="str">
        <x:v>차단기 전환 주기</x:v>
      </x:c>
      <x:c r="C86" s="44" t="n">
        <x:v>7</x:v>
      </x:c>
      <x:c r="D86" s="46" t="str">
        <x:v> 초</x:v>
      </x:c>
    </x:row>
    <x:row r="87" ht="32" customHeight="1">
      <x:c r="B87" s="40" t="str">
        <x:v>차량 이동 폭</x:v>
      </x:c>
      <x:c r="C87" s="44" t="n">
        <x:v>9</x:v>
      </x:c>
      <x:c r="D87" s="46" t="str">
        <x:v> 월드 유닛</x:v>
      </x:c>
    </x:row>
    <x:row r="88" ht="32" customHeight="1">
      <x:c r="B88" s="40" t="str">
        <x:v>휴게소 전진 속도</x:v>
      </x:c>
      <x:c r="C88" s="44" t="n">
        <x:v>7.8</x:v>
      </x:c>
      <x:c r="D88" s="46" t="str">
        <x:v>전진 약269초 + 식당 방어전30초</x:v>
      </x:c>
    </x:row>
    <x:row r="89" ht="32" customHeight="1">
      <x:c r="B89" s="40" t="str">
        <x:v>휴게소 완주 목표</x:v>
      </x:c>
      <x:c r="C89" s="44" t="n">
        <x:v>300</x:v>
      </x:c>
      <x:c r="D89" s="46" t="str">
        <x:v> 초</x:v>
      </x:c>
    </x:row>
    <x:row r="90" ht="32" customHeight="1">
      <x:c r="B90" s="40" t="str">
        <x:v>휴게소 일반 적 코인</x:v>
      </x:c>
      <x:c r="C90" s="44" t="n">
        <x:v>300</x:v>
      </x:c>
      <x:c r="D90" s="46" t="str">
        <x:v> 완주 반복 검증으로 조정, 엘리트2배/보스5배</x:v>
      </x:c>
    </x:row>
    <x:row r="91" ht="32" customHeight="1">
      <x:c r="B91" s="40" t="str">
        <x:v>고속도로 일반 적 코인</x:v>
      </x:c>
      <x:c r="C91" s="44" t="n">
        <x:v>150</x:v>
      </x:c>
      <x:c r="D91" s="46" t="str">
        <x:v> 2챕터 강화 비용 반영, 엘리트2배/보스5배</x:v>
      </x:c>
    </x:row>
    <x:row r="92" ht="32" customHeight="1">
      <x:c r="B92" s="40" t="str">
        <x:v>공격력 최대 레벨</x:v>
      </x:c>
      <x:c r="C92" s="40" t="n">
        <x:f>MAX('업그레이드'!D3:D62)</x:f>
        <x:v>60</x:v>
      </x:c>
      <x:c r="D92" s="46" t="str">
        <x:v> 강화 표에서 계산</x:v>
      </x:c>
    </x:row>
    <x:row r="93" ht="32" customHeight="1">
      <x:c r="B93" s="40" t="str">
        <x:v>체력 최대 레벨</x:v>
      </x:c>
      <x:c r="C93" s="40" t="n">
        <x:f>MAX('업그레이드'!D63:D122)</x:f>
        <x:v>60</x:v>
      </x:c>
      <x:c r="D93" s="46" t="str">
        <x:v> 강화 표에서 계산</x:v>
      </x:c>
    </x:row>
    <x:row r="94" ht="32" customHeight="1">
      <x:c r="B94" s="40" t="str">
        <x:v>회복 후반 성장 계수</x:v>
      </x:c>
      <x:c r="C94" s="57" t="n">
        <x:v>0.02</x:v>
      </x:c>
      <x:c r="D94" s="46" t="str">
        <x:v> 레벨 × (레벨−1), 초당 회복량</x:v>
      </x:c>
    </x:row>
    <x:row r="95" ht="32" customHeight="1">
      <x:c r="B95" s="40" t="str">
        <x:v>진행 보상 간격</x:v>
      </x:c>
      <x:c r="C95" s="44" t="n">
        <x:v>15</x:v>
      </x:c>
      <x:c r="D95" s="46" t="str">
        <x:v> 완료한 구간마다 계산(초)</x:v>
      </x:c>
    </x:row>
    <x:row r="96" ht="32" customHeight="1">
      <x:c r="B96" s="40" t="str">
        <x:v>고속도로 진행 코인</x:v>
      </x:c>
      <x:c r="C96" s="44" t="n">
        <x:v>150</x:v>
      </x:c>
      <x:c r="D96" s="46" t="str">
        <x:v> 한 구간을 진행한 기본 보상</x:v>
      </x:c>
    </x:row>
    <x:row r="97" ht="32" customHeight="1">
      <x:c r="B97" s="40" t="str">
        <x:v>휴게소 진행 코인</x:v>
      </x:c>
      <x:c r="C97" s="44" t="n">
        <x:v>300</x:v>
      </x:c>
      <x:c r="D97" s="46" t="str">
        <x:v> 한 구간을 진행한 기본 보상</x:v>
      </x:c>
    </x:row>
    <x:row r="98" ht="32" customHeight="1">
      <x:c r="B98" s="40" t="str">
        <x:v>진행 보상 최대 구간</x:v>
      </x:c>
      <x:c r="C98" s="44" t="n">
        <x:v>20</x:v>
      </x:c>
      <x:c r="D98" s="46" t="str">
        <x:v> 300초 완주 기준</x:v>
      </x:c>
    </x:row>
    <x:row r="99" ht="32" customHeight="1">
      <x:c r="B99" s="40" t="str">
        <x:v>노량진 진행 코인</x:v>
      </x:c>
      <x:c r="C99" s="44" t="n">
        <x:v>0</x:v>
      </x:c>
      <x:c r="D99" s="46" t="str">
        <x:v> 기존 처치 보상 유지</x:v>
      </x:c>
    </x:row>
    <x:row r="100" ht="32" customHeight="1">
      <x:c r="B100" s="40" t="str">
        <x:v>노량진 첫 완주 보석</x:v>
      </x:c>
      <x:c r="C100" s="44" t="n">
        <x:v>20</x:v>
      </x:c>
      <x:c r="D100" s="46" t="str">
        <x:v> 스킨 구매를 위한 첫 완주 보상</x:v>
      </x:c>
    </x:row>
    <x:row r="101" ht="32" customHeight="1">
      <x:c r="B101" s="40" t="str">
        <x:v>노량진 재완주 보석</x:v>
      </x:c>
      <x:c r="C101" s="44" t="n">
        <x:v>5</x:v>
      </x:c>
      <x:c r="D101" s="46" t="str">
        <x:v> 같은 챕터를 다시 완주한 보상</x:v>
      </x:c>
    </x:row>
    <x:row r="102" ht="32" customHeight="1">
      <x:c r="B102" s="40" t="str">
        <x:v>고속도로 첫 완주 보석</x:v>
      </x:c>
      <x:c r="C102" s="44" t="n">
        <x:v>25</x:v>
      </x:c>
      <x:c r="D102" s="46" t="str">
        <x:v> 챕터별 첫 지급 여부를 저장</x:v>
      </x:c>
    </x:row>
    <x:row r="103" ht="32" customHeight="1">
      <x:c r="B103" s="40" t="str">
        <x:v>고속도로 재완주 보석</x:v>
      </x:c>
      <x:c r="C103" s="44" t="n">
        <x:v>5</x:v>
      </x:c>
      <x:c r="D103" s="46" t="str">
        <x:v> 한 번의 완주에 한 번 지급</x:v>
      </x:c>
    </x:row>
    <x:row r="104" ht="32" customHeight="1">
      <x:c r="B104" s="40" t="str">
        <x:v>휴게소 첫 완주 보석</x:v>
      </x:c>
      <x:c r="C104" s="44" t="n">
        <x:v>30</x:v>
      </x:c>
      <x:c r="D104" s="46" t="str">
        <x:v> 광고 없이 스킨 구매 가능</x:v>
      </x:c>
    </x:row>
    <x:row r="105" ht="32" customHeight="1">
      <x:c r="B105" s="40" t="str">
        <x:v>휴게소 재완주 보석</x:v>
      </x:c>
      <x:c r="C105" s="44" t="n">
        <x:v>5</x:v>
      </x:c>
      <x:c r="D105" s="46" t="str">
        <x:v> 반복 완주의 추가 보상</x:v>
      </x:c>
    </x:row>
    <x:row r="106" ht="32" customHeight="1">
      <x:c r="B106" s="40" t="str">
        <x:v>고속도로 코인 수집 범위</x:v>
      </x:c>
      <x:c r="C106" s="44" t="n">
        <x:v>3.2</x:v>
      </x:c>
      <x:c r="D106" s="46" t="str">
        <x:v> 넓은 차선에서 회피하며 처치 보상 수집</x:v>
      </x:c>
    </x:row>
    <x:row r="107" ht="32" customHeight="1">
      <x:c r="B107" s="40" t="str">
        <x:v>휴게소 코인 수집 범위</x:v>
      </x:c>
      <x:c r="C107" s="44" t="n">
        <x:v>3.2</x:v>
      </x:c>
      <x:c r="D107" s="46" t="str">
        <x:v> 월드 유닛, 높이 차가 큰 층간 수집 제외</x:v>
      </x:c>
    </x:row>
    <x:row r="109">
      <x:c r="B109" s="43" t="str">
        <x:v>고속도로 분기와 식당 방어전</x:v>
      </x:c>
      <x:c r="C109" s="43" t="str">
        <x:v>값</x:v>
      </x:c>
      <x:c r="D109" s="43" t="str">
        <x:v>설명</x:v>
      </x:c>
    </x:row>
    <x:row r="110" ht="44" customHeight="1">
      <x:c r="B110" s="40" t="str">
        <x:v>정면 차량 경고 시간</x:v>
      </x:c>
      <x:c r="C110" s="44" t="n">
        <x:v>2.2</x:v>
      </x:c>
      <x:c r="D110" s="46" t="str">
        <x:v>초, 경고한 차로로만 접근</x:v>
      </x:c>
    </x:row>
    <x:row r="111" ht="44" customHeight="1">
      <x:c r="B111" s="40" t="str">
        <x:v>정면 차량 속도</x:v>
      </x:c>
      <x:c r="C111" s="44" t="n">
        <x:v>16</x:v>
      </x:c>
      <x:c r="D111" s="46" t="str">
        <x:v>월드 유닛/초</x:v>
      </x:c>
    </x:row>
    <x:row r="112" ht="44" customHeight="1">
      <x:c r="B112" s="40" t="str">
        <x:v>정면 차량 충돌 피해</x:v>
      </x:c>
      <x:c r="C112" s="44" t="n">
        <x:v>220</x:v>
      </x:c>
      <x:c r="D112" s="46" t="str">
        <x:v>차량마다 한 번 적용</x:v>
      </x:c>
    </x:row>
    <x:row r="113" ht="44" customHeight="1">
      <x:c r="B113" s="40" t="str">
        <x:v>초록 우회로 회복 비율</x:v>
      </x:c>
      <x:c r="C113" s="58" t="n">
        <x:v>0.1</x:v>
      </x:c>
      <x:c r="D113" s="46" t="str">
        <x:v>최대 체력 기준, 우회로마다 한 번</x:v>
      </x:c>
    </x:row>
    <x:row r="114" ht="44" customHeight="1">
      <x:c r="B114" s="40" t="str">
        <x:v>식당 방어전 시간</x:v>
      </x:c>
      <x:c r="C114" s="44" t="n">
        <x:v>30</x:v>
      </x:c>
      <x:c r="D114" s="46" t="str">
        <x:v>초, 일시정지 시간 제외</x:v>
      </x:c>
    </x:row>
    <x:row r="115" ht="44" customHeight="1">
      <x:c r="B115" s="40" t="str">
        <x:v>식당 경찰 체력</x:v>
      </x:c>
      <x:c r="C115" s="44" t="n">
        <x:v>700</x:v>
      </x:c>
      <x:c r="D115" s="46" t="str">
        <x:v>접촉 시 남은 체력만큼 피해</x:v>
      </x:c>
    </x:row>
    <x:row r="116" ht="44" customHeight="1">
      <x:c r="B116" s="40" t="str">
        <x:v>식당 경찰 이동 속도</x:v>
      </x:c>
      <x:c r="C116" s="44" t="n">
        <x:v>3.8</x:v>
      </x:c>
      <x:c r="D116" s="46" t="str">
        <x:v>월드 유닛/초, 마지막 구간 12% 증가</x:v>
      </x:c>
    </x:row>
    <x:row r="117" ht="44" customHeight="1">
      <x:c r="B117" s="40" t="str">
        <x:v>식당 경찰 진입 간격</x:v>
      </x:c>
      <x:c r="C117" s="44" t="n">
        <x:v>1.05</x:v>
      </x:c>
      <x:c r="D117" s="46" t="str">
        <x:v>초, 마지막 구간 간격 25% 감소</x:v>
      </x:c>
    </x:row>
    <x:row r="118" ht="44" customHeight="1">
      <x:c r="B118" s="40" t="str">
        <x:v>식당 탈출 회복 비율</x:v>
      </x:c>
      <x:c r="C118" s="58" t="n">
        <x:v>0.12</x:v>
      </x:c>
      <x:c r="D118" s="46" t="str">
        <x:v>최대 체력 기준, 성공 시 한 번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25" hidden="0" customWidth="1"/>
    <x:col min="5" max="5" width="16" hidden="0" customWidth="1"/>
    <x:col min="6" max="6" width="16" hidden="0" customWidth="1"/>
    <x:col min="7" max="7" width="23" hidden="0" customWidth="1"/>
    <x:col min="8" max="8" width="16" hidden="0" customWidth="1"/>
    <x:col min="9" max="9" width="55" hidden="0" customWidth="1"/>
    <x:col min="10" max="10" width="21" hidden="0" customWidth="1"/>
    <x:col min="11" max="11" width="21" hidden="0" customWidth="1"/>
    <x:col min="12" max="12" width="21" hidden="0" customWidth="1"/>
  </x:cols>
  <x:sheetData>
    <x:row r="1" ht="27" customHeight="1">
      <x:c r="B1" s="36" t="str">
        <x:v>상어의 피부·신발·모자. 장착한 세 부위의 효과가 함께 적용됩니다.</x:v>
      </x:c>
      <x:c r="C1" s="36"/>
      <x:c r="D1" s="36"/>
      <x:c r="E1" s="36"/>
      <x:c r="F1" s="36"/>
      <x:c r="G1" s="36"/>
      <x:c r="H1" s="36"/>
      <x:c r="I1" s="36"/>
    </x:row>
    <x:row r="2" ht="30" customHeight="1">
      <x:c r="B2" s="27" t="str">
        <x:v>ID</x:v>
      </x:c>
      <x:c r="C2" s="27" t="str">
        <x:v>부위</x:v>
      </x:c>
      <x:c r="D2" s="27" t="str">
        <x:v>이름</x:v>
      </x:c>
      <x:c r="E2" s="27" t="str">
        <x:v>가격타입</x:v>
      </x:c>
      <x:c r="F2" s="27" t="str">
        <x:v>가격</x:v>
      </x:c>
      <x:c r="G2" s="27" t="str">
        <x:v>비주얼</x:v>
      </x:c>
      <x:c r="H2" s="27" t="str">
        <x:v>기본</x:v>
      </x:c>
      <x:c r="I2" s="27" t="str">
        <x:v>설명</x:v>
      </x:c>
      <x:c r="J2" s="27" t="str">
        <x:v>효과</x:v>
      </x:c>
      <x:c r="K2" s="27" t="str">
        <x:v>효과값</x:v>
      </x:c>
      <x:c r="L2" s="27" t="str">
        <x:v>효과타입</x:v>
      </x:c>
    </x:row>
    <x:row r="3" ht="28" customHeight="1">
      <x:c r="B3" s="28" t="str">
        <x:v>skin_original</x:v>
      </x:c>
      <x:c r="C3" s="28" t="str">
        <x:v>Skin</x:v>
      </x:c>
      <x:c r="D3" s="28" t="str">
        <x:v>저주받은 상어</x:v>
      </x:c>
      <x:c r="E3" s="29" t="str">
        <x:v>Jewel</x:v>
      </x:c>
      <x:c r="F3" s="30" t="n">
        <x:v>0</x:v>
      </x:c>
      <x:c r="G3" s="28" t="str">
        <x:v>skin_original</x:v>
      </x:c>
      <x:c r="H3" s="28" t="n">
        <x:v>1</x:v>
      </x:c>
      <x:c r="I3" s="28" t="str">
        <x:v>훔친 신발이 남긴 푸른 저주의 흔적</x:v>
      </x:c>
      <x:c r="J3" s="29" t="str"/>
      <x:c r="K3" s="39" t="n">
        <x:v>0</x:v>
      </x:c>
      <x:c r="L3" s="29" t="str">
        <x:v>Percent</x:v>
      </x:c>
    </x:row>
    <x:row r="4" ht="28" customHeight="1">
      <x:c r="B4" s="28" t="str">
        <x:v>skin_coral</x:v>
      </x:c>
      <x:c r="C4" s="28" t="str">
        <x:v>Skin</x:v>
      </x:c>
      <x:c r="D4" s="28" t="str">
        <x:v>벚꽃 상어</x:v>
      </x:c>
      <x:c r="E4" s="29" t="str">
        <x:v>Jewel</x:v>
      </x:c>
      <x:c r="F4" s="30" t="n">
        <x:v>250</x:v>
      </x:c>
      <x:c r="G4" s="28" t="str">
        <x:v>skin_coral</x:v>
      </x:c>
      <x:c r="H4" s="28" t="n">
        <x:v>0</x:v>
      </x:c>
      <x:c r="I4" s="28" t="str">
        <x:v>은은한 분홍빛과 밝은 배색의 상어</x:v>
      </x:c>
      <x:c r="J4" s="29" t="str">
        <x:v>HP</x:v>
      </x:c>
      <x:c r="K4" s="39" t="n">
        <x:v>20.0</x:v>
      </x:c>
      <x:c r="L4" s="29" t="str">
        <x:v>Percent</x:v>
      </x:c>
    </x:row>
    <x:row r="5" ht="28" customHeight="1">
      <x:c r="B5" s="28" t="str">
        <x:v>skin_ice</x:v>
      </x:c>
      <x:c r="C5" s="28" t="str">
        <x:v>Skin</x:v>
      </x:c>
      <x:c r="D5" s="28" t="str">
        <x:v>빙하 상어</x:v>
      </x:c>
      <x:c r="E5" s="29" t="str">
        <x:v>Jewel</x:v>
      </x:c>
      <x:c r="F5" s="30" t="n">
        <x:v>350</x:v>
      </x:c>
      <x:c r="G5" s="28" t="str">
        <x:v>skin_ice</x:v>
      </x:c>
      <x:c r="H5" s="28" t="n">
        <x:v>0</x:v>
      </x:c>
      <x:c r="I5" s="28" t="str">
        <x:v>얼음처럼 갈라진 차가운 피부 문양</x:v>
      </x:c>
      <x:c r="J5" s="29" t="str">
        <x:v>ATT_SPEED</x:v>
      </x:c>
      <x:c r="K5" s="39" t="n">
        <x:v>20.0</x:v>
      </x:c>
      <x:c r="L5" s="29" t="str">
        <x:v>Percent</x:v>
      </x:c>
    </x:row>
    <x:row r="6" ht="28" customHeight="1">
      <x:c r="B6" s="28" t="str">
        <x:v>skin_sand</x:v>
      </x:c>
      <x:c r="C6" s="28" t="str">
        <x:v>Skin</x:v>
      </x:c>
      <x:c r="D6" s="28" t="str">
        <x:v>오래된 유목</x:v>
      </x:c>
      <x:c r="E6" s="29" t="str">
        <x:v>Jewel</x:v>
      </x:c>
      <x:c r="F6" s="30" t="n">
        <x:v>450</x:v>
      </x:c>
      <x:c r="G6" s="28" t="str">
        <x:v>skin_sand</x:v>
      </x:c>
      <x:c r="H6" s="28" t="n">
        <x:v>0</x:v>
      </x:c>
      <x:c r="I6" s="28" t="str">
        <x:v>오랜 항해를 닮은 나뭇결 문양</x:v>
      </x:c>
      <x:c r="J6" s="29" t="str">
        <x:v>HP</x:v>
      </x:c>
      <x:c r="K6" s="39" t="n">
        <x:v>32.0</x:v>
      </x:c>
      <x:c r="L6" s="29" t="str">
        <x:v>Percent</x:v>
      </x:c>
    </x:row>
    <x:row r="7" ht="28" customHeight="1">
      <x:c r="B7" s="28" t="str">
        <x:v>skin_armor</x:v>
      </x:c>
      <x:c r="C7" s="28" t="str">
        <x:v>Skin</x:v>
      </x:c>
      <x:c r="D7" s="28" t="str">
        <x:v>해안 경비대</x:v>
      </x:c>
      <x:c r="E7" s="29" t="str">
        <x:v>Jewel</x:v>
      </x:c>
      <x:c r="F7" s="30" t="n">
        <x:v>700</x:v>
      </x:c>
      <x:c r="G7" s="28" t="str">
        <x:v>skin_armor</x:v>
      </x:c>
      <x:c r="H7" s="28" t="n">
        <x:v>0</x:v>
      </x:c>
      <x:c r="I7" s="28" t="str">
        <x:v>해안 위장무늬와 단단한 인상</x:v>
      </x:c>
      <x:c r="J7" s="29" t="str">
        <x:v>HP</x:v>
      </x:c>
      <x:c r="K7" s="39" t="n">
        <x:v>48.0</x:v>
      </x:c>
      <x:c r="L7" s="29" t="str">
        <x:v>Percent</x:v>
      </x:c>
    </x:row>
    <x:row r="8" ht="28" customHeight="1">
      <x:c r="B8" s="28" t="str">
        <x:v>skin_raider</x:v>
      </x:c>
      <x:c r="C8" s="28" t="str">
        <x:v>Skin</x:v>
      </x:c>
      <x:c r="D8" s="28" t="str">
        <x:v>심해 생존자</x:v>
      </x:c>
      <x:c r="E8" s="29" t="str">
        <x:v>Jewel</x:v>
      </x:c>
      <x:c r="F8" s="30" t="n">
        <x:v>600</x:v>
      </x:c>
      <x:c r="G8" s="28" t="str">
        <x:v>skin_raider</x:v>
      </x:c>
      <x:c r="H8" s="28" t="n">
        <x:v>0</x:v>
      </x:c>
      <x:c r="I8" s="28" t="str">
        <x:v>깊은 바다에서 돌아온 거친 피부</x:v>
      </x:c>
      <x:c r="J8" s="29" t="str">
        <x:v>ATT</x:v>
      </x:c>
      <x:c r="K8" s="39" t="n">
        <x:v>32.0</x:v>
      </x:c>
      <x:c r="L8" s="29" t="str">
        <x:v>Percent</x:v>
      </x:c>
    </x:row>
    <x:row r="9" ht="28" customHeight="1">
      <x:c r="B9" s="28" t="str">
        <x:v>skin_relic</x:v>
      </x:c>
      <x:c r="C9" s="28" t="str">
        <x:v>Skin</x:v>
      </x:c>
      <x:c r="D9" s="28" t="str">
        <x:v>용암의 심장</x:v>
      </x:c>
      <x:c r="E9" s="29" t="str">
        <x:v>Jewel</x:v>
      </x:c>
      <x:c r="F9" s="30" t="n">
        <x:v>900</x:v>
      </x:c>
      <x:c r="G9" s="28" t="str">
        <x:v>skin_relic</x:v>
      </x:c>
      <x:c r="H9" s="28" t="n">
        <x:v>0</x:v>
      </x:c>
      <x:c r="I9" s="28" t="str">
        <x:v>검은 표면 사이로 흐르는 붉은 균열</x:v>
      </x:c>
      <x:c r="J9" s="29" t="str">
        <x:v>BOSS_DAMAGE</x:v>
      </x:c>
      <x:c r="K9" s="39" t="n">
        <x:v>48.0</x:v>
      </x:c>
      <x:c r="L9" s="29" t="str">
        <x:v>Percent</x:v>
      </x:c>
    </x:row>
    <x:row r="10" ht="28" customHeight="1">
      <x:c r="B10" s="28" t="str">
        <x:v>skin_diver</x:v>
      </x:c>
      <x:c r="C10" s="28" t="str">
        <x:v>Skin</x:v>
      </x:c>
      <x:c r="D10" s="28" t="str">
        <x:v>네온 잠수부</x:v>
      </x:c>
      <x:c r="E10" s="29" t="str">
        <x:v>Jewel</x:v>
      </x:c>
      <x:c r="F10" s="30" t="n">
        <x:v>650</x:v>
      </x:c>
      <x:c r="G10" s="28" t="str">
        <x:v>skin_diver</x:v>
      </x:c>
      <x:c r="H10" s="28" t="n">
        <x:v>0</x:v>
      </x:c>
      <x:c r="I10" s="28" t="str">
        <x:v>회로와 금속 패널이 이어진 피부</x:v>
      </x:c>
      <x:c r="J10" s="29" t="str">
        <x:v>HP_REGEN</x:v>
      </x:c>
      <x:c r="K10" s="39" t="n">
        <x:v>0.6</x:v>
      </x:c>
      <x:c r="L10" s="29" t="str">
        <x:v>Value</x:v>
      </x:c>
    </x:row>
    <x:row r="11" ht="28" customHeight="1">
      <x:c r="B11" s="28" t="str">
        <x:v>shoes_original</x:v>
      </x:c>
      <x:c r="C11" s="28" t="str">
        <x:v>Shoes</x:v>
      </x:c>
      <x:c r="D11" s="28" t="str">
        <x:v>푸른 운동화</x:v>
      </x:c>
      <x:c r="E11" s="29" t="str">
        <x:v>Jewel</x:v>
      </x:c>
      <x:c r="F11" s="30" t="n">
        <x:v>0</x:v>
      </x:c>
      <x:c r="G11" s="28" t="str">
        <x:v>shoes_original</x:v>
      </x:c>
      <x:c r="H11" s="28" t="n">
        <x:v>1</x:v>
      </x:c>
      <x:c r="I11" s="28" t="str">
        <x:v>저주의 시작이 된 푸른 운동화</x:v>
      </x:c>
      <x:c r="J11" s="29" t="str"/>
      <x:c r="K11" s="39" t="n">
        <x:v>0</x:v>
      </x:c>
      <x:c r="L11" s="29" t="str">
        <x:v>Percent</x:v>
      </x:c>
    </x:row>
    <x:row r="12" ht="28" customHeight="1">
      <x:c r="B12" s="28" t="str">
        <x:v>shoes_ruby</x:v>
      </x:c>
      <x:c r="C12" s="28" t="str">
        <x:v>Shoes</x:v>
      </x:c>
      <x:c r="D12" s="28" t="str">
        <x:v>코퍼 하이탑</x:v>
      </x:c>
      <x:c r="E12" s="29" t="str">
        <x:v>Jewel</x:v>
      </x:c>
      <x:c r="F12" s="30" t="n">
        <x:v>200</x:v>
      </x:c>
      <x:c r="G12" s="28" t="str">
        <x:v>shoes_ruby</x:v>
      </x:c>
      <x:c r="H12" s="28" t="n">
        <x:v>0</x:v>
      </x:c>
      <x:c r="I12" s="28" t="str">
        <x:v>통풍 패널과 구리빛 포인트의 하이탑</x:v>
      </x:c>
      <x:c r="J12" s="29" t="str">
        <x:v>ATT</x:v>
      </x:c>
      <x:c r="K12" s="39" t="n">
        <x:v>16.0</x:v>
      </x:c>
      <x:c r="L12" s="29" t="str">
        <x:v>Percent</x:v>
      </x:c>
    </x:row>
    <x:row r="13" ht="28" customHeight="1">
      <x:c r="B13" s="28" t="str">
        <x:v>shoes_mint</x:v>
      </x:c>
      <x:c r="C13" s="28" t="str">
        <x:v>Shoes</x:v>
      </x:c>
      <x:c r="D13" s="28" t="str">
        <x:v>폴라 부츠</x:v>
      </x:c>
      <x:c r="E13" s="29" t="str">
        <x:v>Jewel</x:v>
      </x:c>
      <x:c r="F13" s="30" t="n">
        <x:v>300</x:v>
      </x:c>
      <x:c r="G13" s="28" t="str">
        <x:v>shoes_mint</x:v>
      </x:c>
      <x:c r="H13" s="28" t="n">
        <x:v>0</x:v>
      </x:c>
      <x:c r="I13" s="28" t="str">
        <x:v>퀼팅 원단과 두툼한 방한 칼라</x:v>
      </x:c>
      <x:c r="J13" s="29" t="str">
        <x:v>ATT_SPEED</x:v>
      </x:c>
      <x:c r="K13" s="39" t="n">
        <x:v>16.0</x:v>
      </x:c>
      <x:c r="L13" s="29" t="str">
        <x:v>Percent</x:v>
      </x:c>
    </x:row>
    <x:row r="14" ht="28" customHeight="1">
      <x:c r="B14" s="28" t="str">
        <x:v>shoes_gold</x:v>
      </x:c>
      <x:c r="C14" s="28" t="str">
        <x:v>Shoes</x:v>
      </x:c>
      <x:c r="D14" s="28" t="str">
        <x:v>선장 로퍼</x:v>
      </x:c>
      <x:c r="E14" s="29" t="str">
        <x:v>Jewel</x:v>
      </x:c>
      <x:c r="F14" s="30" t="n">
        <x:v>400</x:v>
      </x:c>
      <x:c r="G14" s="28" t="str">
        <x:v>shoes_gold</x:v>
      </x:c>
      <x:c r="H14" s="28" t="n">
        <x:v>0</x:v>
      </x:c>
      <x:c r="I14" s="28" t="str">
        <x:v>짙은 가죽과 황동 버클의 갑판화</x:v>
      </x:c>
      <x:c r="J14" s="29" t="str">
        <x:v>COIN_BONUS</x:v>
      </x:c>
      <x:c r="K14" s="39" t="n">
        <x:v>24.0</x:v>
      </x:c>
      <x:c r="L14" s="29" t="str">
        <x:v>Percent</x:v>
      </x:c>
    </x:row>
    <x:row r="15" ht="28" customHeight="1">
      <x:c r="B15" s="28" t="str">
        <x:v>shoes_steel</x:v>
      </x:c>
      <x:c r="C15" s="28" t="str">
        <x:v>Shoes</x:v>
      </x:c>
      <x:c r="D15" s="28" t="str">
        <x:v>강철 워커</x:v>
      </x:c>
      <x:c r="E15" s="29" t="str">
        <x:v>Jewel</x:v>
      </x:c>
      <x:c r="F15" s="29" t="n">
        <x:v>600</x:v>
      </x:c>
      <x:c r="G15" s="28" t="str">
        <x:v>shoes_steel</x:v>
      </x:c>
      <x:c r="H15" s="28" t="n">
        <x:v>0</x:v>
      </x:c>
      <x:c r="I15" s="28" t="str">
        <x:v>금속 앞코와 튼튼한 작업용 밑창</x:v>
      </x:c>
      <x:c r="J15" s="29" t="str">
        <x:v>ATT</x:v>
      </x:c>
      <x:c r="K15" s="39" t="n">
        <x:v>32.0</x:v>
      </x:c>
      <x:c r="L15" s="29" t="str">
        <x:v>Percent</x:v>
      </x:c>
    </x:row>
    <x:row r="16" ht="28" customHeight="1">
      <x:c r="B16" s="28" t="str">
        <x:v>shoes_spring</x:v>
      </x:c>
      <x:c r="C16" s="28" t="str">
        <x:v>Shoes</x:v>
      </x:c>
      <x:c r="D16" s="28" t="str">
        <x:v>스프링 러너</x:v>
      </x:c>
      <x:c r="E16" s="29" t="str">
        <x:v>Jewel</x:v>
      </x:c>
      <x:c r="F16" s="29" t="n">
        <x:v>750</x:v>
      </x:c>
      <x:c r="G16" s="28" t="str">
        <x:v>shoes_spring</x:v>
      </x:c>
      <x:c r="H16" s="28" t="n">
        <x:v>0</x:v>
      </x:c>
      <x:c r="I16" s="28" t="str">
        <x:v>탄성 프레임을 갖춘 가벼운 러닝화</x:v>
      </x:c>
      <x:c r="J16" s="29" t="str">
        <x:v>ATT_SPEED</x:v>
      </x:c>
      <x:c r="K16" s="39" t="n">
        <x:v>32.0</x:v>
      </x:c>
      <x:c r="L16" s="29" t="str">
        <x:v>Percent</x:v>
      </x:c>
    </x:row>
    <x:row r="17" ht="28" customHeight="1">
      <x:c r="B17" s="28" t="str">
        <x:v>shoes_relic</x:v>
      </x:c>
      <x:c r="C17" s="28" t="str">
        <x:v>Shoes</x:v>
      </x:c>
      <x:c r="D17" s="28" t="str">
        <x:v>파도 유물화</x:v>
      </x:c>
      <x:c r="E17" s="29" t="str">
        <x:v>Jewel</x:v>
      </x:c>
      <x:c r="F17" s="29" t="n">
        <x:v>900</x:v>
      </x:c>
      <x:c r="G17" s="28" t="str">
        <x:v>shoes_relic</x:v>
      </x:c>
      <x:c r="H17" s="28" t="n">
        <x:v>0</x:v>
      </x:c>
      <x:c r="I17" s="28" t="str">
        <x:v>파도 장식과 푸른 보석의 유물 부츠</x:v>
      </x:c>
      <x:c r="J17" s="29" t="str">
        <x:v>PROJECTILE_SPEED</x:v>
      </x:c>
      <x:c r="K17" s="39" t="n">
        <x:v>40.0</x:v>
      </x:c>
      <x:c r="L17" s="29" t="str">
        <x:v>Percent</x:v>
      </x:c>
    </x:row>
    <x:row r="18" ht="28" customHeight="1">
      <x:c r="B18" s="28" t="str">
        <x:v>shoes_salvage</x:v>
      </x:c>
      <x:c r="C18" s="28" t="str">
        <x:v>Shoes</x:v>
      </x:c>
      <x:c r="D18" s="28" t="str">
        <x:v>잠수 작업화</x:v>
      </x:c>
      <x:c r="E18" s="29" t="str">
        <x:v>Jewel</x:v>
      </x:c>
      <x:c r="F18" s="29" t="n">
        <x:v>650</x:v>
      </x:c>
      <x:c r="G18" s="28" t="str">
        <x:v>shoes_salvage</x:v>
      </x:c>
      <x:c r="H18" s="28" t="n">
        <x:v>0</x:v>
      </x:c>
      <x:c r="I18" s="28" t="str">
        <x:v>잠수 장비를 닮은 단단한 작업화</x:v>
      </x:c>
      <x:c r="J18" s="29" t="str">
        <x:v>COIN_BONUS</x:v>
      </x:c>
      <x:c r="K18" s="39" t="n">
        <x:v>40.0</x:v>
      </x:c>
      <x:c r="L18" s="29" t="str">
        <x:v>Percent</x:v>
      </x:c>
    </x:row>
    <x:row r="19" ht="28" customHeight="1">
      <x:c r="B19" s="28" t="str">
        <x:v>hat_none</x:v>
      </x:c>
      <x:c r="C19" s="28" t="str">
        <x:v>Hat</x:v>
      </x:c>
      <x:c r="D19" s="28" t="str">
        <x:v>머리 장비 없음</x:v>
      </x:c>
      <x:c r="E19" s="29" t="str">
        <x:v>Jewel</x:v>
      </x:c>
      <x:c r="F19" s="29" t="n">
        <x:v>0</x:v>
      </x:c>
      <x:c r="G19" s="28" t="str">
        <x:v>hat_none</x:v>
      </x:c>
      <x:c r="H19" s="28" t="n">
        <x:v>1</x:v>
      </x:c>
      <x:c r="I19" s="28" t="str">
        <x:v>저주만으로도 충분히 무겁다</x:v>
      </x:c>
      <x:c r="J19" s="29" t="str"/>
      <x:c r="K19" s="39" t="n">
        <x:v>0</x:v>
      </x:c>
      <x:c r="L19" s="29" t="str">
        <x:v>Percent</x:v>
      </x:c>
    </x:row>
    <x:row r="20" ht="28" customHeight="1">
      <x:c r="B20" s="28" t="str">
        <x:v>hat_cap</x:v>
      </x:c>
      <x:c r="C20" s="28" t="str">
        <x:v>Hat</x:v>
      </x:c>
      <x:c r="D20" s="28" t="str">
        <x:v>항해사 캡</x:v>
      </x:c>
      <x:c r="E20" s="29" t="str">
        <x:v>Jewel</x:v>
      </x:c>
      <x:c r="F20" s="29" t="n">
        <x:v>250</x:v>
      </x:c>
      <x:c r="G20" s="28" t="str">
        <x:v>hat_cap</x:v>
      </x:c>
      <x:c r="H20" s="28" t="n">
        <x:v>0</x:v>
      </x:c>
      <x:c r="I20" s="28" t="str">
        <x:v>항해사의 실용적인 캔버스 캡</x:v>
      </x:c>
      <x:c r="J20" s="29" t="str">
        <x:v>COIN_BONUS</x:v>
      </x:c>
      <x:c r="K20" s="39" t="n">
        <x:v>16.0</x:v>
      </x:c>
      <x:c r="L20" s="29" t="str">
        <x:v>Percent</x:v>
      </x:c>
    </x:row>
    <x:row r="21" ht="28" customHeight="1">
      <x:c r="B21" s="28" t="str">
        <x:v>hat_bucket</x:v>
      </x:c>
      <x:c r="C21" s="28" t="str">
        <x:v>Hat</x:v>
      </x:c>
      <x:c r="D21" s="28" t="str">
        <x:v>방수 버킷햇</x:v>
      </x:c>
      <x:c r="E21" s="29" t="str">
        <x:v>Jewel</x:v>
      </x:c>
      <x:c r="F21" s="29" t="n">
        <x:v>350</x:v>
      </x:c>
      <x:c r="G21" s="28" t="str">
        <x:v>hat_bucket</x:v>
      </x:c>
      <x:c r="H21" s="28" t="n">
        <x:v>0</x:v>
      </x:c>
      <x:c r="I21" s="28" t="str">
        <x:v>짙은 청록색의 넓은 방수 챙</x:v>
      </x:c>
      <x:c r="J21" s="29" t="str">
        <x:v>HP</x:v>
      </x:c>
      <x:c r="K21" s="39" t="n">
        <x:v>20.0</x:v>
      </x:c>
      <x:c r="L21" s="29" t="str">
        <x:v>Percent</x:v>
      </x:c>
    </x:row>
    <x:row r="22" ht="28" customHeight="1">
      <x:c r="B22" s="28" t="str">
        <x:v>hat_tophat</x:v>
      </x:c>
      <x:c r="C22" s="28" t="str">
        <x:v>Hat</x:v>
      </x:c>
      <x:c r="D22" s="28" t="str">
        <x:v>야간 정비사</x:v>
      </x:c>
      <x:c r="E22" s="29" t="str">
        <x:v>Jewel</x:v>
      </x:c>
      <x:c r="F22" s="29" t="n">
        <x:v>500</x:v>
      </x:c>
      <x:c r="G22" s="28" t="str">
        <x:v>hat_tophat</x:v>
      </x:c>
      <x:c r="H22" s="28" t="n">
        <x:v>0</x:v>
      </x:c>
      <x:c r="I22" s="28" t="str">
        <x:v>정비 장식이 달린 작업용 톱햇</x:v>
      </x:c>
      <x:c r="J22" s="29" t="str">
        <x:v>BOSS_DAMAGE</x:v>
      </x:c>
      <x:c r="K22" s="39" t="n">
        <x:v>32.0</x:v>
      </x:c>
      <x:c r="L22" s="29" t="str">
        <x:v>Percent</x:v>
      </x:c>
    </x:row>
    <x:row r="23" ht="28" customHeight="1">
      <x:c r="B23" s="28" t="str">
        <x:v>hat_goggles</x:v>
      </x:c>
      <x:c r="C23" s="28" t="str">
        <x:v>Hat</x:v>
      </x:c>
      <x:c r="D23" s="28" t="str">
        <x:v>야간 고글</x:v>
      </x:c>
      <x:c r="E23" s="29" t="str">
        <x:v>Jewel</x:v>
      </x:c>
      <x:c r="F23" s="29" t="n">
        <x:v>650</x:v>
      </x:c>
      <x:c r="G23" s="28" t="str">
        <x:v>hat_goggles</x:v>
      </x:c>
      <x:c r="H23" s="28" t="n">
        <x:v>0</x:v>
      </x:c>
      <x:c r="I23" s="28" t="str">
        <x:v>황동 프레임과 짙은 렌즈</x:v>
      </x:c>
      <x:c r="J23" s="29" t="str">
        <x:v>ATT</x:v>
      </x:c>
      <x:c r="K23" s="39" t="n">
        <x:v>24.0</x:v>
      </x:c>
      <x:c r="L23" s="29" t="str">
        <x:v>Percent</x:v>
      </x:c>
    </x:row>
    <x:row r="24" ht="28" customHeight="1">
      <x:c r="B24" s="28" t="str">
        <x:v>hat_diver</x:v>
      </x:c>
      <x:c r="C24" s="28" t="str">
        <x:v>Hat</x:v>
      </x:c>
      <x:c r="D24" s="28" t="str">
        <x:v>황동 잠수모</x:v>
      </x:c>
      <x:c r="E24" s="29" t="str">
        <x:v>Jewel</x:v>
      </x:c>
      <x:c r="F24" s="29" t="n">
        <x:v>850</x:v>
      </x:c>
      <x:c r="G24" s="28" t="str">
        <x:v>hat_diver</x:v>
      </x:c>
      <x:c r="H24" s="28" t="n">
        <x:v>0</x:v>
      </x:c>
      <x:c r="I24" s="28" t="str">
        <x:v>얼굴이 보이는 개방형 황동 잠수모</x:v>
      </x:c>
      <x:c r="J24" s="29" t="str">
        <x:v>HP</x:v>
      </x:c>
      <x:c r="K24" s="39" t="n">
        <x:v>40.0</x:v>
      </x:c>
      <x:c r="L24" s="29" t="str">
        <x:v>Percent</x:v>
      </x:c>
    </x:row>
    <x:row r="25" ht="28" customHeight="1">
      <x:c r="B25" s="28" t="str">
        <x:v>hat_pirate</x:v>
      </x:c>
      <x:c r="C25" s="28" t="str">
        <x:v>Hat</x:v>
      </x:c>
      <x:c r="D25" s="28" t="str">
        <x:v>검은 돛 선장모</x:v>
      </x:c>
      <x:c r="E25" s="29" t="str">
        <x:v>Jewel</x:v>
      </x:c>
      <x:c r="F25" s="29" t="n">
        <x:v>750</x:v>
      </x:c>
      <x:c r="G25" s="28" t="str">
        <x:v>hat_pirate</x:v>
      </x:c>
      <x:c r="H25" s="28" t="n">
        <x:v>0</x:v>
      </x:c>
      <x:c r="I25" s="28" t="str">
        <x:v>해진 가죽과 나침반 장식의 삼각모</x:v>
      </x:c>
      <x:c r="J25" s="29" t="str">
        <x:v>PROJECTILE_SPEED</x:v>
      </x:c>
      <x:c r="K25" s="39" t="n">
        <x:v>32.0</x:v>
      </x:c>
      <x:c r="L25" s="29" t="str">
        <x:v>Percent</x:v>
      </x:c>
    </x:row>
    <x:row r="26" ht="28" customHeight="1">
      <x:c r="B26" s="28" t="str">
        <x:v>hat_relic</x:v>
      </x:c>
      <x:c r="C26" s="28" t="str">
        <x:v>Hat</x:v>
      </x:c>
      <x:c r="D26" s="28" t="str">
        <x:v>파도의 관</x:v>
      </x:c>
      <x:c r="E26" s="29" t="str">
        <x:v>Jewel</x:v>
      </x:c>
      <x:c r="F26" s="29" t="n">
        <x:v>1000</x:v>
      </x:c>
      <x:c r="G26" s="28" t="str">
        <x:v>hat_relic</x:v>
      </x:c>
      <x:c r="H26" s="28" t="n">
        <x:v>0</x:v>
      </x:c>
      <x:c r="I26" s="28" t="str">
        <x:v>짧은 파도 장식과 터키석의 금빛 관</x:v>
      </x:c>
      <x:c r="J26" s="29" t="str">
        <x:v>BOSS_DAMAGE</x:v>
      </x:c>
      <x:c r="K26" s="39" t="n">
        <x:v>48.0</x:v>
      </x:c>
      <x:c r="L26" s="29" t="str">
        <x:v>Percent</x:v>
      </x:c>
    </x:row>
  </x:sheetData>
  <x:pageMargins left="0.7" right="0.7" top="0.75" bottom="0.75" header="0.3" footer="0.3"/>
</x:worksheet>
</file>