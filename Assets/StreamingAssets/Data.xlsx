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treamingAssets\"/>
    </mc:Choice>
  </mc:AlternateContent>
  <xr:revisionPtr revIDLastSave="0" documentId="13_ncr:1_{03717BEE-53C4-4A18-BEB4-B2781FAEEEC4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" l="1"/>
  <c r="G4" i="4"/>
  <c r="G5" i="4" s="1"/>
  <c r="L17" i="3"/>
  <c r="K17" i="3"/>
  <c r="L16" i="3"/>
  <c r="K16" i="3"/>
  <c r="L15" i="3"/>
  <c r="K15" i="3"/>
  <c r="L14" i="3"/>
  <c r="K14" i="3"/>
  <c r="K13" i="3"/>
  <c r="K12" i="3"/>
  <c r="G9" i="4" l="1"/>
  <c r="G7" i="4"/>
  <c r="G8" i="4" s="1"/>
  <c r="G10" i="4" l="1"/>
  <c r="G11" i="4" s="1"/>
  <c r="G12" i="4"/>
  <c r="G13" i="4" l="1"/>
  <c r="G14" i="4" s="1"/>
  <c r="G15" i="4"/>
  <c r="G16" i="4" l="1"/>
  <c r="G17" i="4" s="1"/>
  <c r="G18" i="4"/>
  <c r="G19" i="4" l="1"/>
  <c r="G20" i="4" s="1"/>
  <c r="G21" i="4"/>
  <c r="G22" i="4" l="1"/>
  <c r="G23" i="4" s="1"/>
  <c r="G24" i="4"/>
  <c r="G25" i="4" l="1"/>
  <c r="G26" i="4" s="1"/>
  <c r="G27" i="4"/>
  <c r="G28" i="4" l="1"/>
  <c r="G29" i="4" s="1"/>
  <c r="G30" i="4"/>
  <c r="G31" i="4" l="1"/>
  <c r="G32" i="4" s="1"/>
  <c r="G33" i="4"/>
  <c r="G34" i="4" l="1"/>
  <c r="G35" i="4" s="1"/>
  <c r="G36" i="4"/>
  <c r="G37" i="4" l="1"/>
  <c r="G38" i="4" s="1"/>
  <c r="G39" i="4"/>
  <c r="G40" i="4" l="1"/>
  <c r="G41" i="4" s="1"/>
  <c r="G42" i="4"/>
  <c r="G43" i="4" l="1"/>
  <c r="G44" i="4" s="1"/>
  <c r="G45" i="4"/>
  <c r="G46" i="4" l="1"/>
  <c r="G47" i="4" s="1"/>
  <c r="G48" i="4"/>
  <c r="G49" i="4" l="1"/>
  <c r="G50" i="4" s="1"/>
  <c r="G51" i="4"/>
  <c r="G52" i="4" l="1"/>
  <c r="G53" i="4" s="1"/>
  <c r="G54" i="4"/>
  <c r="G55" i="4" l="1"/>
  <c r="G56" i="4" s="1"/>
  <c r="G57" i="4"/>
  <c r="G58" i="4" l="1"/>
  <c r="G59" i="4" s="1"/>
  <c r="G60" i="4"/>
  <c r="G61" i="4" l="1"/>
  <c r="G62" i="4" s="1"/>
  <c r="G63" i="4"/>
  <c r="G64" i="4" l="1"/>
  <c r="G65" i="4" s="1"/>
  <c r="G66" i="4"/>
  <c r="G67" i="4" l="1"/>
  <c r="G68" i="4" s="1"/>
  <c r="G69" i="4"/>
  <c r="G70" i="4" l="1"/>
  <c r="G71" i="4" s="1"/>
  <c r="G72" i="4"/>
  <c r="G73" i="4" l="1"/>
  <c r="G74" i="4" s="1"/>
  <c r="G75" i="4"/>
  <c r="G76" i="4" l="1"/>
  <c r="G77" i="4" s="1"/>
  <c r="G78" i="4"/>
  <c r="G79" i="4" l="1"/>
  <c r="G80" i="4" s="1"/>
  <c r="G81" i="4"/>
  <c r="G82" i="4" l="1"/>
  <c r="G83" i="4" s="1"/>
  <c r="G84" i="4"/>
  <c r="G85" i="4" l="1"/>
  <c r="G86" i="4" s="1"/>
  <c r="G87" i="4"/>
  <c r="G88" i="4" l="1"/>
  <c r="G89" i="4" s="1"/>
  <c r="G90" i="4"/>
  <c r="G91" i="4" l="1"/>
  <c r="G92" i="4" s="1"/>
  <c r="G93" i="4"/>
  <c r="G94" i="4" l="1"/>
  <c r="G95" i="4" s="1"/>
  <c r="G96" i="4"/>
  <c r="G97" i="4" l="1"/>
  <c r="G98" i="4" s="1"/>
  <c r="G99" i="4"/>
  <c r="G102" i="4" l="1"/>
  <c r="G100" i="4"/>
  <c r="G101" i="4" s="1"/>
  <c r="G103" i="4" l="1"/>
  <c r="G104" i="4" s="1"/>
  <c r="G105" i="4"/>
  <c r="G106" i="4" l="1"/>
  <c r="G107" i="4" s="1"/>
  <c r="G108" i="4"/>
  <c r="G109" i="4" l="1"/>
  <c r="G110" i="4" s="1"/>
  <c r="G111" i="4"/>
  <c r="G112" i="4" l="1"/>
  <c r="G113" i="4" s="1"/>
  <c r="G114" i="4"/>
  <c r="G115" i="4" l="1"/>
  <c r="G116" i="4" s="1"/>
  <c r="G117" i="4"/>
  <c r="G118" i="4" l="1"/>
  <c r="G119" i="4" s="1"/>
  <c r="G120" i="4"/>
  <c r="G121" i="4" l="1"/>
  <c r="G122" i="4" s="1"/>
  <c r="G123" i="4"/>
  <c r="G124" i="4" l="1"/>
  <c r="G125" i="4" s="1"/>
  <c r="G126" i="4"/>
  <c r="G127" i="4" l="1"/>
  <c r="G128" i="4" s="1"/>
  <c r="G129" i="4"/>
  <c r="G130" i="4" l="1"/>
  <c r="G131" i="4" s="1"/>
  <c r="G132" i="4"/>
  <c r="G133" i="4" l="1"/>
  <c r="G134" i="4" s="1"/>
  <c r="G135" i="4"/>
  <c r="G136" i="4" l="1"/>
  <c r="G137" i="4" s="1"/>
  <c r="G138" i="4"/>
  <c r="G139" i="4" l="1"/>
  <c r="G140" i="4" s="1"/>
  <c r="G141" i="4"/>
  <c r="G142" i="4" l="1"/>
  <c r="G143" i="4" s="1"/>
  <c r="G144" i="4"/>
  <c r="G145" i="4" l="1"/>
  <c r="G146" i="4" s="1"/>
  <c r="G147" i="4"/>
  <c r="G148" i="4" l="1"/>
  <c r="G149" i="4" s="1"/>
  <c r="G150" i="4"/>
  <c r="G151" i="4" l="1"/>
  <c r="G152" i="4" s="1"/>
  <c r="G153" i="4"/>
  <c r="G154" i="4" l="1"/>
  <c r="G155" i="4" s="1"/>
  <c r="G156" i="4"/>
  <c r="G157" i="4" l="1"/>
  <c r="G158" i="4" s="1"/>
  <c r="G159" i="4"/>
  <c r="G160" i="4" l="1"/>
  <c r="G161" i="4" s="1"/>
  <c r="G162" i="4"/>
  <c r="G163" i="4" l="1"/>
  <c r="G164" i="4" s="1"/>
  <c r="G165" i="4"/>
  <c r="G166" i="4" l="1"/>
  <c r="G167" i="4" s="1"/>
  <c r="G168" i="4"/>
  <c r="G169" i="4" l="1"/>
  <c r="G170" i="4" s="1"/>
  <c r="G171" i="4"/>
  <c r="G172" i="4" l="1"/>
  <c r="G173" i="4" s="1"/>
  <c r="G174" i="4"/>
  <c r="G175" i="4" l="1"/>
  <c r="G176" i="4" s="1"/>
  <c r="G177" i="4"/>
  <c r="G178" i="4" l="1"/>
  <c r="G179" i="4" s="1"/>
  <c r="G180" i="4"/>
  <c r="G181" i="4" l="1"/>
  <c r="G182" i="4" s="1"/>
  <c r="G183" i="4"/>
  <c r="G184" i="4" l="1"/>
  <c r="G185" i="4" s="1"/>
  <c r="G186" i="4"/>
  <c r="G187" i="4" l="1"/>
  <c r="G188" i="4" s="1"/>
  <c r="G189" i="4"/>
  <c r="G190" i="4" l="1"/>
  <c r="G191" i="4" s="1"/>
  <c r="G192" i="4"/>
  <c r="G193" i="4" l="1"/>
  <c r="G194" i="4" s="1"/>
  <c r="G195" i="4"/>
  <c r="G196" i="4" l="1"/>
  <c r="G197" i="4" s="1"/>
  <c r="G198" i="4"/>
  <c r="G199" i="4" l="1"/>
  <c r="G200" i="4" s="1"/>
  <c r="G201" i="4"/>
  <c r="G202" i="4" l="1"/>
  <c r="G203" i="4" s="1"/>
  <c r="G204" i="4"/>
  <c r="G205" i="4" l="1"/>
  <c r="G206" i="4" s="1"/>
  <c r="G207" i="4"/>
  <c r="G208" i="4" l="1"/>
  <c r="G209" i="4" s="1"/>
  <c r="G210" i="4"/>
  <c r="G211" i="4" l="1"/>
  <c r="G212" i="4" s="1"/>
  <c r="G213" i="4"/>
  <c r="G214" i="4" l="1"/>
  <c r="G215" i="4" s="1"/>
  <c r="G216" i="4"/>
  <c r="G217" i="4" l="1"/>
  <c r="G218" i="4" s="1"/>
  <c r="G219" i="4"/>
  <c r="G220" i="4" l="1"/>
  <c r="G221" i="4" s="1"/>
  <c r="G222" i="4"/>
  <c r="G223" i="4" l="1"/>
  <c r="G224" i="4" s="1"/>
  <c r="G225" i="4"/>
  <c r="G226" i="4" l="1"/>
  <c r="G227" i="4" s="1"/>
  <c r="G228" i="4"/>
  <c r="G229" i="4" l="1"/>
  <c r="G230" i="4" s="1"/>
  <c r="G231" i="4"/>
  <c r="G232" i="4" l="1"/>
  <c r="G233" i="4" s="1"/>
  <c r="G234" i="4"/>
  <c r="G235" i="4" l="1"/>
  <c r="G236" i="4" s="1"/>
  <c r="G237" i="4"/>
  <c r="G238" i="4" l="1"/>
  <c r="G239" i="4" s="1"/>
  <c r="G240" i="4"/>
  <c r="G241" i="4" l="1"/>
  <c r="G242" i="4" s="1"/>
  <c r="G243" i="4"/>
  <c r="G244" i="4" l="1"/>
  <c r="G245" i="4" s="1"/>
  <c r="G246" i="4"/>
  <c r="G247" i="4" l="1"/>
  <c r="G248" i="4" s="1"/>
  <c r="G249" i="4"/>
  <c r="G250" i="4" l="1"/>
  <c r="G251" i="4" s="1"/>
  <c r="G252" i="4"/>
  <c r="G253" i="4" l="1"/>
  <c r="G254" i="4" s="1"/>
  <c r="G255" i="4"/>
  <c r="G256" i="4" l="1"/>
  <c r="G257" i="4" s="1"/>
  <c r="G258" i="4"/>
  <c r="G259" i="4" l="1"/>
  <c r="G260" i="4" s="1"/>
  <c r="G261" i="4"/>
  <c r="G262" i="4" l="1"/>
  <c r="G263" i="4" s="1"/>
  <c r="G264" i="4"/>
  <c r="G265" i="4" l="1"/>
  <c r="G266" i="4" s="1"/>
  <c r="G267" i="4"/>
  <c r="G268" i="4" l="1"/>
  <c r="G269" i="4" s="1"/>
  <c r="G270" i="4"/>
  <c r="G271" i="4" l="1"/>
  <c r="G272" i="4" s="1"/>
  <c r="G273" i="4"/>
  <c r="G274" i="4" l="1"/>
  <c r="G275" i="4" s="1"/>
  <c r="G276" i="4"/>
  <c r="G277" i="4" l="1"/>
  <c r="G278" i="4" s="1"/>
  <c r="G279" i="4"/>
  <c r="G280" i="4" l="1"/>
  <c r="G281" i="4" s="1"/>
  <c r="G282" i="4"/>
  <c r="G283" i="4" l="1"/>
  <c r="G284" i="4" s="1"/>
  <c r="G285" i="4"/>
  <c r="G286" i="4" l="1"/>
  <c r="G287" i="4" s="1"/>
  <c r="G288" i="4"/>
  <c r="G289" i="4" l="1"/>
  <c r="G290" i="4" s="1"/>
  <c r="G291" i="4"/>
  <c r="G292" i="4" l="1"/>
  <c r="G293" i="4" s="1"/>
  <c r="G294" i="4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<sst xmlns="http://schemas.openxmlformats.org/spreadsheetml/2006/main" count="2281" uniqueCount="123">
  <si>
    <t>식별 순번</t>
  </si>
  <si>
    <t>식별 Enum</t>
  </si>
  <si>
    <t>레벨</t>
  </si>
  <si>
    <t>항목</t>
  </si>
  <si>
    <t>수치</t>
  </si>
  <si>
    <t>수치 타입</t>
  </si>
  <si>
    <t>가격 타입</t>
  </si>
  <si>
    <t>가격 수치</t>
  </si>
  <si>
    <t>기타 설명</t>
  </si>
  <si>
    <t>ATT</t>
  </si>
  <si>
    <t>공격력</t>
  </si>
  <si>
    <t>value</t>
  </si>
  <si>
    <t>Coin</t>
  </si>
  <si>
    <t>공격력 증가</t>
  </si>
  <si>
    <t>HP</t>
  </si>
  <si>
    <t>체력</t>
  </si>
  <si>
    <t>체력 증가</t>
  </si>
  <si>
    <t>ATT_SPEED</t>
  </si>
  <si>
    <t>공속</t>
  </si>
  <si>
    <t>percent</t>
  </si>
  <si>
    <t>공격 속도 증가</t>
  </si>
  <si>
    <t>PROJECTILE_SPEED</t>
  </si>
  <si>
    <t>투사체 속도</t>
  </si>
  <si>
    <t>투사체 속도 증가</t>
  </si>
  <si>
    <t>BOSS_DAMAGE</t>
  </si>
  <si>
    <t>보스 데미지</t>
  </si>
  <si>
    <t>보스 데미지 증가</t>
  </si>
  <si>
    <t>COIN_BONUS</t>
  </si>
  <si>
    <t>코인 보너스</t>
  </si>
  <si>
    <t>얻는 코인량 증가</t>
  </si>
  <si>
    <t>HP_REGEN</t>
  </si>
  <si>
    <t>체력 회복</t>
  </si>
  <si>
    <t>Jewel</t>
  </si>
  <si>
    <t>5초 당 체력 회복</t>
  </si>
  <si>
    <t>TUNGTUNGTUNG</t>
  </si>
  <si>
    <t>퉁퉁퉁 사후르</t>
  </si>
  <si>
    <t>내 현재 체력의</t>
  </si>
  <si>
    <t>BOOMBAR</t>
  </si>
  <si>
    <t>붐바르 딜로</t>
  </si>
  <si>
    <t>내 현재 공격력의</t>
  </si>
  <si>
    <t>식별 순서</t>
  </si>
  <si>
    <t>항목(이름)</t>
  </si>
  <si>
    <t>보너스 타입</t>
  </si>
  <si>
    <t>보너스 값 타입</t>
  </si>
  <si>
    <t>보너스 수치</t>
  </si>
  <si>
    <t>Original</t>
  </si>
  <si>
    <t>Pink</t>
  </si>
  <si>
    <t>Value</t>
  </si>
  <si>
    <t>Zombie</t>
  </si>
  <si>
    <t>Ice</t>
  </si>
  <si>
    <t>Percent</t>
  </si>
  <si>
    <t>Wood</t>
  </si>
  <si>
    <t>Fire</t>
  </si>
  <si>
    <t>Army</t>
  </si>
  <si>
    <t>Cyber</t>
  </si>
  <si>
    <t>Christmas</t>
  </si>
  <si>
    <t>최소</t>
  </si>
  <si>
    <t>최대</t>
  </si>
  <si>
    <t>Normal</t>
  </si>
  <si>
    <t>att</t>
  </si>
  <si>
    <t>ratio</t>
  </si>
  <si>
    <t>attPercent</t>
  </si>
  <si>
    <t>attackSpeed</t>
  </si>
  <si>
    <t>missileDistance</t>
  </si>
  <si>
    <t>hp</t>
  </si>
  <si>
    <t>hpPercent</t>
  </si>
  <si>
    <t>Rare</t>
  </si>
  <si>
    <t>tungtungAdd</t>
  </si>
  <si>
    <t>boombarAdd</t>
  </si>
  <si>
    <t>Unique</t>
  </si>
  <si>
    <t>missileAdd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</si>
  <si>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</si>
  <si>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</si>
  <si>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</si>
  <si>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</si>
  <si>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</si>
  <si>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</si>
  <si>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</si>
  <si>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</si>
  <si>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</si>
  <si>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</si>
  <si>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</si>
  <si>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</si>
  <si>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</si>
  <si>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</si>
  <si>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</si>
  <si>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</si>
  <si>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</si>
  <si>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</si>
  <si>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</si>
  <si>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</si>
  <si>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</si>
  <si>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</si>
  <si>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</si>
  <si>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</si>
  <si>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</si>
  <si>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</si>
  <si>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</si>
  <si>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</si>
  <si>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</si>
  <si>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</si>
  <si>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</si>
  <si>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</si>
  <si>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</si>
  <si>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</si>
  <si>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</si>
  <si>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</si>
  <si>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</si>
  <si>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</si>
  <si>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</si>
  <si>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</si>
  <si>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</si>
  <si>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</si>
  <si>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변수명</t>
  </si>
  <si>
    <t>변수 타입</t>
  </si>
  <si>
    <t>float</t>
    <phoneticPr fontId="1" type="noConversion"/>
  </si>
  <si>
    <t>값1</t>
    <phoneticPr fontId="1" type="noConversion"/>
  </si>
  <si>
    <t>값2</t>
    <phoneticPr fontId="1" type="noConversion"/>
  </si>
  <si>
    <t>playerSpeed</t>
    <phoneticPr fontId="1" type="noConversion"/>
  </si>
  <si>
    <t>값3</t>
    <phoneticPr fontId="1" type="noConversion"/>
  </si>
  <si>
    <t>float</t>
    <phoneticPr fontId="1" type="noConversion"/>
  </si>
  <si>
    <t>playerDefaultAtt</t>
    <phoneticPr fontId="1" type="noConversion"/>
  </si>
  <si>
    <t>playerDefaultHp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</si>
</sst>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CCCCCC"/>
      <name val="Consolas"/>
      <family val="3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52"/>
  <sheetViews>
    <sheetView topLeftCell="A10" workbookViewId="0">
      <selection activeCell="F34" sqref="F34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1" x14ac:dyDescent="0.3">
      <c r="B3">
        <v>1</v>
      </c>
      <c r="C3" t="s">
        <v>9</v>
      </c>
      <c r="D3">
        <v>1</v>
      </c>
      <c r="E3" t="s">
        <v>10</v>
      </c>
      <c r="F3">
        <v>5</v>
      </c>
      <c r="G3" t="s">
        <v>11</v>
      </c>
      <c r="H3" t="s">
        <v>12</v>
      </c>
      <c r="I3">
        <v>100</v>
      </c>
      <c r="J3" t="s">
        <v>13</v>
      </c>
      <c r="K3" s="2"/>
    </row>
    <row r="4" spans="2:11" x14ac:dyDescent="0.3">
      <c r="B4">
        <v>1</v>
      </c>
      <c r="C4" t="s">
        <v>9</v>
      </c>
      <c r="D4">
        <v>2</v>
      </c>
      <c r="E4" t="s">
        <v>10</v>
      </c>
      <c r="F4">
        <v>10</v>
      </c>
      <c r="G4" t="s">
        <v>11</v>
      </c>
      <c r="H4" t="s">
        <v>12</v>
      </c>
      <c r="I4">
        <v>150</v>
      </c>
      <c r="J4" t="s">
        <v>13</v>
      </c>
      <c r="K4" s="2"/>
    </row>
    <row r="5" spans="2:11" x14ac:dyDescent="0.3">
      <c r="B5">
        <v>1</v>
      </c>
      <c r="C5" t="s">
        <v>9</v>
      </c>
      <c r="D5">
        <v>3</v>
      </c>
      <c r="E5" t="s">
        <v>10</v>
      </c>
      <c r="F5">
        <v>15</v>
      </c>
      <c r="G5" t="s">
        <v>11</v>
      </c>
      <c r="H5" t="s">
        <v>12</v>
      </c>
      <c r="I5">
        <v>200</v>
      </c>
      <c r="J5" t="s">
        <v>13</v>
      </c>
      <c r="K5" s="2"/>
    </row>
    <row r="6" spans="2:11" x14ac:dyDescent="0.3">
      <c r="B6">
        <v>1</v>
      </c>
      <c r="C6" t="s">
        <v>9</v>
      </c>
      <c r="D6">
        <v>4</v>
      </c>
      <c r="E6" t="s">
        <v>10</v>
      </c>
      <c r="F6">
        <v>20</v>
      </c>
      <c r="G6" t="s">
        <v>11</v>
      </c>
      <c r="H6" t="s">
        <v>12</v>
      </c>
      <c r="I6">
        <v>250</v>
      </c>
      <c r="J6" t="s">
        <v>13</v>
      </c>
      <c r="K6" s="2"/>
    </row>
    <row r="7" spans="2:11" x14ac:dyDescent="0.3">
      <c r="B7">
        <v>1</v>
      </c>
      <c r="C7" t="s">
        <v>9</v>
      </c>
      <c r="D7">
        <v>5</v>
      </c>
      <c r="E7" t="s">
        <v>10</v>
      </c>
      <c r="F7">
        <v>25</v>
      </c>
      <c r="G7" t="s">
        <v>11</v>
      </c>
      <c r="H7" t="s">
        <v>12</v>
      </c>
      <c r="I7">
        <v>300</v>
      </c>
      <c r="J7" t="s">
        <v>13</v>
      </c>
      <c r="K7" s="2"/>
    </row>
    <row r="8" spans="2:11" x14ac:dyDescent="0.3">
      <c r="B8">
        <v>1</v>
      </c>
      <c r="C8" t="s">
        <v>9</v>
      </c>
      <c r="D8">
        <v>6</v>
      </c>
      <c r="E8" t="s">
        <v>10</v>
      </c>
      <c r="F8">
        <v>30</v>
      </c>
      <c r="G8" t="s">
        <v>11</v>
      </c>
      <c r="H8" t="s">
        <v>12</v>
      </c>
      <c r="I8">
        <v>350</v>
      </c>
      <c r="J8" t="s">
        <v>13</v>
      </c>
      <c r="K8" s="2"/>
    </row>
    <row r="9" spans="2:11" x14ac:dyDescent="0.3">
      <c r="B9">
        <v>1</v>
      </c>
      <c r="C9" t="s">
        <v>9</v>
      </c>
      <c r="D9">
        <v>7</v>
      </c>
      <c r="E9" t="s">
        <v>10</v>
      </c>
      <c r="F9">
        <v>35</v>
      </c>
      <c r="G9" t="s">
        <v>11</v>
      </c>
      <c r="H9" t="s">
        <v>12</v>
      </c>
      <c r="I9">
        <v>400</v>
      </c>
      <c r="J9" t="s">
        <v>13</v>
      </c>
      <c r="K9" s="2"/>
    </row>
    <row r="10" spans="2:11" x14ac:dyDescent="0.3">
      <c r="B10">
        <v>1</v>
      </c>
      <c r="C10" t="s">
        <v>9</v>
      </c>
      <c r="D10">
        <v>8</v>
      </c>
      <c r="E10" t="s">
        <v>10</v>
      </c>
      <c r="F10">
        <v>40</v>
      </c>
      <c r="G10" t="s">
        <v>11</v>
      </c>
      <c r="H10" t="s">
        <v>12</v>
      </c>
      <c r="I10">
        <v>450</v>
      </c>
      <c r="J10" t="s">
        <v>13</v>
      </c>
      <c r="K10" s="2"/>
    </row>
    <row r="11" spans="2:11" x14ac:dyDescent="0.3">
      <c r="B11">
        <v>1</v>
      </c>
      <c r="C11" t="s">
        <v>9</v>
      </c>
      <c r="D11">
        <v>9</v>
      </c>
      <c r="E11" t="s">
        <v>10</v>
      </c>
      <c r="F11">
        <v>45</v>
      </c>
      <c r="G11" t="s">
        <v>11</v>
      </c>
      <c r="H11" t="s">
        <v>12</v>
      </c>
      <c r="I11">
        <v>500</v>
      </c>
      <c r="J11" t="s">
        <v>13</v>
      </c>
      <c r="K11" s="2"/>
    </row>
    <row r="12" spans="2:11" x14ac:dyDescent="0.3">
      <c r="B12">
        <v>1</v>
      </c>
      <c r="C12" t="s">
        <v>9</v>
      </c>
      <c r="D12">
        <v>10</v>
      </c>
      <c r="E12" t="s">
        <v>10</v>
      </c>
      <c r="F12">
        <v>50</v>
      </c>
      <c r="G12" t="s">
        <v>11</v>
      </c>
      <c r="H12" t="s">
        <v>12</v>
      </c>
      <c r="I12">
        <v>550</v>
      </c>
      <c r="J12" t="s">
        <v>13</v>
      </c>
    </row>
    <row r="13" spans="2:11" x14ac:dyDescent="0.3">
      <c r="B13">
        <v>1</v>
      </c>
      <c r="C13" t="s">
        <v>9</v>
      </c>
      <c r="D13">
        <v>11</v>
      </c>
      <c r="E13" t="s">
        <v>10</v>
      </c>
      <c r="F13">
        <v>55</v>
      </c>
      <c r="G13" t="s">
        <v>11</v>
      </c>
      <c r="H13" t="s">
        <v>12</v>
      </c>
      <c r="I13">
        <v>600</v>
      </c>
      <c r="J13" t="s">
        <v>13</v>
      </c>
    </row>
    <row r="14" spans="2:11" x14ac:dyDescent="0.3">
      <c r="B14">
        <v>1</v>
      </c>
      <c r="C14" t="s">
        <v>9</v>
      </c>
      <c r="D14">
        <v>12</v>
      </c>
      <c r="E14" t="s">
        <v>10</v>
      </c>
      <c r="F14">
        <v>60</v>
      </c>
      <c r="G14" t="s">
        <v>11</v>
      </c>
      <c r="H14" t="s">
        <v>12</v>
      </c>
      <c r="I14">
        <v>650</v>
      </c>
      <c r="J14" t="s">
        <v>13</v>
      </c>
    </row>
    <row r="15" spans="2:11" x14ac:dyDescent="0.3">
      <c r="B15">
        <v>1</v>
      </c>
      <c r="C15" t="s">
        <v>9</v>
      </c>
      <c r="D15">
        <v>13</v>
      </c>
      <c r="E15" t="s">
        <v>10</v>
      </c>
      <c r="F15">
        <v>65</v>
      </c>
      <c r="G15" t="s">
        <v>11</v>
      </c>
      <c r="H15" t="s">
        <v>12</v>
      </c>
      <c r="I15">
        <v>700</v>
      </c>
      <c r="J15" t="s">
        <v>13</v>
      </c>
    </row>
    <row r="16" spans="2:11" x14ac:dyDescent="0.3">
      <c r="B16">
        <v>1</v>
      </c>
      <c r="C16" t="s">
        <v>9</v>
      </c>
      <c r="D16">
        <v>14</v>
      </c>
      <c r="E16" t="s">
        <v>10</v>
      </c>
      <c r="F16">
        <v>70</v>
      </c>
      <c r="G16" t="s">
        <v>11</v>
      </c>
      <c r="H16" t="s">
        <v>12</v>
      </c>
      <c r="I16">
        <v>750</v>
      </c>
      <c r="J16" t="s">
        <v>13</v>
      </c>
    </row>
    <row r="17" spans="2:10" x14ac:dyDescent="0.3">
      <c r="B17">
        <v>1</v>
      </c>
      <c r="C17" t="s">
        <v>9</v>
      </c>
      <c r="D17">
        <v>15</v>
      </c>
      <c r="E17" t="s">
        <v>10</v>
      </c>
      <c r="F17">
        <v>75</v>
      </c>
      <c r="G17" t="s">
        <v>11</v>
      </c>
      <c r="H17" t="s">
        <v>12</v>
      </c>
      <c r="I17">
        <v>800</v>
      </c>
      <c r="J17" t="s">
        <v>13</v>
      </c>
    </row>
    <row r="18" spans="2:10" x14ac:dyDescent="0.3">
      <c r="B18">
        <v>1</v>
      </c>
      <c r="C18" t="s">
        <v>9</v>
      </c>
      <c r="D18">
        <v>16</v>
      </c>
      <c r="E18" t="s">
        <v>10</v>
      </c>
      <c r="F18">
        <v>80</v>
      </c>
      <c r="G18" t="s">
        <v>11</v>
      </c>
      <c r="H18" t="s">
        <v>12</v>
      </c>
      <c r="I18">
        <v>850</v>
      </c>
      <c r="J18" t="s">
        <v>13</v>
      </c>
    </row>
    <row r="19" spans="2:10" x14ac:dyDescent="0.3">
      <c r="B19">
        <v>1</v>
      </c>
      <c r="C19" t="s">
        <v>9</v>
      </c>
      <c r="D19">
        <v>17</v>
      </c>
      <c r="E19" t="s">
        <v>10</v>
      </c>
      <c r="F19">
        <v>85</v>
      </c>
      <c r="G19" t="s">
        <v>11</v>
      </c>
      <c r="H19" t="s">
        <v>12</v>
      </c>
      <c r="I19">
        <v>900</v>
      </c>
      <c r="J19" t="s">
        <v>13</v>
      </c>
    </row>
    <row r="20" spans="2:10" x14ac:dyDescent="0.3">
      <c r="B20">
        <v>1</v>
      </c>
      <c r="C20" t="s">
        <v>9</v>
      </c>
      <c r="D20">
        <v>18</v>
      </c>
      <c r="E20" t="s">
        <v>10</v>
      </c>
      <c r="F20">
        <v>90</v>
      </c>
      <c r="G20" t="s">
        <v>11</v>
      </c>
      <c r="H20" t="s">
        <v>12</v>
      </c>
      <c r="I20">
        <v>950</v>
      </c>
      <c r="J20" t="s">
        <v>13</v>
      </c>
    </row>
    <row r="21" spans="2:10" x14ac:dyDescent="0.3">
      <c r="B21">
        <v>1</v>
      </c>
      <c r="C21" t="s">
        <v>9</v>
      </c>
      <c r="D21">
        <v>19</v>
      </c>
      <c r="E21" t="s">
        <v>10</v>
      </c>
      <c r="F21">
        <v>95</v>
      </c>
      <c r="G21" t="s">
        <v>11</v>
      </c>
      <c r="H21" t="s">
        <v>12</v>
      </c>
      <c r="I21">
        <v>1000</v>
      </c>
      <c r="J21" t="s">
        <v>13</v>
      </c>
    </row>
    <row r="22" spans="2:10" x14ac:dyDescent="0.3">
      <c r="B22">
        <v>1</v>
      </c>
      <c r="C22" t="s">
        <v>9</v>
      </c>
      <c r="D22">
        <v>20</v>
      </c>
      <c r="E22" t="s">
        <v>10</v>
      </c>
      <c r="F22">
        <v>100</v>
      </c>
      <c r="G22" t="s">
        <v>11</v>
      </c>
      <c r="H22" t="s">
        <v>12</v>
      </c>
      <c r="I22">
        <v>1050</v>
      </c>
      <c r="J22" t="s">
        <v>13</v>
      </c>
    </row>
    <row r="23" spans="2:10" x14ac:dyDescent="0.3">
      <c r="B23">
        <v>2</v>
      </c>
      <c r="C23" t="s">
        <v>14</v>
      </c>
      <c r="D23">
        <v>1</v>
      </c>
      <c r="E23" t="s">
        <v>15</v>
      </c>
      <c r="F23">
        <v>5</v>
      </c>
      <c r="G23" t="s">
        <v>11</v>
      </c>
      <c r="H23" t="s">
        <v>12</v>
      </c>
      <c r="I23">
        <v>100</v>
      </c>
      <c r="J23" t="s">
        <v>16</v>
      </c>
    </row>
    <row r="24" spans="2:10" x14ac:dyDescent="0.3">
      <c r="B24">
        <v>2</v>
      </c>
      <c r="C24" t="s">
        <v>14</v>
      </c>
      <c r="D24">
        <v>2</v>
      </c>
      <c r="E24" t="s">
        <v>15</v>
      </c>
      <c r="F24">
        <v>10</v>
      </c>
      <c r="G24" t="s">
        <v>11</v>
      </c>
      <c r="H24" t="s">
        <v>12</v>
      </c>
      <c r="I24">
        <v>150</v>
      </c>
      <c r="J24" t="s">
        <v>16</v>
      </c>
    </row>
    <row r="25" spans="2:10" x14ac:dyDescent="0.3">
      <c r="B25">
        <v>2</v>
      </c>
      <c r="C25" t="s">
        <v>14</v>
      </c>
      <c r="D25">
        <v>3</v>
      </c>
      <c r="E25" t="s">
        <v>15</v>
      </c>
      <c r="F25">
        <v>15</v>
      </c>
      <c r="G25" t="s">
        <v>11</v>
      </c>
      <c r="H25" t="s">
        <v>12</v>
      </c>
      <c r="I25">
        <v>200</v>
      </c>
      <c r="J25" t="s">
        <v>16</v>
      </c>
    </row>
    <row r="26" spans="2:10" x14ac:dyDescent="0.3">
      <c r="B26">
        <v>2</v>
      </c>
      <c r="C26" t="s">
        <v>14</v>
      </c>
      <c r="D26">
        <v>4</v>
      </c>
      <c r="E26" t="s">
        <v>15</v>
      </c>
      <c r="F26">
        <v>20</v>
      </c>
      <c r="G26" t="s">
        <v>11</v>
      </c>
      <c r="H26" t="s">
        <v>12</v>
      </c>
      <c r="I26">
        <v>250</v>
      </c>
      <c r="J26" t="s">
        <v>16</v>
      </c>
    </row>
    <row r="27" spans="2:10" x14ac:dyDescent="0.3">
      <c r="B27">
        <v>2</v>
      </c>
      <c r="C27" t="s">
        <v>14</v>
      </c>
      <c r="D27">
        <v>5</v>
      </c>
      <c r="E27" t="s">
        <v>15</v>
      </c>
      <c r="F27">
        <v>25</v>
      </c>
      <c r="G27" t="s">
        <v>11</v>
      </c>
      <c r="H27" t="s">
        <v>12</v>
      </c>
      <c r="I27">
        <v>300</v>
      </c>
      <c r="J27" t="s">
        <v>16</v>
      </c>
    </row>
    <row r="28" spans="2:10" x14ac:dyDescent="0.3">
      <c r="B28">
        <v>2</v>
      </c>
      <c r="C28" t="s">
        <v>14</v>
      </c>
      <c r="D28">
        <v>6</v>
      </c>
      <c r="E28" t="s">
        <v>15</v>
      </c>
      <c r="F28">
        <v>30</v>
      </c>
      <c r="G28" t="s">
        <v>11</v>
      </c>
      <c r="H28" t="s">
        <v>12</v>
      </c>
      <c r="I28">
        <v>350</v>
      </c>
      <c r="J28" t="s">
        <v>16</v>
      </c>
    </row>
    <row r="29" spans="2:10" x14ac:dyDescent="0.3">
      <c r="B29">
        <v>2</v>
      </c>
      <c r="C29" t="s">
        <v>14</v>
      </c>
      <c r="D29">
        <v>7</v>
      </c>
      <c r="E29" t="s">
        <v>15</v>
      </c>
      <c r="F29">
        <v>35</v>
      </c>
      <c r="G29" t="s">
        <v>11</v>
      </c>
      <c r="H29" t="s">
        <v>12</v>
      </c>
      <c r="I29">
        <v>400</v>
      </c>
      <c r="J29" t="s">
        <v>16</v>
      </c>
    </row>
    <row r="30" spans="2:10" x14ac:dyDescent="0.3">
      <c r="B30">
        <v>2</v>
      </c>
      <c r="C30" t="s">
        <v>14</v>
      </c>
      <c r="D30">
        <v>8</v>
      </c>
      <c r="E30" t="s">
        <v>15</v>
      </c>
      <c r="F30">
        <v>40</v>
      </c>
      <c r="G30" t="s">
        <v>11</v>
      </c>
      <c r="H30" t="s">
        <v>12</v>
      </c>
      <c r="I30">
        <v>450</v>
      </c>
      <c r="J30" t="s">
        <v>16</v>
      </c>
    </row>
    <row r="31" spans="2:10" x14ac:dyDescent="0.3">
      <c r="B31">
        <v>2</v>
      </c>
      <c r="C31" t="s">
        <v>14</v>
      </c>
      <c r="D31">
        <v>9</v>
      </c>
      <c r="E31" t="s">
        <v>15</v>
      </c>
      <c r="F31">
        <v>45</v>
      </c>
      <c r="G31" t="s">
        <v>11</v>
      </c>
      <c r="H31" t="s">
        <v>12</v>
      </c>
      <c r="I31">
        <v>500</v>
      </c>
      <c r="J31" t="s">
        <v>16</v>
      </c>
    </row>
    <row r="32" spans="2:10" x14ac:dyDescent="0.3">
      <c r="B32">
        <v>2</v>
      </c>
      <c r="C32" t="s">
        <v>14</v>
      </c>
      <c r="D32">
        <v>10</v>
      </c>
      <c r="E32" t="s">
        <v>15</v>
      </c>
      <c r="F32">
        <v>50</v>
      </c>
      <c r="G32" t="s">
        <v>11</v>
      </c>
      <c r="H32" t="s">
        <v>12</v>
      </c>
      <c r="I32">
        <v>550</v>
      </c>
      <c r="J32" t="s">
        <v>16</v>
      </c>
    </row>
    <row r="33" spans="2:10" x14ac:dyDescent="0.3">
      <c r="B33">
        <v>2</v>
      </c>
      <c r="C33" t="s">
        <v>14</v>
      </c>
      <c r="D33">
        <v>11</v>
      </c>
      <c r="E33" t="s">
        <v>15</v>
      </c>
      <c r="F33">
        <v>55</v>
      </c>
      <c r="G33" t="s">
        <v>11</v>
      </c>
      <c r="H33" t="s">
        <v>12</v>
      </c>
      <c r="I33">
        <v>600</v>
      </c>
      <c r="J33" t="s">
        <v>16</v>
      </c>
    </row>
    <row r="34" spans="2:10" x14ac:dyDescent="0.3">
      <c r="B34">
        <v>2</v>
      </c>
      <c r="C34" t="s">
        <v>14</v>
      </c>
      <c r="D34">
        <v>12</v>
      </c>
      <c r="E34" t="s">
        <v>15</v>
      </c>
      <c r="F34">
        <v>60</v>
      </c>
      <c r="G34" t="s">
        <v>11</v>
      </c>
      <c r="H34" t="s">
        <v>12</v>
      </c>
      <c r="I34">
        <v>650</v>
      </c>
      <c r="J34" t="s">
        <v>16</v>
      </c>
    </row>
    <row r="35" spans="2:10" x14ac:dyDescent="0.3">
      <c r="B35">
        <v>2</v>
      </c>
      <c r="C35" t="s">
        <v>14</v>
      </c>
      <c r="D35">
        <v>13</v>
      </c>
      <c r="E35" t="s">
        <v>15</v>
      </c>
      <c r="F35">
        <v>65</v>
      </c>
      <c r="G35" t="s">
        <v>11</v>
      </c>
      <c r="H35" t="s">
        <v>12</v>
      </c>
      <c r="I35">
        <v>700</v>
      </c>
      <c r="J35" t="s">
        <v>16</v>
      </c>
    </row>
    <row r="36" spans="2:10" x14ac:dyDescent="0.3">
      <c r="B36">
        <v>2</v>
      </c>
      <c r="C36" t="s">
        <v>14</v>
      </c>
      <c r="D36">
        <v>14</v>
      </c>
      <c r="E36" t="s">
        <v>15</v>
      </c>
      <c r="F36">
        <v>70</v>
      </c>
      <c r="G36" t="s">
        <v>11</v>
      </c>
      <c r="H36" t="s">
        <v>12</v>
      </c>
      <c r="I36">
        <v>750</v>
      </c>
      <c r="J36" t="s">
        <v>16</v>
      </c>
    </row>
    <row r="37" spans="2:10" x14ac:dyDescent="0.3">
      <c r="B37">
        <v>2</v>
      </c>
      <c r="C37" t="s">
        <v>14</v>
      </c>
      <c r="D37">
        <v>15</v>
      </c>
      <c r="E37" t="s">
        <v>15</v>
      </c>
      <c r="F37">
        <v>75</v>
      </c>
      <c r="G37" t="s">
        <v>11</v>
      </c>
      <c r="H37" t="s">
        <v>12</v>
      </c>
      <c r="I37">
        <v>800</v>
      </c>
      <c r="J37" t="s">
        <v>16</v>
      </c>
    </row>
    <row r="38" spans="2:10" x14ac:dyDescent="0.3">
      <c r="B38">
        <v>2</v>
      </c>
      <c r="C38" t="s">
        <v>14</v>
      </c>
      <c r="D38">
        <v>16</v>
      </c>
      <c r="E38" t="s">
        <v>15</v>
      </c>
      <c r="F38">
        <v>80</v>
      </c>
      <c r="G38" t="s">
        <v>11</v>
      </c>
      <c r="H38" t="s">
        <v>12</v>
      </c>
      <c r="I38">
        <v>850</v>
      </c>
      <c r="J38" t="s">
        <v>16</v>
      </c>
    </row>
    <row r="39" spans="2:10" x14ac:dyDescent="0.3">
      <c r="B39">
        <v>2</v>
      </c>
      <c r="C39" t="s">
        <v>14</v>
      </c>
      <c r="D39">
        <v>17</v>
      </c>
      <c r="E39" t="s">
        <v>15</v>
      </c>
      <c r="F39">
        <v>85</v>
      </c>
      <c r="G39" t="s">
        <v>11</v>
      </c>
      <c r="H39" t="s">
        <v>12</v>
      </c>
      <c r="I39">
        <v>900</v>
      </c>
      <c r="J39" t="s">
        <v>16</v>
      </c>
    </row>
    <row r="40" spans="2:10" x14ac:dyDescent="0.3">
      <c r="B40">
        <v>2</v>
      </c>
      <c r="C40" t="s">
        <v>14</v>
      </c>
      <c r="D40">
        <v>18</v>
      </c>
      <c r="E40" t="s">
        <v>15</v>
      </c>
      <c r="F40">
        <v>90</v>
      </c>
      <c r="G40" t="s">
        <v>11</v>
      </c>
      <c r="H40" t="s">
        <v>12</v>
      </c>
      <c r="I40">
        <v>950</v>
      </c>
      <c r="J40" t="s">
        <v>16</v>
      </c>
    </row>
    <row r="41" spans="2:10" x14ac:dyDescent="0.3">
      <c r="B41">
        <v>2</v>
      </c>
      <c r="C41" t="s">
        <v>14</v>
      </c>
      <c r="D41">
        <v>19</v>
      </c>
      <c r="E41" t="s">
        <v>15</v>
      </c>
      <c r="F41">
        <v>95</v>
      </c>
      <c r="G41" t="s">
        <v>11</v>
      </c>
      <c r="H41" t="s">
        <v>12</v>
      </c>
      <c r="I41">
        <v>1000</v>
      </c>
      <c r="J41" t="s">
        <v>16</v>
      </c>
    </row>
    <row r="42" spans="2:10" x14ac:dyDescent="0.3">
      <c r="B42">
        <v>2</v>
      </c>
      <c r="C42" t="s">
        <v>14</v>
      </c>
      <c r="D42">
        <v>20</v>
      </c>
      <c r="E42" t="s">
        <v>15</v>
      </c>
      <c r="F42">
        <v>100</v>
      </c>
      <c r="G42" t="s">
        <v>11</v>
      </c>
      <c r="H42" t="s">
        <v>12</v>
      </c>
      <c r="I42">
        <v>1050</v>
      </c>
      <c r="J42" t="s">
        <v>16</v>
      </c>
    </row>
    <row r="43" spans="2:10" x14ac:dyDescent="0.3">
      <c r="B43">
        <v>3</v>
      </c>
      <c r="C43" t="s">
        <v>17</v>
      </c>
      <c r="D43">
        <v>1</v>
      </c>
      <c r="E43" t="s">
        <v>18</v>
      </c>
      <c r="F43">
        <v>5</v>
      </c>
      <c r="G43" t="s">
        <v>19</v>
      </c>
      <c r="H43" t="s">
        <v>12</v>
      </c>
      <c r="I43">
        <v>100</v>
      </c>
      <c r="J43" t="s">
        <v>20</v>
      </c>
    </row>
    <row r="44" spans="2:10" x14ac:dyDescent="0.3">
      <c r="B44">
        <v>3</v>
      </c>
      <c r="C44" t="s">
        <v>17</v>
      </c>
      <c r="D44">
        <v>2</v>
      </c>
      <c r="E44" t="s">
        <v>18</v>
      </c>
      <c r="F44">
        <v>10</v>
      </c>
      <c r="G44" t="s">
        <v>19</v>
      </c>
      <c r="H44" t="s">
        <v>12</v>
      </c>
      <c r="I44">
        <v>150</v>
      </c>
      <c r="J44" t="s">
        <v>20</v>
      </c>
    </row>
    <row r="45" spans="2:10" x14ac:dyDescent="0.3">
      <c r="B45">
        <v>3</v>
      </c>
      <c r="C45" t="s">
        <v>17</v>
      </c>
      <c r="D45">
        <v>3</v>
      </c>
      <c r="E45" t="s">
        <v>18</v>
      </c>
      <c r="F45">
        <v>15</v>
      </c>
      <c r="G45" t="s">
        <v>19</v>
      </c>
      <c r="H45" t="s">
        <v>12</v>
      </c>
      <c r="I45">
        <v>200</v>
      </c>
      <c r="J45" t="s">
        <v>20</v>
      </c>
    </row>
    <row r="46" spans="2:10" x14ac:dyDescent="0.3">
      <c r="B46">
        <v>3</v>
      </c>
      <c r="C46" t="s">
        <v>17</v>
      </c>
      <c r="D46">
        <v>4</v>
      </c>
      <c r="E46" t="s">
        <v>18</v>
      </c>
      <c r="F46">
        <v>20</v>
      </c>
      <c r="G46" t="s">
        <v>19</v>
      </c>
      <c r="H46" t="s">
        <v>12</v>
      </c>
      <c r="I46">
        <v>250</v>
      </c>
      <c r="J46" t="s">
        <v>20</v>
      </c>
    </row>
    <row r="47" spans="2:10" x14ac:dyDescent="0.3">
      <c r="B47">
        <v>3</v>
      </c>
      <c r="C47" t="s">
        <v>17</v>
      </c>
      <c r="D47">
        <v>5</v>
      </c>
      <c r="E47" t="s">
        <v>18</v>
      </c>
      <c r="F47">
        <v>25</v>
      </c>
      <c r="G47" t="s">
        <v>19</v>
      </c>
      <c r="H47" t="s">
        <v>12</v>
      </c>
      <c r="I47">
        <v>300</v>
      </c>
      <c r="J47" t="s">
        <v>20</v>
      </c>
    </row>
    <row r="48" spans="2:10" x14ac:dyDescent="0.3">
      <c r="B48">
        <v>3</v>
      </c>
      <c r="C48" t="s">
        <v>17</v>
      </c>
      <c r="D48">
        <v>6</v>
      </c>
      <c r="E48" t="s">
        <v>18</v>
      </c>
      <c r="F48">
        <v>30</v>
      </c>
      <c r="G48" t="s">
        <v>19</v>
      </c>
      <c r="H48" t="s">
        <v>12</v>
      </c>
      <c r="I48">
        <v>350</v>
      </c>
      <c r="J48" t="s">
        <v>20</v>
      </c>
    </row>
    <row r="49" spans="2:10" x14ac:dyDescent="0.3">
      <c r="B49">
        <v>3</v>
      </c>
      <c r="C49" t="s">
        <v>17</v>
      </c>
      <c r="D49">
        <v>7</v>
      </c>
      <c r="E49" t="s">
        <v>18</v>
      </c>
      <c r="F49">
        <v>35</v>
      </c>
      <c r="G49" t="s">
        <v>19</v>
      </c>
      <c r="H49" t="s">
        <v>12</v>
      </c>
      <c r="I49">
        <v>400</v>
      </c>
      <c r="J49" t="s">
        <v>20</v>
      </c>
    </row>
    <row r="50" spans="2:10" x14ac:dyDescent="0.3">
      <c r="B50">
        <v>3</v>
      </c>
      <c r="C50" t="s">
        <v>17</v>
      </c>
      <c r="D50">
        <v>8</v>
      </c>
      <c r="E50" t="s">
        <v>18</v>
      </c>
      <c r="F50">
        <v>40</v>
      </c>
      <c r="G50" t="s">
        <v>19</v>
      </c>
      <c r="H50" t="s">
        <v>12</v>
      </c>
      <c r="I50">
        <v>450</v>
      </c>
      <c r="J50" t="s">
        <v>20</v>
      </c>
    </row>
    <row r="51" spans="2:10" x14ac:dyDescent="0.3">
      <c r="B51">
        <v>3</v>
      </c>
      <c r="C51" t="s">
        <v>17</v>
      </c>
      <c r="D51">
        <v>9</v>
      </c>
      <c r="E51" t="s">
        <v>18</v>
      </c>
      <c r="F51">
        <v>45</v>
      </c>
      <c r="G51" t="s">
        <v>19</v>
      </c>
      <c r="H51" t="s">
        <v>12</v>
      </c>
      <c r="I51">
        <v>500</v>
      </c>
      <c r="J51" t="s">
        <v>20</v>
      </c>
    </row>
    <row r="52" spans="2:10" x14ac:dyDescent="0.3">
      <c r="B52">
        <v>3</v>
      </c>
      <c r="C52" t="s">
        <v>17</v>
      </c>
      <c r="D52">
        <v>10</v>
      </c>
      <c r="E52" t="s">
        <v>18</v>
      </c>
      <c r="F52">
        <v>50</v>
      </c>
      <c r="G52" t="s">
        <v>19</v>
      </c>
      <c r="H52" t="s">
        <v>12</v>
      </c>
      <c r="I52">
        <v>550</v>
      </c>
      <c r="J52" t="s">
        <v>20</v>
      </c>
    </row>
    <row r="53" spans="2:10" x14ac:dyDescent="0.3">
      <c r="B53">
        <v>3</v>
      </c>
      <c r="C53" t="s">
        <v>17</v>
      </c>
      <c r="D53">
        <v>11</v>
      </c>
      <c r="E53" t="s">
        <v>18</v>
      </c>
      <c r="F53">
        <v>55</v>
      </c>
      <c r="G53" t="s">
        <v>19</v>
      </c>
      <c r="H53" t="s">
        <v>12</v>
      </c>
      <c r="I53">
        <v>600</v>
      </c>
      <c r="J53" t="s">
        <v>20</v>
      </c>
    </row>
    <row r="54" spans="2:10" x14ac:dyDescent="0.3">
      <c r="B54">
        <v>3</v>
      </c>
      <c r="C54" t="s">
        <v>17</v>
      </c>
      <c r="D54">
        <v>12</v>
      </c>
      <c r="E54" t="s">
        <v>18</v>
      </c>
      <c r="F54">
        <v>60</v>
      </c>
      <c r="G54" t="s">
        <v>19</v>
      </c>
      <c r="H54" t="s">
        <v>12</v>
      </c>
      <c r="I54">
        <v>650</v>
      </c>
      <c r="J54" t="s">
        <v>20</v>
      </c>
    </row>
    <row r="55" spans="2:10" x14ac:dyDescent="0.3">
      <c r="B55">
        <v>3</v>
      </c>
      <c r="C55" t="s">
        <v>17</v>
      </c>
      <c r="D55">
        <v>13</v>
      </c>
      <c r="E55" t="s">
        <v>18</v>
      </c>
      <c r="F55">
        <v>65</v>
      </c>
      <c r="G55" t="s">
        <v>19</v>
      </c>
      <c r="H55" t="s">
        <v>12</v>
      </c>
      <c r="I55">
        <v>700</v>
      </c>
      <c r="J55" t="s">
        <v>20</v>
      </c>
    </row>
    <row r="56" spans="2:10" x14ac:dyDescent="0.3">
      <c r="B56">
        <v>3</v>
      </c>
      <c r="C56" t="s">
        <v>17</v>
      </c>
      <c r="D56">
        <v>14</v>
      </c>
      <c r="E56" t="s">
        <v>18</v>
      </c>
      <c r="F56">
        <v>70</v>
      </c>
      <c r="G56" t="s">
        <v>19</v>
      </c>
      <c r="H56" t="s">
        <v>12</v>
      </c>
      <c r="I56">
        <v>750</v>
      </c>
      <c r="J56" t="s">
        <v>20</v>
      </c>
    </row>
    <row r="57" spans="2:10" x14ac:dyDescent="0.3">
      <c r="B57">
        <v>3</v>
      </c>
      <c r="C57" t="s">
        <v>17</v>
      </c>
      <c r="D57">
        <v>15</v>
      </c>
      <c r="E57" t="s">
        <v>18</v>
      </c>
      <c r="F57">
        <v>75</v>
      </c>
      <c r="G57" t="s">
        <v>19</v>
      </c>
      <c r="H57" t="s">
        <v>12</v>
      </c>
      <c r="I57">
        <v>800</v>
      </c>
      <c r="J57" t="s">
        <v>20</v>
      </c>
    </row>
    <row r="58" spans="2:10" x14ac:dyDescent="0.3">
      <c r="B58">
        <v>3</v>
      </c>
      <c r="C58" t="s">
        <v>17</v>
      </c>
      <c r="D58">
        <v>16</v>
      </c>
      <c r="E58" t="s">
        <v>18</v>
      </c>
      <c r="F58">
        <v>80</v>
      </c>
      <c r="G58" t="s">
        <v>19</v>
      </c>
      <c r="H58" t="s">
        <v>12</v>
      </c>
      <c r="I58">
        <v>850</v>
      </c>
      <c r="J58" t="s">
        <v>20</v>
      </c>
    </row>
    <row r="59" spans="2:10" x14ac:dyDescent="0.3">
      <c r="B59">
        <v>3</v>
      </c>
      <c r="C59" t="s">
        <v>17</v>
      </c>
      <c r="D59">
        <v>17</v>
      </c>
      <c r="E59" t="s">
        <v>18</v>
      </c>
      <c r="F59">
        <v>85</v>
      </c>
      <c r="G59" t="s">
        <v>19</v>
      </c>
      <c r="H59" t="s">
        <v>12</v>
      </c>
      <c r="I59">
        <v>900</v>
      </c>
      <c r="J59" t="s">
        <v>20</v>
      </c>
    </row>
    <row r="60" spans="2:10" x14ac:dyDescent="0.3">
      <c r="B60">
        <v>3</v>
      </c>
      <c r="C60" t="s">
        <v>17</v>
      </c>
      <c r="D60">
        <v>18</v>
      </c>
      <c r="E60" t="s">
        <v>18</v>
      </c>
      <c r="F60">
        <v>90</v>
      </c>
      <c r="G60" t="s">
        <v>19</v>
      </c>
      <c r="H60" t="s">
        <v>12</v>
      </c>
      <c r="I60">
        <v>950</v>
      </c>
      <c r="J60" t="s">
        <v>20</v>
      </c>
    </row>
    <row r="61" spans="2:10" x14ac:dyDescent="0.3">
      <c r="B61">
        <v>3</v>
      </c>
      <c r="C61" t="s">
        <v>17</v>
      </c>
      <c r="D61">
        <v>19</v>
      </c>
      <c r="E61" t="s">
        <v>18</v>
      </c>
      <c r="F61">
        <v>95</v>
      </c>
      <c r="G61" t="s">
        <v>19</v>
      </c>
      <c r="H61" t="s">
        <v>12</v>
      </c>
      <c r="I61">
        <v>1000</v>
      </c>
      <c r="J61" t="s">
        <v>20</v>
      </c>
    </row>
    <row r="62" spans="2:10" x14ac:dyDescent="0.3">
      <c r="B62">
        <v>3</v>
      </c>
      <c r="C62" t="s">
        <v>17</v>
      </c>
      <c r="D62">
        <v>20</v>
      </c>
      <c r="E62" t="s">
        <v>18</v>
      </c>
      <c r="F62">
        <v>100</v>
      </c>
      <c r="G62" t="s">
        <v>19</v>
      </c>
      <c r="H62" t="s">
        <v>12</v>
      </c>
      <c r="I62">
        <v>1050</v>
      </c>
      <c r="J62" t="s">
        <v>20</v>
      </c>
    </row>
    <row r="63" spans="2:10" x14ac:dyDescent="0.3">
      <c r="B63">
        <v>4</v>
      </c>
      <c r="C63" t="s">
        <v>21</v>
      </c>
      <c r="D63">
        <v>1</v>
      </c>
      <c r="E63" t="s">
        <v>22</v>
      </c>
      <c r="F63">
        <v>5</v>
      </c>
      <c r="G63" t="s">
        <v>19</v>
      </c>
      <c r="H63" t="s">
        <v>12</v>
      </c>
      <c r="I63">
        <v>100</v>
      </c>
      <c r="J63" t="s">
        <v>23</v>
      </c>
    </row>
    <row r="64" spans="2:10" x14ac:dyDescent="0.3">
      <c r="B64">
        <v>4</v>
      </c>
      <c r="C64" t="s">
        <v>21</v>
      </c>
      <c r="D64">
        <v>2</v>
      </c>
      <c r="E64" t="s">
        <v>22</v>
      </c>
      <c r="F64">
        <v>10</v>
      </c>
      <c r="G64" t="s">
        <v>19</v>
      </c>
      <c r="H64" t="s">
        <v>12</v>
      </c>
      <c r="I64">
        <v>150</v>
      </c>
      <c r="J64" t="s">
        <v>23</v>
      </c>
    </row>
    <row r="65" spans="2:10" x14ac:dyDescent="0.3">
      <c r="B65">
        <v>4</v>
      </c>
      <c r="C65" t="s">
        <v>21</v>
      </c>
      <c r="D65">
        <v>3</v>
      </c>
      <c r="E65" t="s">
        <v>22</v>
      </c>
      <c r="F65">
        <v>15</v>
      </c>
      <c r="G65" t="s">
        <v>19</v>
      </c>
      <c r="H65" t="s">
        <v>12</v>
      </c>
      <c r="I65">
        <v>200</v>
      </c>
      <c r="J65" t="s">
        <v>23</v>
      </c>
    </row>
    <row r="66" spans="2:10" x14ac:dyDescent="0.3">
      <c r="B66">
        <v>4</v>
      </c>
      <c r="C66" t="s">
        <v>21</v>
      </c>
      <c r="D66">
        <v>4</v>
      </c>
      <c r="E66" t="s">
        <v>22</v>
      </c>
      <c r="F66">
        <v>20</v>
      </c>
      <c r="G66" t="s">
        <v>19</v>
      </c>
      <c r="H66" t="s">
        <v>12</v>
      </c>
      <c r="I66">
        <v>250</v>
      </c>
      <c r="J66" t="s">
        <v>23</v>
      </c>
    </row>
    <row r="67" spans="2:10" x14ac:dyDescent="0.3">
      <c r="B67">
        <v>4</v>
      </c>
      <c r="C67" t="s">
        <v>21</v>
      </c>
      <c r="D67">
        <v>5</v>
      </c>
      <c r="E67" t="s">
        <v>22</v>
      </c>
      <c r="F67">
        <v>25</v>
      </c>
      <c r="G67" t="s">
        <v>19</v>
      </c>
      <c r="H67" t="s">
        <v>12</v>
      </c>
      <c r="I67">
        <v>300</v>
      </c>
      <c r="J67" t="s">
        <v>23</v>
      </c>
    </row>
    <row r="68" spans="2:10" x14ac:dyDescent="0.3">
      <c r="B68">
        <v>4</v>
      </c>
      <c r="C68" t="s">
        <v>21</v>
      </c>
      <c r="D68">
        <v>6</v>
      </c>
      <c r="E68" t="s">
        <v>22</v>
      </c>
      <c r="F68">
        <v>30</v>
      </c>
      <c r="G68" t="s">
        <v>19</v>
      </c>
      <c r="H68" t="s">
        <v>12</v>
      </c>
      <c r="I68">
        <v>350</v>
      </c>
      <c r="J68" t="s">
        <v>23</v>
      </c>
    </row>
    <row r="69" spans="2:10" x14ac:dyDescent="0.3">
      <c r="B69">
        <v>4</v>
      </c>
      <c r="C69" t="s">
        <v>21</v>
      </c>
      <c r="D69">
        <v>7</v>
      </c>
      <c r="E69" t="s">
        <v>22</v>
      </c>
      <c r="F69">
        <v>35</v>
      </c>
      <c r="G69" t="s">
        <v>19</v>
      </c>
      <c r="H69" t="s">
        <v>12</v>
      </c>
      <c r="I69">
        <v>400</v>
      </c>
      <c r="J69" t="s">
        <v>23</v>
      </c>
    </row>
    <row r="70" spans="2:10" x14ac:dyDescent="0.3">
      <c r="B70">
        <v>4</v>
      </c>
      <c r="C70" t="s">
        <v>21</v>
      </c>
      <c r="D70">
        <v>8</v>
      </c>
      <c r="E70" t="s">
        <v>22</v>
      </c>
      <c r="F70">
        <v>40</v>
      </c>
      <c r="G70" t="s">
        <v>19</v>
      </c>
      <c r="H70" t="s">
        <v>12</v>
      </c>
      <c r="I70">
        <v>450</v>
      </c>
      <c r="J70" t="s">
        <v>23</v>
      </c>
    </row>
    <row r="71" spans="2:10" x14ac:dyDescent="0.3">
      <c r="B71">
        <v>4</v>
      </c>
      <c r="C71" t="s">
        <v>21</v>
      </c>
      <c r="D71">
        <v>9</v>
      </c>
      <c r="E71" t="s">
        <v>22</v>
      </c>
      <c r="F71">
        <v>45</v>
      </c>
      <c r="G71" t="s">
        <v>19</v>
      </c>
      <c r="H71" t="s">
        <v>12</v>
      </c>
      <c r="I71">
        <v>500</v>
      </c>
      <c r="J71" t="s">
        <v>23</v>
      </c>
    </row>
    <row r="72" spans="2:10" x14ac:dyDescent="0.3">
      <c r="B72">
        <v>4</v>
      </c>
      <c r="C72" t="s">
        <v>21</v>
      </c>
      <c r="D72">
        <v>10</v>
      </c>
      <c r="E72" t="s">
        <v>22</v>
      </c>
      <c r="F72">
        <v>50</v>
      </c>
      <c r="G72" t="s">
        <v>19</v>
      </c>
      <c r="H72" t="s">
        <v>12</v>
      </c>
      <c r="I72">
        <v>550</v>
      </c>
      <c r="J72" t="s">
        <v>23</v>
      </c>
    </row>
    <row r="73" spans="2:10" x14ac:dyDescent="0.3">
      <c r="B73">
        <v>4</v>
      </c>
      <c r="C73" t="s">
        <v>21</v>
      </c>
      <c r="D73">
        <v>11</v>
      </c>
      <c r="E73" t="s">
        <v>22</v>
      </c>
      <c r="F73">
        <v>55</v>
      </c>
      <c r="G73" t="s">
        <v>19</v>
      </c>
      <c r="H73" t="s">
        <v>12</v>
      </c>
      <c r="I73">
        <v>600</v>
      </c>
      <c r="J73" t="s">
        <v>23</v>
      </c>
    </row>
    <row r="74" spans="2:10" x14ac:dyDescent="0.3">
      <c r="B74">
        <v>4</v>
      </c>
      <c r="C74" t="s">
        <v>21</v>
      </c>
      <c r="D74">
        <v>12</v>
      </c>
      <c r="E74" t="s">
        <v>22</v>
      </c>
      <c r="F74">
        <v>60</v>
      </c>
      <c r="G74" t="s">
        <v>19</v>
      </c>
      <c r="H74" t="s">
        <v>12</v>
      </c>
      <c r="I74">
        <v>650</v>
      </c>
      <c r="J74" t="s">
        <v>23</v>
      </c>
    </row>
    <row r="75" spans="2:10" x14ac:dyDescent="0.3">
      <c r="B75">
        <v>4</v>
      </c>
      <c r="C75" t="s">
        <v>21</v>
      </c>
      <c r="D75">
        <v>13</v>
      </c>
      <c r="E75" t="s">
        <v>22</v>
      </c>
      <c r="F75">
        <v>65</v>
      </c>
      <c r="G75" t="s">
        <v>19</v>
      </c>
      <c r="H75" t="s">
        <v>12</v>
      </c>
      <c r="I75">
        <v>700</v>
      </c>
      <c r="J75" t="s">
        <v>23</v>
      </c>
    </row>
    <row r="76" spans="2:10" x14ac:dyDescent="0.3">
      <c r="B76">
        <v>4</v>
      </c>
      <c r="C76" t="s">
        <v>21</v>
      </c>
      <c r="D76">
        <v>14</v>
      </c>
      <c r="E76" t="s">
        <v>22</v>
      </c>
      <c r="F76">
        <v>70</v>
      </c>
      <c r="G76" t="s">
        <v>19</v>
      </c>
      <c r="H76" t="s">
        <v>12</v>
      </c>
      <c r="I76">
        <v>750</v>
      </c>
      <c r="J76" t="s">
        <v>23</v>
      </c>
    </row>
    <row r="77" spans="2:10" x14ac:dyDescent="0.3">
      <c r="B77">
        <v>4</v>
      </c>
      <c r="C77" t="s">
        <v>21</v>
      </c>
      <c r="D77">
        <v>15</v>
      </c>
      <c r="E77" t="s">
        <v>22</v>
      </c>
      <c r="F77">
        <v>75</v>
      </c>
      <c r="G77" t="s">
        <v>19</v>
      </c>
      <c r="H77" t="s">
        <v>12</v>
      </c>
      <c r="I77">
        <v>800</v>
      </c>
      <c r="J77" t="s">
        <v>23</v>
      </c>
    </row>
    <row r="78" spans="2:10" x14ac:dyDescent="0.3">
      <c r="B78">
        <v>4</v>
      </c>
      <c r="C78" t="s">
        <v>21</v>
      </c>
      <c r="D78">
        <v>16</v>
      </c>
      <c r="E78" t="s">
        <v>22</v>
      </c>
      <c r="F78">
        <v>80</v>
      </c>
      <c r="G78" t="s">
        <v>19</v>
      </c>
      <c r="H78" t="s">
        <v>12</v>
      </c>
      <c r="I78">
        <v>850</v>
      </c>
      <c r="J78" t="s">
        <v>23</v>
      </c>
    </row>
    <row r="79" spans="2:10" x14ac:dyDescent="0.3">
      <c r="B79">
        <v>4</v>
      </c>
      <c r="C79" t="s">
        <v>21</v>
      </c>
      <c r="D79">
        <v>17</v>
      </c>
      <c r="E79" t="s">
        <v>22</v>
      </c>
      <c r="F79">
        <v>85</v>
      </c>
      <c r="G79" t="s">
        <v>19</v>
      </c>
      <c r="H79" t="s">
        <v>12</v>
      </c>
      <c r="I79">
        <v>900</v>
      </c>
      <c r="J79" t="s">
        <v>23</v>
      </c>
    </row>
    <row r="80" spans="2:10" x14ac:dyDescent="0.3">
      <c r="B80">
        <v>4</v>
      </c>
      <c r="C80" t="s">
        <v>21</v>
      </c>
      <c r="D80">
        <v>18</v>
      </c>
      <c r="E80" t="s">
        <v>22</v>
      </c>
      <c r="F80">
        <v>90</v>
      </c>
      <c r="G80" t="s">
        <v>19</v>
      </c>
      <c r="H80" t="s">
        <v>12</v>
      </c>
      <c r="I80">
        <v>950</v>
      </c>
      <c r="J80" t="s">
        <v>23</v>
      </c>
    </row>
    <row r="81" spans="2:10" x14ac:dyDescent="0.3">
      <c r="B81">
        <v>4</v>
      </c>
      <c r="C81" t="s">
        <v>21</v>
      </c>
      <c r="D81">
        <v>19</v>
      </c>
      <c r="E81" t="s">
        <v>22</v>
      </c>
      <c r="F81">
        <v>95</v>
      </c>
      <c r="G81" t="s">
        <v>19</v>
      </c>
      <c r="H81" t="s">
        <v>12</v>
      </c>
      <c r="I81">
        <v>1000</v>
      </c>
      <c r="J81" t="s">
        <v>23</v>
      </c>
    </row>
    <row r="82" spans="2:10" x14ac:dyDescent="0.3">
      <c r="B82">
        <v>4</v>
      </c>
      <c r="C82" t="s">
        <v>21</v>
      </c>
      <c r="D82">
        <v>20</v>
      </c>
      <c r="E82" t="s">
        <v>22</v>
      </c>
      <c r="F82">
        <v>100</v>
      </c>
      <c r="G82" t="s">
        <v>19</v>
      </c>
      <c r="H82" t="s">
        <v>12</v>
      </c>
      <c r="I82">
        <v>1050</v>
      </c>
      <c r="J82" t="s">
        <v>23</v>
      </c>
    </row>
    <row r="83" spans="2:10" x14ac:dyDescent="0.3">
      <c r="B83">
        <v>5</v>
      </c>
      <c r="C83" t="s">
        <v>24</v>
      </c>
      <c r="D83">
        <v>1</v>
      </c>
      <c r="E83" t="s">
        <v>25</v>
      </c>
      <c r="F83">
        <v>10</v>
      </c>
      <c r="G83" t="s">
        <v>19</v>
      </c>
      <c r="H83" t="s">
        <v>12</v>
      </c>
      <c r="I83">
        <v>100</v>
      </c>
      <c r="J83" t="s">
        <v>26</v>
      </c>
    </row>
    <row r="84" spans="2:10" x14ac:dyDescent="0.3">
      <c r="B84">
        <v>5</v>
      </c>
      <c r="C84" t="s">
        <v>24</v>
      </c>
      <c r="D84">
        <v>2</v>
      </c>
      <c r="E84" t="s">
        <v>25</v>
      </c>
      <c r="F84">
        <v>20</v>
      </c>
      <c r="G84" t="s">
        <v>19</v>
      </c>
      <c r="H84" t="s">
        <v>12</v>
      </c>
      <c r="I84">
        <v>150</v>
      </c>
      <c r="J84" t="s">
        <v>26</v>
      </c>
    </row>
    <row r="85" spans="2:10" x14ac:dyDescent="0.3">
      <c r="B85">
        <v>5</v>
      </c>
      <c r="C85" t="s">
        <v>24</v>
      </c>
      <c r="D85">
        <v>3</v>
      </c>
      <c r="E85" t="s">
        <v>25</v>
      </c>
      <c r="F85">
        <v>30</v>
      </c>
      <c r="G85" t="s">
        <v>19</v>
      </c>
      <c r="H85" t="s">
        <v>12</v>
      </c>
      <c r="I85">
        <v>200</v>
      </c>
      <c r="J85" t="s">
        <v>26</v>
      </c>
    </row>
    <row r="86" spans="2:10" x14ac:dyDescent="0.3">
      <c r="B86">
        <v>5</v>
      </c>
      <c r="C86" t="s">
        <v>24</v>
      </c>
      <c r="D86">
        <v>4</v>
      </c>
      <c r="E86" t="s">
        <v>25</v>
      </c>
      <c r="F86">
        <v>40</v>
      </c>
      <c r="G86" t="s">
        <v>19</v>
      </c>
      <c r="H86" t="s">
        <v>12</v>
      </c>
      <c r="I86">
        <v>250</v>
      </c>
      <c r="J86" t="s">
        <v>26</v>
      </c>
    </row>
    <row r="87" spans="2:10" x14ac:dyDescent="0.3">
      <c r="B87">
        <v>5</v>
      </c>
      <c r="C87" t="s">
        <v>24</v>
      </c>
      <c r="D87">
        <v>5</v>
      </c>
      <c r="E87" t="s">
        <v>25</v>
      </c>
      <c r="F87">
        <v>50</v>
      </c>
      <c r="G87" t="s">
        <v>19</v>
      </c>
      <c r="H87" t="s">
        <v>12</v>
      </c>
      <c r="I87">
        <v>300</v>
      </c>
      <c r="J87" t="s">
        <v>26</v>
      </c>
    </row>
    <row r="88" spans="2:10" x14ac:dyDescent="0.3">
      <c r="B88">
        <v>5</v>
      </c>
      <c r="C88" t="s">
        <v>24</v>
      </c>
      <c r="D88">
        <v>6</v>
      </c>
      <c r="E88" t="s">
        <v>25</v>
      </c>
      <c r="F88">
        <v>60</v>
      </c>
      <c r="G88" t="s">
        <v>19</v>
      </c>
      <c r="H88" t="s">
        <v>12</v>
      </c>
      <c r="I88">
        <v>350</v>
      </c>
      <c r="J88" t="s">
        <v>26</v>
      </c>
    </row>
    <row r="89" spans="2:10" x14ac:dyDescent="0.3">
      <c r="B89">
        <v>5</v>
      </c>
      <c r="C89" t="s">
        <v>24</v>
      </c>
      <c r="D89">
        <v>7</v>
      </c>
      <c r="E89" t="s">
        <v>25</v>
      </c>
      <c r="F89">
        <v>70</v>
      </c>
      <c r="G89" t="s">
        <v>19</v>
      </c>
      <c r="H89" t="s">
        <v>12</v>
      </c>
      <c r="I89">
        <v>400</v>
      </c>
      <c r="J89" t="s">
        <v>26</v>
      </c>
    </row>
    <row r="90" spans="2:10" x14ac:dyDescent="0.3">
      <c r="B90">
        <v>5</v>
      </c>
      <c r="C90" t="s">
        <v>24</v>
      </c>
      <c r="D90">
        <v>8</v>
      </c>
      <c r="E90" t="s">
        <v>25</v>
      </c>
      <c r="F90">
        <v>80</v>
      </c>
      <c r="G90" t="s">
        <v>19</v>
      </c>
      <c r="H90" t="s">
        <v>12</v>
      </c>
      <c r="I90">
        <v>450</v>
      </c>
      <c r="J90" t="s">
        <v>26</v>
      </c>
    </row>
    <row r="91" spans="2:10" x14ac:dyDescent="0.3">
      <c r="B91">
        <v>5</v>
      </c>
      <c r="C91" t="s">
        <v>24</v>
      </c>
      <c r="D91">
        <v>9</v>
      </c>
      <c r="E91" t="s">
        <v>25</v>
      </c>
      <c r="F91">
        <v>90</v>
      </c>
      <c r="G91" t="s">
        <v>19</v>
      </c>
      <c r="H91" t="s">
        <v>12</v>
      </c>
      <c r="I91">
        <v>500</v>
      </c>
      <c r="J91" t="s">
        <v>26</v>
      </c>
    </row>
    <row r="92" spans="2:10" x14ac:dyDescent="0.3">
      <c r="B92">
        <v>5</v>
      </c>
      <c r="C92" t="s">
        <v>24</v>
      </c>
      <c r="D92">
        <v>10</v>
      </c>
      <c r="E92" t="s">
        <v>25</v>
      </c>
      <c r="F92">
        <v>100</v>
      </c>
      <c r="G92" t="s">
        <v>19</v>
      </c>
      <c r="H92" t="s">
        <v>12</v>
      </c>
      <c r="I92">
        <v>550</v>
      </c>
      <c r="J92" t="s">
        <v>26</v>
      </c>
    </row>
    <row r="93" spans="2:10" x14ac:dyDescent="0.3">
      <c r="B93">
        <v>5</v>
      </c>
      <c r="C93" t="s">
        <v>24</v>
      </c>
      <c r="D93">
        <v>11</v>
      </c>
      <c r="E93" t="s">
        <v>25</v>
      </c>
      <c r="F93">
        <v>110</v>
      </c>
      <c r="G93" t="s">
        <v>19</v>
      </c>
      <c r="H93" t="s">
        <v>12</v>
      </c>
      <c r="I93">
        <v>600</v>
      </c>
      <c r="J93" t="s">
        <v>26</v>
      </c>
    </row>
    <row r="94" spans="2:10" x14ac:dyDescent="0.3">
      <c r="B94">
        <v>5</v>
      </c>
      <c r="C94" t="s">
        <v>24</v>
      </c>
      <c r="D94">
        <v>12</v>
      </c>
      <c r="E94" t="s">
        <v>25</v>
      </c>
      <c r="F94">
        <v>120</v>
      </c>
      <c r="G94" t="s">
        <v>19</v>
      </c>
      <c r="H94" t="s">
        <v>12</v>
      </c>
      <c r="I94">
        <v>650</v>
      </c>
      <c r="J94" t="s">
        <v>26</v>
      </c>
    </row>
    <row r="95" spans="2:10" x14ac:dyDescent="0.3">
      <c r="B95">
        <v>5</v>
      </c>
      <c r="C95" t="s">
        <v>24</v>
      </c>
      <c r="D95">
        <v>13</v>
      </c>
      <c r="E95" t="s">
        <v>25</v>
      </c>
      <c r="F95">
        <v>130</v>
      </c>
      <c r="G95" t="s">
        <v>19</v>
      </c>
      <c r="H95" t="s">
        <v>12</v>
      </c>
      <c r="I95">
        <v>700</v>
      </c>
      <c r="J95" t="s">
        <v>26</v>
      </c>
    </row>
    <row r="96" spans="2:10" x14ac:dyDescent="0.3">
      <c r="B96">
        <v>5</v>
      </c>
      <c r="C96" t="s">
        <v>24</v>
      </c>
      <c r="D96">
        <v>14</v>
      </c>
      <c r="E96" t="s">
        <v>25</v>
      </c>
      <c r="F96">
        <v>140</v>
      </c>
      <c r="G96" t="s">
        <v>19</v>
      </c>
      <c r="H96" t="s">
        <v>12</v>
      </c>
      <c r="I96">
        <v>750</v>
      </c>
      <c r="J96" t="s">
        <v>26</v>
      </c>
    </row>
    <row r="97" spans="2:10" x14ac:dyDescent="0.3">
      <c r="B97">
        <v>5</v>
      </c>
      <c r="C97" t="s">
        <v>24</v>
      </c>
      <c r="D97">
        <v>15</v>
      </c>
      <c r="E97" t="s">
        <v>25</v>
      </c>
      <c r="F97">
        <v>150</v>
      </c>
      <c r="G97" t="s">
        <v>19</v>
      </c>
      <c r="H97" t="s">
        <v>12</v>
      </c>
      <c r="I97">
        <v>800</v>
      </c>
      <c r="J97" t="s">
        <v>26</v>
      </c>
    </row>
    <row r="98" spans="2:10" x14ac:dyDescent="0.3">
      <c r="B98">
        <v>5</v>
      </c>
      <c r="C98" t="s">
        <v>24</v>
      </c>
      <c r="D98">
        <v>16</v>
      </c>
      <c r="E98" t="s">
        <v>25</v>
      </c>
      <c r="F98">
        <v>160</v>
      </c>
      <c r="G98" t="s">
        <v>19</v>
      </c>
      <c r="H98" t="s">
        <v>12</v>
      </c>
      <c r="I98">
        <v>850</v>
      </c>
      <c r="J98" t="s">
        <v>26</v>
      </c>
    </row>
    <row r="99" spans="2:10" x14ac:dyDescent="0.3">
      <c r="B99">
        <v>5</v>
      </c>
      <c r="C99" t="s">
        <v>24</v>
      </c>
      <c r="D99">
        <v>17</v>
      </c>
      <c r="E99" t="s">
        <v>25</v>
      </c>
      <c r="F99">
        <v>170</v>
      </c>
      <c r="G99" t="s">
        <v>19</v>
      </c>
      <c r="H99" t="s">
        <v>12</v>
      </c>
      <c r="I99">
        <v>900</v>
      </c>
      <c r="J99" t="s">
        <v>26</v>
      </c>
    </row>
    <row r="100" spans="2:10" x14ac:dyDescent="0.3">
      <c r="B100">
        <v>5</v>
      </c>
      <c r="C100" t="s">
        <v>24</v>
      </c>
      <c r="D100">
        <v>18</v>
      </c>
      <c r="E100" t="s">
        <v>25</v>
      </c>
      <c r="F100">
        <v>180</v>
      </c>
      <c r="G100" t="s">
        <v>19</v>
      </c>
      <c r="H100" t="s">
        <v>12</v>
      </c>
      <c r="I100">
        <v>950</v>
      </c>
      <c r="J100" t="s">
        <v>26</v>
      </c>
    </row>
    <row r="101" spans="2:10" x14ac:dyDescent="0.3">
      <c r="B101">
        <v>5</v>
      </c>
      <c r="C101" t="s">
        <v>24</v>
      </c>
      <c r="D101">
        <v>19</v>
      </c>
      <c r="E101" t="s">
        <v>25</v>
      </c>
      <c r="F101">
        <v>190</v>
      </c>
      <c r="G101" t="s">
        <v>19</v>
      </c>
      <c r="H101" t="s">
        <v>12</v>
      </c>
      <c r="I101">
        <v>1000</v>
      </c>
      <c r="J101" t="s">
        <v>26</v>
      </c>
    </row>
    <row r="102" spans="2:10" x14ac:dyDescent="0.3">
      <c r="B102">
        <v>5</v>
      </c>
      <c r="C102" t="s">
        <v>24</v>
      </c>
      <c r="D102">
        <v>20</v>
      </c>
      <c r="E102" t="s">
        <v>25</v>
      </c>
      <c r="F102">
        <v>200</v>
      </c>
      <c r="G102" t="s">
        <v>19</v>
      </c>
      <c r="H102" t="s">
        <v>12</v>
      </c>
      <c r="I102">
        <v>1050</v>
      </c>
      <c r="J102" t="s">
        <v>26</v>
      </c>
    </row>
    <row r="103" spans="2:10" x14ac:dyDescent="0.3">
      <c r="B103">
        <v>6</v>
      </c>
      <c r="C103" t="s">
        <v>27</v>
      </c>
      <c r="D103">
        <v>1</v>
      </c>
      <c r="E103" t="s">
        <v>28</v>
      </c>
      <c r="F103">
        <v>5</v>
      </c>
      <c r="G103" t="s">
        <v>19</v>
      </c>
      <c r="H103" t="s">
        <v>12</v>
      </c>
      <c r="I103">
        <v>100</v>
      </c>
      <c r="J103" t="s">
        <v>29</v>
      </c>
    </row>
    <row r="104" spans="2:10" x14ac:dyDescent="0.3">
      <c r="B104">
        <v>6</v>
      </c>
      <c r="C104" t="s">
        <v>27</v>
      </c>
      <c r="D104">
        <v>2</v>
      </c>
      <c r="E104" t="s">
        <v>28</v>
      </c>
      <c r="F104">
        <v>10</v>
      </c>
      <c r="G104" t="s">
        <v>19</v>
      </c>
      <c r="H104" t="s">
        <v>12</v>
      </c>
      <c r="I104">
        <v>150</v>
      </c>
      <c r="J104" t="s">
        <v>29</v>
      </c>
    </row>
    <row r="105" spans="2:10" x14ac:dyDescent="0.3">
      <c r="B105">
        <v>6</v>
      </c>
      <c r="C105" t="s">
        <v>27</v>
      </c>
      <c r="D105">
        <v>3</v>
      </c>
      <c r="E105" t="s">
        <v>28</v>
      </c>
      <c r="F105">
        <v>15</v>
      </c>
      <c r="G105" t="s">
        <v>19</v>
      </c>
      <c r="H105" t="s">
        <v>12</v>
      </c>
      <c r="I105">
        <v>200</v>
      </c>
      <c r="J105" t="s">
        <v>29</v>
      </c>
    </row>
    <row r="106" spans="2:10" x14ac:dyDescent="0.3">
      <c r="B106">
        <v>6</v>
      </c>
      <c r="C106" t="s">
        <v>27</v>
      </c>
      <c r="D106">
        <v>4</v>
      </c>
      <c r="E106" t="s">
        <v>28</v>
      </c>
      <c r="F106">
        <v>20</v>
      </c>
      <c r="G106" t="s">
        <v>19</v>
      </c>
      <c r="H106" t="s">
        <v>12</v>
      </c>
      <c r="I106">
        <v>250</v>
      </c>
      <c r="J106" t="s">
        <v>29</v>
      </c>
    </row>
    <row r="107" spans="2:10" x14ac:dyDescent="0.3">
      <c r="B107">
        <v>6</v>
      </c>
      <c r="C107" t="s">
        <v>27</v>
      </c>
      <c r="D107">
        <v>5</v>
      </c>
      <c r="E107" t="s">
        <v>28</v>
      </c>
      <c r="F107">
        <v>25</v>
      </c>
      <c r="G107" t="s">
        <v>19</v>
      </c>
      <c r="H107" t="s">
        <v>12</v>
      </c>
      <c r="I107">
        <v>300</v>
      </c>
      <c r="J107" t="s">
        <v>29</v>
      </c>
    </row>
    <row r="108" spans="2:10" x14ac:dyDescent="0.3">
      <c r="B108">
        <v>6</v>
      </c>
      <c r="C108" t="s">
        <v>27</v>
      </c>
      <c r="D108">
        <v>6</v>
      </c>
      <c r="E108" t="s">
        <v>28</v>
      </c>
      <c r="F108">
        <v>30</v>
      </c>
      <c r="G108" t="s">
        <v>19</v>
      </c>
      <c r="H108" t="s">
        <v>12</v>
      </c>
      <c r="I108">
        <v>350</v>
      </c>
      <c r="J108" t="s">
        <v>29</v>
      </c>
    </row>
    <row r="109" spans="2:10" x14ac:dyDescent="0.3">
      <c r="B109">
        <v>6</v>
      </c>
      <c r="C109" t="s">
        <v>27</v>
      </c>
      <c r="D109">
        <v>7</v>
      </c>
      <c r="E109" t="s">
        <v>28</v>
      </c>
      <c r="F109">
        <v>35</v>
      </c>
      <c r="G109" t="s">
        <v>19</v>
      </c>
      <c r="H109" t="s">
        <v>12</v>
      </c>
      <c r="I109">
        <v>400</v>
      </c>
      <c r="J109" t="s">
        <v>29</v>
      </c>
    </row>
    <row r="110" spans="2:10" x14ac:dyDescent="0.3">
      <c r="B110">
        <v>6</v>
      </c>
      <c r="C110" t="s">
        <v>27</v>
      </c>
      <c r="D110">
        <v>8</v>
      </c>
      <c r="E110" t="s">
        <v>28</v>
      </c>
      <c r="F110">
        <v>40</v>
      </c>
      <c r="G110" t="s">
        <v>19</v>
      </c>
      <c r="H110" t="s">
        <v>12</v>
      </c>
      <c r="I110">
        <v>450</v>
      </c>
      <c r="J110" t="s">
        <v>29</v>
      </c>
    </row>
    <row r="111" spans="2:10" x14ac:dyDescent="0.3">
      <c r="B111">
        <v>6</v>
      </c>
      <c r="C111" t="s">
        <v>27</v>
      </c>
      <c r="D111">
        <v>9</v>
      </c>
      <c r="E111" t="s">
        <v>28</v>
      </c>
      <c r="F111">
        <v>45</v>
      </c>
      <c r="G111" t="s">
        <v>19</v>
      </c>
      <c r="H111" t="s">
        <v>12</v>
      </c>
      <c r="I111">
        <v>500</v>
      </c>
      <c r="J111" t="s">
        <v>29</v>
      </c>
    </row>
    <row r="112" spans="2:10" x14ac:dyDescent="0.3">
      <c r="B112">
        <v>6</v>
      </c>
      <c r="C112" t="s">
        <v>27</v>
      </c>
      <c r="D112">
        <v>10</v>
      </c>
      <c r="E112" t="s">
        <v>28</v>
      </c>
      <c r="F112">
        <v>50</v>
      </c>
      <c r="G112" t="s">
        <v>19</v>
      </c>
      <c r="H112" t="s">
        <v>12</v>
      </c>
      <c r="I112">
        <v>550</v>
      </c>
      <c r="J112" t="s">
        <v>29</v>
      </c>
    </row>
    <row r="113" spans="2:10" x14ac:dyDescent="0.3">
      <c r="B113">
        <v>6</v>
      </c>
      <c r="C113" t="s">
        <v>27</v>
      </c>
      <c r="D113">
        <v>11</v>
      </c>
      <c r="E113" t="s">
        <v>28</v>
      </c>
      <c r="F113">
        <v>55</v>
      </c>
      <c r="G113" t="s">
        <v>19</v>
      </c>
      <c r="H113" t="s">
        <v>12</v>
      </c>
      <c r="I113">
        <v>600</v>
      </c>
      <c r="J113" t="s">
        <v>29</v>
      </c>
    </row>
    <row r="114" spans="2:10" x14ac:dyDescent="0.3">
      <c r="B114">
        <v>6</v>
      </c>
      <c r="C114" t="s">
        <v>27</v>
      </c>
      <c r="D114">
        <v>12</v>
      </c>
      <c r="E114" t="s">
        <v>28</v>
      </c>
      <c r="F114">
        <v>60</v>
      </c>
      <c r="G114" t="s">
        <v>19</v>
      </c>
      <c r="H114" t="s">
        <v>12</v>
      </c>
      <c r="I114">
        <v>650</v>
      </c>
      <c r="J114" t="s">
        <v>29</v>
      </c>
    </row>
    <row r="115" spans="2:10" x14ac:dyDescent="0.3">
      <c r="B115">
        <v>6</v>
      </c>
      <c r="C115" t="s">
        <v>27</v>
      </c>
      <c r="D115">
        <v>13</v>
      </c>
      <c r="E115" t="s">
        <v>28</v>
      </c>
      <c r="F115">
        <v>65</v>
      </c>
      <c r="G115" t="s">
        <v>19</v>
      </c>
      <c r="H115" t="s">
        <v>12</v>
      </c>
      <c r="I115">
        <v>700</v>
      </c>
      <c r="J115" t="s">
        <v>29</v>
      </c>
    </row>
    <row r="116" spans="2:10" x14ac:dyDescent="0.3">
      <c r="B116">
        <v>6</v>
      </c>
      <c r="C116" t="s">
        <v>27</v>
      </c>
      <c r="D116">
        <v>14</v>
      </c>
      <c r="E116" t="s">
        <v>28</v>
      </c>
      <c r="F116">
        <v>70</v>
      </c>
      <c r="G116" t="s">
        <v>19</v>
      </c>
      <c r="H116" t="s">
        <v>12</v>
      </c>
      <c r="I116">
        <v>750</v>
      </c>
      <c r="J116" t="s">
        <v>29</v>
      </c>
    </row>
    <row r="117" spans="2:10" x14ac:dyDescent="0.3">
      <c r="B117">
        <v>6</v>
      </c>
      <c r="C117" t="s">
        <v>27</v>
      </c>
      <c r="D117">
        <v>15</v>
      </c>
      <c r="E117" t="s">
        <v>28</v>
      </c>
      <c r="F117">
        <v>75</v>
      </c>
      <c r="G117" t="s">
        <v>19</v>
      </c>
      <c r="H117" t="s">
        <v>12</v>
      </c>
      <c r="I117">
        <v>800</v>
      </c>
      <c r="J117" t="s">
        <v>29</v>
      </c>
    </row>
    <row r="118" spans="2:10" x14ac:dyDescent="0.3">
      <c r="B118">
        <v>6</v>
      </c>
      <c r="C118" t="s">
        <v>27</v>
      </c>
      <c r="D118">
        <v>16</v>
      </c>
      <c r="E118" t="s">
        <v>28</v>
      </c>
      <c r="F118">
        <v>80</v>
      </c>
      <c r="G118" t="s">
        <v>19</v>
      </c>
      <c r="H118" t="s">
        <v>12</v>
      </c>
      <c r="I118">
        <v>850</v>
      </c>
      <c r="J118" t="s">
        <v>29</v>
      </c>
    </row>
    <row r="119" spans="2:10" x14ac:dyDescent="0.3">
      <c r="B119">
        <v>6</v>
      </c>
      <c r="C119" t="s">
        <v>27</v>
      </c>
      <c r="D119">
        <v>17</v>
      </c>
      <c r="E119" t="s">
        <v>28</v>
      </c>
      <c r="F119">
        <v>85</v>
      </c>
      <c r="G119" t="s">
        <v>19</v>
      </c>
      <c r="H119" t="s">
        <v>12</v>
      </c>
      <c r="I119">
        <v>900</v>
      </c>
      <c r="J119" t="s">
        <v>29</v>
      </c>
    </row>
    <row r="120" spans="2:10" x14ac:dyDescent="0.3">
      <c r="B120">
        <v>6</v>
      </c>
      <c r="C120" t="s">
        <v>27</v>
      </c>
      <c r="D120">
        <v>18</v>
      </c>
      <c r="E120" t="s">
        <v>28</v>
      </c>
      <c r="F120">
        <v>90</v>
      </c>
      <c r="G120" t="s">
        <v>19</v>
      </c>
      <c r="H120" t="s">
        <v>12</v>
      </c>
      <c r="I120">
        <v>950</v>
      </c>
      <c r="J120" t="s">
        <v>29</v>
      </c>
    </row>
    <row r="121" spans="2:10" x14ac:dyDescent="0.3">
      <c r="B121">
        <v>6</v>
      </c>
      <c r="C121" t="s">
        <v>27</v>
      </c>
      <c r="D121">
        <v>19</v>
      </c>
      <c r="E121" t="s">
        <v>28</v>
      </c>
      <c r="F121">
        <v>95</v>
      </c>
      <c r="G121" t="s">
        <v>19</v>
      </c>
      <c r="H121" t="s">
        <v>12</v>
      </c>
      <c r="I121">
        <v>1000</v>
      </c>
      <c r="J121" t="s">
        <v>29</v>
      </c>
    </row>
    <row r="122" spans="2:10" x14ac:dyDescent="0.3">
      <c r="B122">
        <v>6</v>
      </c>
      <c r="C122" t="s">
        <v>27</v>
      </c>
      <c r="D122">
        <v>20</v>
      </c>
      <c r="E122" t="s">
        <v>28</v>
      </c>
      <c r="F122">
        <v>100</v>
      </c>
      <c r="G122" t="s">
        <v>19</v>
      </c>
      <c r="H122" t="s">
        <v>12</v>
      </c>
      <c r="I122">
        <v>1050</v>
      </c>
      <c r="J122" t="s">
        <v>29</v>
      </c>
    </row>
    <row r="123" spans="2:10" x14ac:dyDescent="0.3">
      <c r="B123">
        <v>7</v>
      </c>
      <c r="C123" t="s">
        <v>30</v>
      </c>
      <c r="D123">
        <v>1</v>
      </c>
      <c r="E123" t="s">
        <v>31</v>
      </c>
      <c r="F123">
        <v>1</v>
      </c>
      <c r="G123" t="s">
        <v>11</v>
      </c>
      <c r="H123" t="s">
        <v>32</v>
      </c>
      <c r="I123">
        <v>100</v>
      </c>
      <c r="J123" t="s">
        <v>33</v>
      </c>
    </row>
    <row r="124" spans="2:10" x14ac:dyDescent="0.3">
      <c r="B124">
        <v>7</v>
      </c>
      <c r="C124" t="s">
        <v>30</v>
      </c>
      <c r="D124">
        <v>2</v>
      </c>
      <c r="E124" s="1" t="s">
        <v>31</v>
      </c>
      <c r="F124">
        <v>2</v>
      </c>
      <c r="G124" t="s">
        <v>11</v>
      </c>
      <c r="H124" t="s">
        <v>32</v>
      </c>
      <c r="I124">
        <v>150</v>
      </c>
      <c r="J124" t="s">
        <v>33</v>
      </c>
    </row>
    <row r="125" spans="2:10" x14ac:dyDescent="0.3">
      <c r="B125">
        <v>7</v>
      </c>
      <c r="C125" t="s">
        <v>30</v>
      </c>
      <c r="D125">
        <v>3</v>
      </c>
      <c r="E125" s="1" t="s">
        <v>31</v>
      </c>
      <c r="F125">
        <v>3</v>
      </c>
      <c r="G125" t="s">
        <v>11</v>
      </c>
      <c r="H125" t="s">
        <v>32</v>
      </c>
      <c r="I125">
        <v>200</v>
      </c>
      <c r="J125" t="s">
        <v>33</v>
      </c>
    </row>
    <row r="126" spans="2:10" x14ac:dyDescent="0.3">
      <c r="B126">
        <v>7</v>
      </c>
      <c r="C126" t="s">
        <v>30</v>
      </c>
      <c r="D126">
        <v>4</v>
      </c>
      <c r="E126" s="1" t="s">
        <v>31</v>
      </c>
      <c r="F126">
        <v>4</v>
      </c>
      <c r="G126" t="s">
        <v>11</v>
      </c>
      <c r="H126" t="s">
        <v>32</v>
      </c>
      <c r="I126">
        <v>250</v>
      </c>
      <c r="J126" t="s">
        <v>33</v>
      </c>
    </row>
    <row r="127" spans="2:10" x14ac:dyDescent="0.3">
      <c r="B127">
        <v>7</v>
      </c>
      <c r="C127" t="s">
        <v>30</v>
      </c>
      <c r="D127">
        <v>5</v>
      </c>
      <c r="E127" s="1" t="s">
        <v>31</v>
      </c>
      <c r="F127">
        <v>5</v>
      </c>
      <c r="G127" t="s">
        <v>11</v>
      </c>
      <c r="H127" t="s">
        <v>32</v>
      </c>
      <c r="I127">
        <v>300</v>
      </c>
      <c r="J127" t="s">
        <v>33</v>
      </c>
    </row>
    <row r="128" spans="2:10" x14ac:dyDescent="0.3">
      <c r="B128">
        <v>7</v>
      </c>
      <c r="C128" t="s">
        <v>30</v>
      </c>
      <c r="D128">
        <v>6</v>
      </c>
      <c r="E128" s="1" t="s">
        <v>31</v>
      </c>
      <c r="F128">
        <v>6</v>
      </c>
      <c r="G128" t="s">
        <v>11</v>
      </c>
      <c r="H128" t="s">
        <v>32</v>
      </c>
      <c r="I128">
        <v>350</v>
      </c>
      <c r="J128" t="s">
        <v>33</v>
      </c>
    </row>
    <row r="129" spans="2:10" x14ac:dyDescent="0.3">
      <c r="B129">
        <v>7</v>
      </c>
      <c r="C129" t="s">
        <v>30</v>
      </c>
      <c r="D129">
        <v>7</v>
      </c>
      <c r="E129" s="1" t="s">
        <v>31</v>
      </c>
      <c r="F129">
        <v>7</v>
      </c>
      <c r="G129" t="s">
        <v>11</v>
      </c>
      <c r="H129" t="s">
        <v>32</v>
      </c>
      <c r="I129">
        <v>400</v>
      </c>
      <c r="J129" t="s">
        <v>33</v>
      </c>
    </row>
    <row r="130" spans="2:10" x14ac:dyDescent="0.3">
      <c r="B130">
        <v>7</v>
      </c>
      <c r="C130" t="s">
        <v>30</v>
      </c>
      <c r="D130">
        <v>8</v>
      </c>
      <c r="E130" s="1" t="s">
        <v>31</v>
      </c>
      <c r="F130">
        <v>8</v>
      </c>
      <c r="G130" t="s">
        <v>11</v>
      </c>
      <c r="H130" t="s">
        <v>32</v>
      </c>
      <c r="I130">
        <v>450</v>
      </c>
      <c r="J130" t="s">
        <v>33</v>
      </c>
    </row>
    <row r="131" spans="2:10" x14ac:dyDescent="0.3">
      <c r="B131">
        <v>7</v>
      </c>
      <c r="C131" t="s">
        <v>30</v>
      </c>
      <c r="D131">
        <v>9</v>
      </c>
      <c r="E131" s="1" t="s">
        <v>31</v>
      </c>
      <c r="F131">
        <v>9</v>
      </c>
      <c r="G131" t="s">
        <v>11</v>
      </c>
      <c r="H131" t="s">
        <v>32</v>
      </c>
      <c r="I131">
        <v>500</v>
      </c>
      <c r="J131" t="s">
        <v>33</v>
      </c>
    </row>
    <row r="132" spans="2:10" x14ac:dyDescent="0.3">
      <c r="B132">
        <v>7</v>
      </c>
      <c r="C132" t="s">
        <v>30</v>
      </c>
      <c r="D132">
        <v>10</v>
      </c>
      <c r="E132" s="1" t="s">
        <v>31</v>
      </c>
      <c r="F132">
        <v>10</v>
      </c>
      <c r="G132" t="s">
        <v>11</v>
      </c>
      <c r="H132" t="s">
        <v>32</v>
      </c>
      <c r="I132">
        <v>550</v>
      </c>
      <c r="J132" t="s">
        <v>33</v>
      </c>
    </row>
    <row r="133" spans="2:10" x14ac:dyDescent="0.3">
      <c r="B133">
        <v>8</v>
      </c>
      <c r="C133" t="s">
        <v>34</v>
      </c>
      <c r="D133">
        <v>1</v>
      </c>
      <c r="E133" t="s">
        <v>35</v>
      </c>
      <c r="F133">
        <v>100</v>
      </c>
      <c r="G133" t="s">
        <v>19</v>
      </c>
      <c r="H133" t="s">
        <v>32</v>
      </c>
      <c r="I133">
        <v>100</v>
      </c>
      <c r="J133" t="s">
        <v>36</v>
      </c>
    </row>
    <row r="134" spans="2:10" x14ac:dyDescent="0.3">
      <c r="B134">
        <v>8</v>
      </c>
      <c r="C134" t="s">
        <v>34</v>
      </c>
      <c r="D134">
        <v>2</v>
      </c>
      <c r="E134" t="s">
        <v>35</v>
      </c>
      <c r="F134">
        <v>110</v>
      </c>
      <c r="G134" t="s">
        <v>19</v>
      </c>
      <c r="H134" t="s">
        <v>32</v>
      </c>
      <c r="I134">
        <v>150</v>
      </c>
      <c r="J134" t="s">
        <v>36</v>
      </c>
    </row>
    <row r="135" spans="2:10" x14ac:dyDescent="0.3">
      <c r="B135">
        <v>8</v>
      </c>
      <c r="C135" t="s">
        <v>34</v>
      </c>
      <c r="D135">
        <v>3</v>
      </c>
      <c r="E135" t="s">
        <v>35</v>
      </c>
      <c r="F135">
        <v>120</v>
      </c>
      <c r="G135" t="s">
        <v>19</v>
      </c>
      <c r="H135" t="s">
        <v>32</v>
      </c>
      <c r="I135">
        <v>200</v>
      </c>
      <c r="J135" t="s">
        <v>36</v>
      </c>
    </row>
    <row r="136" spans="2:10" x14ac:dyDescent="0.3">
      <c r="B136">
        <v>8</v>
      </c>
      <c r="C136" t="s">
        <v>34</v>
      </c>
      <c r="D136">
        <v>4</v>
      </c>
      <c r="E136" t="s">
        <v>35</v>
      </c>
      <c r="F136">
        <v>130</v>
      </c>
      <c r="G136" t="s">
        <v>19</v>
      </c>
      <c r="H136" t="s">
        <v>32</v>
      </c>
      <c r="I136">
        <v>250</v>
      </c>
      <c r="J136" t="s">
        <v>36</v>
      </c>
    </row>
    <row r="137" spans="2:10" x14ac:dyDescent="0.3">
      <c r="B137">
        <v>8</v>
      </c>
      <c r="C137" t="s">
        <v>34</v>
      </c>
      <c r="D137">
        <v>5</v>
      </c>
      <c r="E137" t="s">
        <v>35</v>
      </c>
      <c r="F137">
        <v>140</v>
      </c>
      <c r="G137" t="s">
        <v>19</v>
      </c>
      <c r="H137" t="s">
        <v>32</v>
      </c>
      <c r="I137">
        <v>300</v>
      </c>
      <c r="J137" t="s">
        <v>36</v>
      </c>
    </row>
    <row r="138" spans="2:10" x14ac:dyDescent="0.3">
      <c r="B138">
        <v>8</v>
      </c>
      <c r="C138" t="s">
        <v>34</v>
      </c>
      <c r="D138">
        <v>6</v>
      </c>
      <c r="E138" t="s">
        <v>35</v>
      </c>
      <c r="F138">
        <v>150</v>
      </c>
      <c r="G138" t="s">
        <v>19</v>
      </c>
      <c r="H138" t="s">
        <v>32</v>
      </c>
      <c r="I138">
        <v>350</v>
      </c>
      <c r="J138" t="s">
        <v>36</v>
      </c>
    </row>
    <row r="139" spans="2:10" x14ac:dyDescent="0.3">
      <c r="B139">
        <v>8</v>
      </c>
      <c r="C139" t="s">
        <v>34</v>
      </c>
      <c r="D139">
        <v>7</v>
      </c>
      <c r="E139" t="s">
        <v>35</v>
      </c>
      <c r="F139">
        <v>160</v>
      </c>
      <c r="G139" t="s">
        <v>19</v>
      </c>
      <c r="H139" t="s">
        <v>32</v>
      </c>
      <c r="I139">
        <v>400</v>
      </c>
      <c r="J139" t="s">
        <v>36</v>
      </c>
    </row>
    <row r="140" spans="2:10" x14ac:dyDescent="0.3">
      <c r="B140">
        <v>8</v>
      </c>
      <c r="C140" t="s">
        <v>34</v>
      </c>
      <c r="D140">
        <v>8</v>
      </c>
      <c r="E140" t="s">
        <v>35</v>
      </c>
      <c r="F140">
        <v>170</v>
      </c>
      <c r="G140" t="s">
        <v>19</v>
      </c>
      <c r="H140" t="s">
        <v>32</v>
      </c>
      <c r="I140">
        <v>450</v>
      </c>
      <c r="J140" t="s">
        <v>36</v>
      </c>
    </row>
    <row r="141" spans="2:10" x14ac:dyDescent="0.3">
      <c r="B141">
        <v>8</v>
      </c>
      <c r="C141" t="s">
        <v>34</v>
      </c>
      <c r="D141">
        <v>9</v>
      </c>
      <c r="E141" t="s">
        <v>35</v>
      </c>
      <c r="F141">
        <v>180</v>
      </c>
      <c r="G141" t="s">
        <v>19</v>
      </c>
      <c r="H141" t="s">
        <v>32</v>
      </c>
      <c r="I141">
        <v>500</v>
      </c>
      <c r="J141" t="s">
        <v>36</v>
      </c>
    </row>
    <row r="142" spans="2:10" x14ac:dyDescent="0.3">
      <c r="B142">
        <v>8</v>
      </c>
      <c r="C142" t="s">
        <v>34</v>
      </c>
      <c r="D142">
        <v>10</v>
      </c>
      <c r="E142" t="s">
        <v>35</v>
      </c>
      <c r="F142">
        <v>190</v>
      </c>
      <c r="G142" t="s">
        <v>19</v>
      </c>
      <c r="H142" t="s">
        <v>32</v>
      </c>
      <c r="I142">
        <v>550</v>
      </c>
      <c r="J142" t="s">
        <v>36</v>
      </c>
    </row>
    <row r="143" spans="2:10" x14ac:dyDescent="0.3">
      <c r="B143">
        <v>9</v>
      </c>
      <c r="C143" t="s">
        <v>37</v>
      </c>
      <c r="D143">
        <v>1</v>
      </c>
      <c r="E143" t="s">
        <v>38</v>
      </c>
      <c r="F143">
        <v>20</v>
      </c>
      <c r="G143" t="s">
        <v>19</v>
      </c>
      <c r="H143" t="s">
        <v>32</v>
      </c>
      <c r="I143">
        <v>100</v>
      </c>
      <c r="J143" t="s">
        <v>39</v>
      </c>
    </row>
    <row r="144" spans="2:10" x14ac:dyDescent="0.3">
      <c r="B144">
        <v>9</v>
      </c>
      <c r="C144" t="s">
        <v>37</v>
      </c>
      <c r="D144">
        <v>2</v>
      </c>
      <c r="E144" t="s">
        <v>38</v>
      </c>
      <c r="F144">
        <v>25</v>
      </c>
      <c r="G144" t="s">
        <v>19</v>
      </c>
      <c r="H144" t="s">
        <v>32</v>
      </c>
      <c r="I144">
        <v>150</v>
      </c>
      <c r="J144" t="s">
        <v>39</v>
      </c>
    </row>
    <row r="145" spans="2:10" x14ac:dyDescent="0.3">
      <c r="B145">
        <v>9</v>
      </c>
      <c r="C145" t="s">
        <v>37</v>
      </c>
      <c r="D145">
        <v>3</v>
      </c>
      <c r="E145" t="s">
        <v>38</v>
      </c>
      <c r="F145">
        <v>30</v>
      </c>
      <c r="G145" t="s">
        <v>19</v>
      </c>
      <c r="H145" t="s">
        <v>32</v>
      </c>
      <c r="I145">
        <v>200</v>
      </c>
      <c r="J145" t="s">
        <v>39</v>
      </c>
    </row>
    <row r="146" spans="2:10" x14ac:dyDescent="0.3">
      <c r="B146">
        <v>9</v>
      </c>
      <c r="C146" t="s">
        <v>37</v>
      </c>
      <c r="D146">
        <v>4</v>
      </c>
      <c r="E146" t="s">
        <v>38</v>
      </c>
      <c r="F146">
        <v>35</v>
      </c>
      <c r="G146" t="s">
        <v>19</v>
      </c>
      <c r="H146" t="s">
        <v>32</v>
      </c>
      <c r="I146">
        <v>250</v>
      </c>
      <c r="J146" t="s">
        <v>39</v>
      </c>
    </row>
    <row r="147" spans="2:10" x14ac:dyDescent="0.3">
      <c r="B147">
        <v>9</v>
      </c>
      <c r="C147" t="s">
        <v>37</v>
      </c>
      <c r="D147">
        <v>5</v>
      </c>
      <c r="E147" t="s">
        <v>38</v>
      </c>
      <c r="F147">
        <v>40</v>
      </c>
      <c r="G147" t="s">
        <v>19</v>
      </c>
      <c r="H147" t="s">
        <v>32</v>
      </c>
      <c r="I147">
        <v>300</v>
      </c>
      <c r="J147" t="s">
        <v>39</v>
      </c>
    </row>
    <row r="148" spans="2:10" x14ac:dyDescent="0.3">
      <c r="B148">
        <v>9</v>
      </c>
      <c r="C148" t="s">
        <v>37</v>
      </c>
      <c r="D148">
        <v>6</v>
      </c>
      <c r="E148" t="s">
        <v>38</v>
      </c>
      <c r="F148">
        <v>45</v>
      </c>
      <c r="G148" t="s">
        <v>19</v>
      </c>
      <c r="H148" t="s">
        <v>32</v>
      </c>
      <c r="I148">
        <v>350</v>
      </c>
      <c r="J148" t="s">
        <v>39</v>
      </c>
    </row>
    <row r="149" spans="2:10" x14ac:dyDescent="0.3">
      <c r="B149">
        <v>9</v>
      </c>
      <c r="C149" t="s">
        <v>37</v>
      </c>
      <c r="D149">
        <v>7</v>
      </c>
      <c r="E149" t="s">
        <v>38</v>
      </c>
      <c r="F149">
        <v>50</v>
      </c>
      <c r="G149" t="s">
        <v>19</v>
      </c>
      <c r="H149" t="s">
        <v>32</v>
      </c>
      <c r="I149">
        <v>400</v>
      </c>
      <c r="J149" t="s">
        <v>39</v>
      </c>
    </row>
    <row r="150" spans="2:10" x14ac:dyDescent="0.3">
      <c r="B150">
        <v>9</v>
      </c>
      <c r="C150" t="s">
        <v>37</v>
      </c>
      <c r="D150">
        <v>8</v>
      </c>
      <c r="E150" t="s">
        <v>38</v>
      </c>
      <c r="F150">
        <v>55</v>
      </c>
      <c r="G150" t="s">
        <v>19</v>
      </c>
      <c r="H150" t="s">
        <v>32</v>
      </c>
      <c r="I150">
        <v>450</v>
      </c>
      <c r="J150" t="s">
        <v>39</v>
      </c>
    </row>
    <row r="151" spans="2:10" x14ac:dyDescent="0.3">
      <c r="B151">
        <v>9</v>
      </c>
      <c r="C151" t="s">
        <v>37</v>
      </c>
      <c r="D151">
        <v>9</v>
      </c>
      <c r="E151" t="s">
        <v>38</v>
      </c>
      <c r="F151">
        <v>60</v>
      </c>
      <c r="G151" t="s">
        <v>19</v>
      </c>
      <c r="H151" t="s">
        <v>32</v>
      </c>
      <c r="I151">
        <v>500</v>
      </c>
      <c r="J151" t="s">
        <v>39</v>
      </c>
    </row>
    <row r="152" spans="2:10" x14ac:dyDescent="0.3">
      <c r="B152">
        <v>9</v>
      </c>
      <c r="C152" t="s">
        <v>37</v>
      </c>
      <c r="D152">
        <v>10</v>
      </c>
      <c r="E152" t="s">
        <v>38</v>
      </c>
      <c r="F152">
        <v>65</v>
      </c>
      <c r="G152" t="s">
        <v>19</v>
      </c>
      <c r="H152" t="s">
        <v>32</v>
      </c>
      <c r="I152">
        <v>550</v>
      </c>
      <c r="J152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>
      <selection activeCell="F7" sqref="F7"/>
    </sheetView>
  </sheetViews>
  <sheetFormatPr defaultRowHeight="16.5" x14ac:dyDescent="0.3"/>
  <cols>
    <col min="2" max="2" width="9.625" bestFit="1" customWidth="1"/>
    <col min="3" max="3" width="10.25" bestFit="1" customWidth="1"/>
    <col min="4" max="5" width="9.625" bestFit="1" customWidth="1"/>
    <col min="6" max="6" width="11.625" bestFit="1" customWidth="1"/>
    <col min="7" max="7" width="18.625" bestFit="1" customWidth="1"/>
    <col min="8" max="8" width="14.375" bestFit="1" customWidth="1"/>
    <col min="9" max="9" width="11.625" bestFit="1" customWidth="1"/>
  </cols>
  <sheetData>
    <row r="2" spans="2:9" x14ac:dyDescent="0.3">
      <c r="B2" s="11" t="s">
        <v>40</v>
      </c>
      <c r="C2" s="11" t="s">
        <v>41</v>
      </c>
      <c r="D2" s="11" t="s">
        <v>6</v>
      </c>
      <c r="E2" s="11" t="s">
        <v>7</v>
      </c>
      <c r="F2" s="11" t="s">
        <v>3</v>
      </c>
      <c r="G2" s="11" t="s">
        <v>42</v>
      </c>
      <c r="H2" s="11" t="s">
        <v>43</v>
      </c>
      <c r="I2" s="11" t="s">
        <v>44</v>
      </c>
    </row>
    <row r="3" spans="2:9" x14ac:dyDescent="0.3">
      <c r="B3" s="12">
        <v>1</v>
      </c>
      <c r="C3" s="12" t="s">
        <v>45</v>
      </c>
      <c r="D3" s="12" t="s">
        <v>12</v>
      </c>
      <c r="E3" s="12"/>
      <c r="F3" s="12"/>
      <c r="G3" s="12"/>
      <c r="H3" s="12"/>
      <c r="I3" s="12"/>
    </row>
    <row r="4" spans="2:9" x14ac:dyDescent="0.3">
      <c r="B4" s="12">
        <v>2</v>
      </c>
      <c r="C4" s="12" t="s">
        <v>46</v>
      </c>
      <c r="D4" s="12" t="s">
        <v>12</v>
      </c>
      <c r="E4" s="12">
        <v>5000</v>
      </c>
      <c r="F4" s="12" t="s">
        <v>25</v>
      </c>
      <c r="G4" s="12" t="s">
        <v>24</v>
      </c>
      <c r="H4" s="12" t="s">
        <v>47</v>
      </c>
      <c r="I4" s="12">
        <v>50</v>
      </c>
    </row>
    <row r="5" spans="2:9" x14ac:dyDescent="0.3">
      <c r="B5" s="12">
        <v>3</v>
      </c>
      <c r="C5" s="12" t="s">
        <v>48</v>
      </c>
      <c r="D5" s="12" t="s">
        <v>12</v>
      </c>
      <c r="E5" s="12">
        <v>5000</v>
      </c>
      <c r="F5" s="12" t="s">
        <v>10</v>
      </c>
      <c r="G5" s="12" t="s">
        <v>9</v>
      </c>
      <c r="H5" s="12" t="s">
        <v>47</v>
      </c>
      <c r="I5" s="12">
        <v>30</v>
      </c>
    </row>
    <row r="6" spans="2:9" x14ac:dyDescent="0.3">
      <c r="B6" s="12">
        <v>4</v>
      </c>
      <c r="C6" s="12" t="s">
        <v>49</v>
      </c>
      <c r="D6" s="12" t="s">
        <v>12</v>
      </c>
      <c r="E6" s="12">
        <v>5000</v>
      </c>
      <c r="F6" s="12" t="s">
        <v>18</v>
      </c>
      <c r="G6" s="12" t="s">
        <v>17</v>
      </c>
      <c r="H6" s="12" t="s">
        <v>50</v>
      </c>
      <c r="I6" s="12">
        <v>20</v>
      </c>
    </row>
    <row r="7" spans="2:9" x14ac:dyDescent="0.3">
      <c r="B7" s="12">
        <v>5</v>
      </c>
      <c r="C7" s="12" t="s">
        <v>51</v>
      </c>
      <c r="D7" s="12" t="s">
        <v>12</v>
      </c>
      <c r="E7" s="12">
        <v>5000</v>
      </c>
      <c r="F7" s="12" t="s">
        <v>15</v>
      </c>
      <c r="G7" s="12" t="s">
        <v>14</v>
      </c>
      <c r="H7" s="12" t="s">
        <v>47</v>
      </c>
      <c r="I7" s="12">
        <v>50</v>
      </c>
    </row>
    <row r="8" spans="2:9" x14ac:dyDescent="0.3">
      <c r="B8" s="12">
        <v>6</v>
      </c>
      <c r="C8" s="12" t="s">
        <v>52</v>
      </c>
      <c r="D8" s="12" t="s">
        <v>32</v>
      </c>
      <c r="E8" s="12">
        <v>1000</v>
      </c>
      <c r="F8" s="12" t="s">
        <v>25</v>
      </c>
      <c r="G8" s="12" t="s">
        <v>24</v>
      </c>
      <c r="H8" s="12" t="s">
        <v>50</v>
      </c>
      <c r="I8" s="12">
        <v>50</v>
      </c>
    </row>
    <row r="9" spans="2:9" x14ac:dyDescent="0.3">
      <c r="B9" s="12">
        <v>7</v>
      </c>
      <c r="C9" s="12" t="s">
        <v>53</v>
      </c>
      <c r="D9" s="12" t="s">
        <v>32</v>
      </c>
      <c r="E9" s="12">
        <v>1000</v>
      </c>
      <c r="F9" s="12" t="s">
        <v>10</v>
      </c>
      <c r="G9" s="12" t="s">
        <v>9</v>
      </c>
      <c r="H9" s="12" t="s">
        <v>50</v>
      </c>
      <c r="I9" s="12">
        <v>30</v>
      </c>
    </row>
    <row r="10" spans="2:9" x14ac:dyDescent="0.3">
      <c r="B10" s="12">
        <v>8</v>
      </c>
      <c r="C10" s="12" t="s">
        <v>54</v>
      </c>
      <c r="D10" s="12" t="s">
        <v>32</v>
      </c>
      <c r="E10" s="12">
        <v>1500</v>
      </c>
      <c r="F10" s="12" t="s">
        <v>31</v>
      </c>
      <c r="G10" s="12" t="s">
        <v>30</v>
      </c>
      <c r="H10" s="12" t="s">
        <v>47</v>
      </c>
      <c r="I10" s="12">
        <v>10</v>
      </c>
    </row>
    <row r="11" spans="2:9" x14ac:dyDescent="0.3">
      <c r="B11" s="12">
        <v>9</v>
      </c>
      <c r="C11" s="12" t="s">
        <v>55</v>
      </c>
      <c r="D11" s="12" t="s">
        <v>32</v>
      </c>
      <c r="E11" s="12">
        <v>1500</v>
      </c>
      <c r="F11" s="12" t="s">
        <v>28</v>
      </c>
      <c r="G11" s="12" t="s">
        <v>27</v>
      </c>
      <c r="H11" s="12" t="s">
        <v>50</v>
      </c>
      <c r="I11" s="12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32"/>
  <sheetViews>
    <sheetView workbookViewId="0">
      <selection activeCell="J10" sqref="J10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56</v>
      </c>
      <c r="L2" t="s">
        <v>57</v>
      </c>
    </row>
    <row r="3" spans="2:12" x14ac:dyDescent="0.3">
      <c r="B3">
        <v>1</v>
      </c>
      <c r="C3" t="s">
        <v>58</v>
      </c>
      <c r="D3">
        <v>1</v>
      </c>
      <c r="E3" t="s">
        <v>59</v>
      </c>
      <c r="G3" t="s">
        <v>60</v>
      </c>
      <c r="K3" s="3">
        <v>0.12</v>
      </c>
      <c r="L3" s="3">
        <v>0.18</v>
      </c>
    </row>
    <row r="4" spans="2:12" x14ac:dyDescent="0.3">
      <c r="B4">
        <v>2</v>
      </c>
      <c r="C4" t="s">
        <v>58</v>
      </c>
      <c r="D4">
        <v>1</v>
      </c>
      <c r="E4" t="s">
        <v>61</v>
      </c>
      <c r="G4" t="s">
        <v>19</v>
      </c>
      <c r="K4" s="4">
        <v>10</v>
      </c>
      <c r="L4" s="4">
        <v>15</v>
      </c>
    </row>
    <row r="5" spans="2:12" x14ac:dyDescent="0.3">
      <c r="B5">
        <v>3</v>
      </c>
      <c r="C5" t="s">
        <v>58</v>
      </c>
      <c r="D5">
        <v>1</v>
      </c>
      <c r="E5" t="s">
        <v>62</v>
      </c>
      <c r="G5" t="s">
        <v>19</v>
      </c>
      <c r="K5" s="6">
        <v>8</v>
      </c>
      <c r="L5" s="6">
        <v>14</v>
      </c>
    </row>
    <row r="6" spans="2:12" x14ac:dyDescent="0.3">
      <c r="B6">
        <v>4</v>
      </c>
      <c r="C6" t="s">
        <v>58</v>
      </c>
      <c r="D6">
        <v>1</v>
      </c>
      <c r="E6" t="s">
        <v>63</v>
      </c>
      <c r="G6" t="s">
        <v>19</v>
      </c>
      <c r="K6" s="7">
        <v>15</v>
      </c>
      <c r="L6" s="7">
        <v>23</v>
      </c>
    </row>
    <row r="7" spans="2:12" x14ac:dyDescent="0.3">
      <c r="B7">
        <v>5</v>
      </c>
      <c r="C7" t="s">
        <v>58</v>
      </c>
      <c r="D7">
        <v>1</v>
      </c>
      <c r="E7" t="s">
        <v>64</v>
      </c>
      <c r="G7" t="s">
        <v>60</v>
      </c>
      <c r="K7" s="8">
        <v>0.12</v>
      </c>
      <c r="L7" s="8">
        <v>0.2</v>
      </c>
    </row>
    <row r="8" spans="2:12" x14ac:dyDescent="0.3">
      <c r="B8">
        <v>6</v>
      </c>
      <c r="C8" t="s">
        <v>58</v>
      </c>
      <c r="D8">
        <v>1</v>
      </c>
      <c r="E8" t="s">
        <v>65</v>
      </c>
      <c r="G8" t="s">
        <v>19</v>
      </c>
      <c r="K8" s="9">
        <v>10</v>
      </c>
      <c r="L8" s="9">
        <v>17</v>
      </c>
    </row>
    <row r="9" spans="2:12" x14ac:dyDescent="0.3">
      <c r="B9">
        <v>7</v>
      </c>
      <c r="C9" t="s">
        <v>66</v>
      </c>
      <c r="D9">
        <v>1</v>
      </c>
      <c r="E9" t="s">
        <v>67</v>
      </c>
      <c r="G9" t="s">
        <v>11</v>
      </c>
      <c r="K9">
        <v>1</v>
      </c>
      <c r="L9">
        <v>1</v>
      </c>
    </row>
    <row r="10" spans="2:12" x14ac:dyDescent="0.3">
      <c r="B10">
        <v>8</v>
      </c>
      <c r="C10" t="s">
        <v>66</v>
      </c>
      <c r="D10">
        <v>1</v>
      </c>
      <c r="E10" t="s">
        <v>68</v>
      </c>
      <c r="G10" t="s">
        <v>11</v>
      </c>
      <c r="K10">
        <v>1</v>
      </c>
      <c r="L10">
        <v>1</v>
      </c>
    </row>
    <row r="11" spans="2:12" x14ac:dyDescent="0.3">
      <c r="B11">
        <v>9</v>
      </c>
      <c r="C11" t="s">
        <v>69</v>
      </c>
      <c r="D11">
        <v>1</v>
      </c>
      <c r="E11" t="s">
        <v>70</v>
      </c>
      <c r="G11" t="s">
        <v>11</v>
      </c>
      <c r="K11">
        <v>1</v>
      </c>
      <c r="L11">
        <v>1</v>
      </c>
    </row>
    <row r="12" spans="2:12" x14ac:dyDescent="0.3">
      <c r="B12">
        <v>10</v>
      </c>
      <c r="C12" t="s">
        <v>69</v>
      </c>
      <c r="D12">
        <v>1</v>
      </c>
      <c r="E12" t="s">
        <v>59</v>
      </c>
      <c r="G12" t="s">
        <v>60</v>
      </c>
      <c r="K12" s="3">
        <f t="shared" ref="K12:K17" si="0">K3*2</f>
        <v>0.24</v>
      </c>
      <c r="L12" s="3">
        <v>0.36</v>
      </c>
    </row>
    <row r="13" spans="2:12" x14ac:dyDescent="0.3">
      <c r="B13">
        <v>11</v>
      </c>
      <c r="C13" t="s">
        <v>69</v>
      </c>
      <c r="D13">
        <v>1</v>
      </c>
      <c r="E13" t="s">
        <v>61</v>
      </c>
      <c r="G13" t="s">
        <v>19</v>
      </c>
      <c r="K13" s="4">
        <f t="shared" si="0"/>
        <v>20</v>
      </c>
      <c r="L13" s="4">
        <v>30</v>
      </c>
    </row>
    <row r="14" spans="2:12" x14ac:dyDescent="0.3">
      <c r="B14">
        <v>12</v>
      </c>
      <c r="C14" t="s">
        <v>69</v>
      </c>
      <c r="D14">
        <v>1</v>
      </c>
      <c r="E14" t="s">
        <v>62</v>
      </c>
      <c r="G14" t="s">
        <v>19</v>
      </c>
      <c r="K14" s="6">
        <f t="shared" si="0"/>
        <v>16</v>
      </c>
      <c r="L14" s="6">
        <f>L5*2</f>
        <v>28</v>
      </c>
    </row>
    <row r="15" spans="2:12" x14ac:dyDescent="0.3">
      <c r="B15">
        <v>13</v>
      </c>
      <c r="C15" t="s">
        <v>69</v>
      </c>
      <c r="D15">
        <v>1</v>
      </c>
      <c r="E15" t="s">
        <v>63</v>
      </c>
      <c r="G15" t="s">
        <v>19</v>
      </c>
      <c r="K15" s="7">
        <f t="shared" si="0"/>
        <v>30</v>
      </c>
      <c r="L15" s="7">
        <f>L6*2</f>
        <v>46</v>
      </c>
    </row>
    <row r="16" spans="2:12" x14ac:dyDescent="0.3">
      <c r="B16">
        <v>14</v>
      </c>
      <c r="C16" t="s">
        <v>69</v>
      </c>
      <c r="D16">
        <v>1</v>
      </c>
      <c r="E16" t="s">
        <v>64</v>
      </c>
      <c r="G16" t="s">
        <v>60</v>
      </c>
      <c r="K16" s="8">
        <f t="shared" si="0"/>
        <v>0.24</v>
      </c>
      <c r="L16" s="8">
        <f>L7*2</f>
        <v>0.4</v>
      </c>
    </row>
    <row r="17" spans="2:12" x14ac:dyDescent="0.3">
      <c r="B17">
        <v>15</v>
      </c>
      <c r="C17" t="s">
        <v>69</v>
      </c>
      <c r="D17">
        <v>1</v>
      </c>
      <c r="E17" t="s">
        <v>65</v>
      </c>
      <c r="G17" t="s">
        <v>19</v>
      </c>
      <c r="K17" s="9">
        <f t="shared" si="0"/>
        <v>20</v>
      </c>
      <c r="L17" s="9">
        <f>L8*2</f>
        <v>34</v>
      </c>
    </row>
    <row r="23" spans="2:12" x14ac:dyDescent="0.3">
      <c r="E23" s="5"/>
      <c r="H23" s="5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>
      <selection activeCell="G4" sqref="G4"/>
    </sheetView>
  </sheetViews>
  <sheetFormatPr defaultRowHeight="16.5" x14ac:dyDescent="0.3"/>
  <sheetData>
    <row r="2" spans="2:8" x14ac:dyDescent="0.3">
      <c r="B2" t="s">
        <v>71</v>
      </c>
      <c r="C2" t="s">
        <v>72</v>
      </c>
      <c r="D2" t="s">
        <v>73</v>
      </c>
      <c r="E2" t="s">
        <v>74</v>
      </c>
      <c r="F2" t="s">
        <v>10</v>
      </c>
      <c r="G2" t="s">
        <v>15</v>
      </c>
      <c r="H2" t="s">
        <v>8</v>
      </c>
    </row>
    <row r="3" spans="2:8" x14ac:dyDescent="0.3">
      <c r="B3">
        <v>1</v>
      </c>
      <c r="C3">
        <v>1</v>
      </c>
      <c r="D3">
        <v>1</v>
      </c>
      <c r="E3" t="s">
        <v>58</v>
      </c>
      <c r="F3">
        <v>33</v>
      </c>
      <c r="G3">
        <v>55</v>
      </c>
    </row>
    <row r="4" spans="2:8" x14ac:dyDescent="0.3">
      <c r="B4">
        <v>2</v>
      </c>
      <c r="C4">
        <v>1</v>
      </c>
      <c r="D4">
        <v>1</v>
      </c>
      <c r="E4" t="s">
        <v>75</v>
      </c>
      <c r="F4">
        <v>55</v>
      </c>
      <c r="G4">
        <f>G3*2</f>
        <v>110</v>
      </c>
    </row>
    <row r="5" spans="2:8" x14ac:dyDescent="0.3">
      <c r="B5">
        <v>3</v>
      </c>
      <c r="C5">
        <v>1</v>
      </c>
      <c r="D5">
        <v>1</v>
      </c>
      <c r="E5" t="s">
        <v>76</v>
      </c>
      <c r="F5">
        <v>165</v>
      </c>
      <c r="G5">
        <f>ROUNDUP(G4*1.7,-1)</f>
        <v>190</v>
      </c>
    </row>
    <row r="6" spans="2:8" x14ac:dyDescent="0.3">
      <c r="B6">
        <v>4</v>
      </c>
      <c r="C6">
        <v>1</v>
      </c>
      <c r="D6">
        <v>2</v>
      </c>
      <c r="E6" t="s">
        <v>58</v>
      </c>
      <c r="F6">
        <v>36</v>
      </c>
      <c r="G6">
        <f>G3+5</f>
        <v>60</v>
      </c>
    </row>
    <row r="7" spans="2:8" x14ac:dyDescent="0.3">
      <c r="B7">
        <v>5</v>
      </c>
      <c r="C7">
        <v>1</v>
      </c>
      <c r="D7">
        <v>2</v>
      </c>
      <c r="E7" t="s">
        <v>75</v>
      </c>
      <c r="F7">
        <v>60</v>
      </c>
      <c r="G7">
        <f>G6*2</f>
        <v>120</v>
      </c>
    </row>
    <row r="8" spans="2:8" x14ac:dyDescent="0.3">
      <c r="B8">
        <v>6</v>
      </c>
      <c r="C8">
        <v>1</v>
      </c>
      <c r="D8">
        <v>2</v>
      </c>
      <c r="E8" t="s">
        <v>76</v>
      </c>
      <c r="F8">
        <v>180</v>
      </c>
      <c r="G8">
        <f>ROUNDUP(G7*1.7,-1)</f>
        <v>210</v>
      </c>
    </row>
    <row r="9" spans="2:8" x14ac:dyDescent="0.3">
      <c r="B9">
        <v>7</v>
      </c>
      <c r="C9">
        <v>1</v>
      </c>
      <c r="D9">
        <v>3</v>
      </c>
      <c r="E9" t="s">
        <v>58</v>
      </c>
      <c r="F9">
        <v>39</v>
      </c>
      <c r="G9">
        <f>G6+5</f>
        <v>65</v>
      </c>
    </row>
    <row r="10" spans="2:8" x14ac:dyDescent="0.3">
      <c r="B10">
        <v>8</v>
      </c>
      <c r="C10">
        <v>1</v>
      </c>
      <c r="D10">
        <v>3</v>
      </c>
      <c r="E10" t="s">
        <v>75</v>
      </c>
      <c r="F10">
        <v>65</v>
      </c>
      <c r="G10">
        <f>G9*2</f>
        <v>130</v>
      </c>
    </row>
    <row r="11" spans="2:8" x14ac:dyDescent="0.3">
      <c r="B11">
        <v>9</v>
      </c>
      <c r="C11">
        <v>1</v>
      </c>
      <c r="D11">
        <v>3</v>
      </c>
      <c r="E11" t="s">
        <v>76</v>
      </c>
      <c r="F11">
        <v>195</v>
      </c>
      <c r="G11">
        <f>ROUNDUP(G10*1.7,-1)</f>
        <v>230</v>
      </c>
    </row>
    <row r="12" spans="2:8" x14ac:dyDescent="0.3">
      <c r="B12">
        <v>10</v>
      </c>
      <c r="C12">
        <v>1</v>
      </c>
      <c r="D12">
        <v>4</v>
      </c>
      <c r="E12" t="s">
        <v>58</v>
      </c>
      <c r="F12">
        <v>42</v>
      </c>
      <c r="G12">
        <f>G9+5</f>
        <v>70</v>
      </c>
    </row>
    <row r="13" spans="2:8" x14ac:dyDescent="0.3">
      <c r="B13">
        <v>11</v>
      </c>
      <c r="C13">
        <v>1</v>
      </c>
      <c r="D13">
        <v>4</v>
      </c>
      <c r="E13" t="s">
        <v>75</v>
      </c>
      <c r="F13">
        <v>70</v>
      </c>
      <c r="G13">
        <f>G12*2</f>
        <v>140</v>
      </c>
    </row>
    <row r="14" spans="2:8" x14ac:dyDescent="0.3">
      <c r="B14">
        <v>12</v>
      </c>
      <c r="C14">
        <v>1</v>
      </c>
      <c r="D14">
        <v>4</v>
      </c>
      <c r="E14" t="s">
        <v>76</v>
      </c>
      <c r="F14">
        <v>210</v>
      </c>
      <c r="G14">
        <f>ROUNDUP(G13*1.7,-1)</f>
        <v>240</v>
      </c>
    </row>
    <row r="15" spans="2:8" x14ac:dyDescent="0.3">
      <c r="B15">
        <v>13</v>
      </c>
      <c r="C15">
        <v>1</v>
      </c>
      <c r="D15">
        <v>5</v>
      </c>
      <c r="E15" t="s">
        <v>58</v>
      </c>
      <c r="F15">
        <v>45</v>
      </c>
      <c r="G15">
        <f>G12+5</f>
        <v>75</v>
      </c>
    </row>
    <row r="16" spans="2:8" x14ac:dyDescent="0.3">
      <c r="B16">
        <v>14</v>
      </c>
      <c r="C16">
        <v>1</v>
      </c>
      <c r="D16">
        <v>5</v>
      </c>
      <c r="E16" t="s">
        <v>75</v>
      </c>
      <c r="F16">
        <v>75</v>
      </c>
      <c r="G16">
        <f>G15*2</f>
        <v>150</v>
      </c>
    </row>
    <row r="17" spans="2:7" x14ac:dyDescent="0.3">
      <c r="B17">
        <v>15</v>
      </c>
      <c r="C17">
        <v>1</v>
      </c>
      <c r="D17">
        <v>5</v>
      </c>
      <c r="E17" t="s">
        <v>76</v>
      </c>
      <c r="F17">
        <v>225</v>
      </c>
      <c r="G17">
        <f>ROUNDUP(G16*1.7,-1)</f>
        <v>260</v>
      </c>
    </row>
    <row r="18" spans="2:7" x14ac:dyDescent="0.3">
      <c r="B18">
        <v>16</v>
      </c>
      <c r="C18">
        <v>1</v>
      </c>
      <c r="D18">
        <v>6</v>
      </c>
      <c r="E18" t="s">
        <v>58</v>
      </c>
      <c r="F18">
        <v>48</v>
      </c>
      <c r="G18">
        <f>G15+5</f>
        <v>80</v>
      </c>
    </row>
    <row r="19" spans="2:7" x14ac:dyDescent="0.3">
      <c r="B19">
        <v>17</v>
      </c>
      <c r="C19">
        <v>1</v>
      </c>
      <c r="D19">
        <v>6</v>
      </c>
      <c r="E19" t="s">
        <v>75</v>
      </c>
      <c r="F19">
        <v>80</v>
      </c>
      <c r="G19">
        <f>G18*2</f>
        <v>160</v>
      </c>
    </row>
    <row r="20" spans="2:7" x14ac:dyDescent="0.3">
      <c r="B20">
        <v>18</v>
      </c>
      <c r="C20">
        <v>1</v>
      </c>
      <c r="D20">
        <v>6</v>
      </c>
      <c r="E20" t="s">
        <v>76</v>
      </c>
      <c r="F20">
        <v>240</v>
      </c>
      <c r="G20">
        <f>ROUNDUP(G19*1.7,-1)</f>
        <v>280</v>
      </c>
    </row>
    <row r="21" spans="2:7" x14ac:dyDescent="0.3">
      <c r="B21">
        <v>19</v>
      </c>
      <c r="C21">
        <v>1</v>
      </c>
      <c r="D21">
        <v>7</v>
      </c>
      <c r="E21" t="s">
        <v>58</v>
      </c>
      <c r="F21">
        <v>51</v>
      </c>
      <c r="G21">
        <f>G18+5</f>
        <v>85</v>
      </c>
    </row>
    <row r="22" spans="2:7" x14ac:dyDescent="0.3">
      <c r="B22">
        <v>20</v>
      </c>
      <c r="C22">
        <v>1</v>
      </c>
      <c r="D22">
        <v>7</v>
      </c>
      <c r="E22" t="s">
        <v>75</v>
      </c>
      <c r="F22">
        <v>85</v>
      </c>
      <c r="G22">
        <f>G21*2</f>
        <v>170</v>
      </c>
    </row>
    <row r="23" spans="2:7" x14ac:dyDescent="0.3">
      <c r="B23">
        <v>21</v>
      </c>
      <c r="C23">
        <v>1</v>
      </c>
      <c r="D23">
        <v>7</v>
      </c>
      <c r="E23" t="s">
        <v>76</v>
      </c>
      <c r="F23">
        <v>255</v>
      </c>
      <c r="G23">
        <f>ROUNDUP(G22*1.7,-1)</f>
        <v>290</v>
      </c>
    </row>
    <row r="24" spans="2:7" x14ac:dyDescent="0.3">
      <c r="B24">
        <v>22</v>
      </c>
      <c r="C24">
        <v>1</v>
      </c>
      <c r="D24">
        <v>8</v>
      </c>
      <c r="E24" t="s">
        <v>58</v>
      </c>
      <c r="F24">
        <v>54</v>
      </c>
      <c r="G24">
        <f>G21+5</f>
        <v>90</v>
      </c>
    </row>
    <row r="25" spans="2:7" x14ac:dyDescent="0.3">
      <c r="B25">
        <v>23</v>
      </c>
      <c r="C25">
        <v>1</v>
      </c>
      <c r="D25">
        <v>8</v>
      </c>
      <c r="E25" t="s">
        <v>75</v>
      </c>
      <c r="F25">
        <v>90</v>
      </c>
      <c r="G25">
        <f>G24*2</f>
        <v>180</v>
      </c>
    </row>
    <row r="26" spans="2:7" x14ac:dyDescent="0.3">
      <c r="B26">
        <v>24</v>
      </c>
      <c r="C26">
        <v>1</v>
      </c>
      <c r="D26">
        <v>8</v>
      </c>
      <c r="E26" t="s">
        <v>76</v>
      </c>
      <c r="F26">
        <v>270</v>
      </c>
      <c r="G26">
        <f>ROUNDUP(G25*1.7,-1)</f>
        <v>310</v>
      </c>
    </row>
    <row r="27" spans="2:7" x14ac:dyDescent="0.3">
      <c r="B27">
        <v>25</v>
      </c>
      <c r="C27">
        <v>1</v>
      </c>
      <c r="D27">
        <v>9</v>
      </c>
      <c r="E27" t="s">
        <v>58</v>
      </c>
      <c r="F27">
        <v>57</v>
      </c>
      <c r="G27">
        <f>G24+5</f>
        <v>95</v>
      </c>
    </row>
    <row r="28" spans="2:7" x14ac:dyDescent="0.3">
      <c r="B28">
        <v>26</v>
      </c>
      <c r="C28">
        <v>1</v>
      </c>
      <c r="D28">
        <v>9</v>
      </c>
      <c r="E28" t="s">
        <v>75</v>
      </c>
      <c r="F28">
        <v>95</v>
      </c>
      <c r="G28">
        <f>G27*2</f>
        <v>190</v>
      </c>
    </row>
    <row r="29" spans="2:7" x14ac:dyDescent="0.3">
      <c r="B29">
        <v>27</v>
      </c>
      <c r="C29">
        <v>1</v>
      </c>
      <c r="D29">
        <v>9</v>
      </c>
      <c r="E29" t="s">
        <v>76</v>
      </c>
      <c r="F29">
        <v>285</v>
      </c>
      <c r="G29">
        <f>ROUNDUP(G28*1.7,-1)</f>
        <v>330</v>
      </c>
    </row>
    <row r="30" spans="2:7" x14ac:dyDescent="0.3">
      <c r="B30">
        <v>28</v>
      </c>
      <c r="C30">
        <v>1</v>
      </c>
      <c r="D30">
        <v>10</v>
      </c>
      <c r="E30" t="s">
        <v>58</v>
      </c>
      <c r="F30">
        <v>60</v>
      </c>
      <c r="G30">
        <f>G27+5</f>
        <v>100</v>
      </c>
    </row>
    <row r="31" spans="2:7" x14ac:dyDescent="0.3">
      <c r="B31">
        <v>29</v>
      </c>
      <c r="C31">
        <v>1</v>
      </c>
      <c r="D31">
        <v>10</v>
      </c>
      <c r="E31" t="s">
        <v>75</v>
      </c>
      <c r="F31">
        <v>100</v>
      </c>
      <c r="G31">
        <f>G30*2</f>
        <v>200</v>
      </c>
    </row>
    <row r="32" spans="2:7" x14ac:dyDescent="0.3">
      <c r="B32">
        <v>30</v>
      </c>
      <c r="C32">
        <v>1</v>
      </c>
      <c r="D32">
        <v>10</v>
      </c>
      <c r="E32" t="s">
        <v>76</v>
      </c>
      <c r="F32">
        <v>300</v>
      </c>
      <c r="G32">
        <f>ROUNDUP(G31*1.7,-1)</f>
        <v>340</v>
      </c>
    </row>
    <row r="33" spans="2:7" x14ac:dyDescent="0.3">
      <c r="B33">
        <v>31</v>
      </c>
      <c r="C33">
        <v>2</v>
      </c>
      <c r="D33">
        <v>1</v>
      </c>
      <c r="E33" t="s">
        <v>58</v>
      </c>
      <c r="F33">
        <v>63</v>
      </c>
      <c r="G33">
        <f>G30+5</f>
        <v>105</v>
      </c>
    </row>
    <row r="34" spans="2:7" x14ac:dyDescent="0.3">
      <c r="B34">
        <v>32</v>
      </c>
      <c r="C34">
        <v>2</v>
      </c>
      <c r="D34">
        <v>1</v>
      </c>
      <c r="E34" t="s">
        <v>75</v>
      </c>
      <c r="F34">
        <v>105</v>
      </c>
      <c r="G34">
        <f>G33*2</f>
        <v>210</v>
      </c>
    </row>
    <row r="35" spans="2:7" x14ac:dyDescent="0.3">
      <c r="B35">
        <v>33</v>
      </c>
      <c r="C35">
        <v>2</v>
      </c>
      <c r="D35">
        <v>1</v>
      </c>
      <c r="E35" t="s">
        <v>76</v>
      </c>
      <c r="F35">
        <v>315</v>
      </c>
      <c r="G35">
        <f>ROUNDUP(G34*1.7,-1)</f>
        <v>360</v>
      </c>
    </row>
    <row r="36" spans="2:7" x14ac:dyDescent="0.3">
      <c r="B36">
        <v>34</v>
      </c>
      <c r="C36">
        <v>2</v>
      </c>
      <c r="D36">
        <v>2</v>
      </c>
      <c r="E36" t="s">
        <v>58</v>
      </c>
      <c r="F36">
        <v>66</v>
      </c>
      <c r="G36">
        <f>G33+5</f>
        <v>110</v>
      </c>
    </row>
    <row r="37" spans="2:7" x14ac:dyDescent="0.3">
      <c r="B37">
        <v>35</v>
      </c>
      <c r="C37">
        <v>2</v>
      </c>
      <c r="D37">
        <v>2</v>
      </c>
      <c r="E37" t="s">
        <v>75</v>
      </c>
      <c r="F37">
        <v>110</v>
      </c>
      <c r="G37">
        <f>G36*2</f>
        <v>220</v>
      </c>
    </row>
    <row r="38" spans="2:7" x14ac:dyDescent="0.3">
      <c r="B38">
        <v>36</v>
      </c>
      <c r="C38">
        <v>2</v>
      </c>
      <c r="D38">
        <v>2</v>
      </c>
      <c r="E38" t="s">
        <v>76</v>
      </c>
      <c r="F38">
        <v>330</v>
      </c>
      <c r="G38">
        <f>ROUNDUP(G37*1.7,-1)</f>
        <v>380</v>
      </c>
    </row>
    <row r="39" spans="2:7" x14ac:dyDescent="0.3">
      <c r="B39">
        <v>37</v>
      </c>
      <c r="C39">
        <v>2</v>
      </c>
      <c r="D39">
        <v>3</v>
      </c>
      <c r="E39" t="s">
        <v>58</v>
      </c>
      <c r="F39">
        <v>69</v>
      </c>
      <c r="G39">
        <f>G36+5</f>
        <v>115</v>
      </c>
    </row>
    <row r="40" spans="2:7" x14ac:dyDescent="0.3">
      <c r="B40">
        <v>38</v>
      </c>
      <c r="C40">
        <v>2</v>
      </c>
      <c r="D40">
        <v>3</v>
      </c>
      <c r="E40" t="s">
        <v>75</v>
      </c>
      <c r="F40">
        <v>115</v>
      </c>
      <c r="G40">
        <f>G39*2</f>
        <v>230</v>
      </c>
    </row>
    <row r="41" spans="2:7" x14ac:dyDescent="0.3">
      <c r="B41">
        <v>39</v>
      </c>
      <c r="C41">
        <v>2</v>
      </c>
      <c r="D41">
        <v>3</v>
      </c>
      <c r="E41" t="s">
        <v>76</v>
      </c>
      <c r="F41">
        <v>345</v>
      </c>
      <c r="G41">
        <f>ROUNDUP(G40*1.7,-1)</f>
        <v>400</v>
      </c>
    </row>
    <row r="42" spans="2:7" x14ac:dyDescent="0.3">
      <c r="B42">
        <v>40</v>
      </c>
      <c r="C42">
        <v>2</v>
      </c>
      <c r="D42">
        <v>4</v>
      </c>
      <c r="E42" t="s">
        <v>58</v>
      </c>
      <c r="F42">
        <v>72</v>
      </c>
      <c r="G42">
        <f>G39+5</f>
        <v>120</v>
      </c>
    </row>
    <row r="43" spans="2:7" x14ac:dyDescent="0.3">
      <c r="B43">
        <v>41</v>
      </c>
      <c r="C43">
        <v>2</v>
      </c>
      <c r="D43">
        <v>4</v>
      </c>
      <c r="E43" t="s">
        <v>75</v>
      </c>
      <c r="F43">
        <v>120</v>
      </c>
      <c r="G43">
        <f>G42*2</f>
        <v>240</v>
      </c>
    </row>
    <row r="44" spans="2:7" x14ac:dyDescent="0.3">
      <c r="B44">
        <v>42</v>
      </c>
      <c r="C44">
        <v>2</v>
      </c>
      <c r="D44">
        <v>4</v>
      </c>
      <c r="E44" t="s">
        <v>76</v>
      </c>
      <c r="F44">
        <v>360</v>
      </c>
      <c r="G44">
        <f>ROUNDUP(G43*1.7,-1)</f>
        <v>410</v>
      </c>
    </row>
    <row r="45" spans="2:7" x14ac:dyDescent="0.3">
      <c r="B45">
        <v>43</v>
      </c>
      <c r="C45">
        <v>2</v>
      </c>
      <c r="D45">
        <v>5</v>
      </c>
      <c r="E45" t="s">
        <v>58</v>
      </c>
      <c r="F45">
        <v>75</v>
      </c>
      <c r="G45">
        <f>G42+5</f>
        <v>125</v>
      </c>
    </row>
    <row r="46" spans="2:7" x14ac:dyDescent="0.3">
      <c r="B46">
        <v>44</v>
      </c>
      <c r="C46">
        <v>2</v>
      </c>
      <c r="D46">
        <v>5</v>
      </c>
      <c r="E46" t="s">
        <v>75</v>
      </c>
      <c r="F46">
        <v>125</v>
      </c>
      <c r="G46">
        <f>G45*2</f>
        <v>250</v>
      </c>
    </row>
    <row r="47" spans="2:7" x14ac:dyDescent="0.3">
      <c r="B47">
        <v>45</v>
      </c>
      <c r="C47">
        <v>2</v>
      </c>
      <c r="D47">
        <v>5</v>
      </c>
      <c r="E47" t="s">
        <v>76</v>
      </c>
      <c r="F47">
        <v>375</v>
      </c>
      <c r="G47">
        <f>ROUNDUP(G46*1.7,-1)</f>
        <v>430</v>
      </c>
    </row>
    <row r="48" spans="2:7" x14ac:dyDescent="0.3">
      <c r="B48">
        <v>46</v>
      </c>
      <c r="C48">
        <v>2</v>
      </c>
      <c r="D48">
        <v>6</v>
      </c>
      <c r="E48" t="s">
        <v>58</v>
      </c>
      <c r="F48">
        <v>78</v>
      </c>
      <c r="G48">
        <f>G45+5</f>
        <v>130</v>
      </c>
    </row>
    <row r="49" spans="2:7" x14ac:dyDescent="0.3">
      <c r="B49">
        <v>47</v>
      </c>
      <c r="C49">
        <v>2</v>
      </c>
      <c r="D49">
        <v>6</v>
      </c>
      <c r="E49" t="s">
        <v>75</v>
      </c>
      <c r="F49">
        <v>130</v>
      </c>
      <c r="G49">
        <f>G48*2</f>
        <v>260</v>
      </c>
    </row>
    <row r="50" spans="2:7" x14ac:dyDescent="0.3">
      <c r="B50">
        <v>48</v>
      </c>
      <c r="C50">
        <v>2</v>
      </c>
      <c r="D50">
        <v>6</v>
      </c>
      <c r="E50" t="s">
        <v>76</v>
      </c>
      <c r="F50">
        <v>390</v>
      </c>
      <c r="G50">
        <f>ROUNDUP(G49*1.7,-1)</f>
        <v>450</v>
      </c>
    </row>
    <row r="51" spans="2:7" x14ac:dyDescent="0.3">
      <c r="B51">
        <v>49</v>
      </c>
      <c r="C51">
        <v>2</v>
      </c>
      <c r="D51">
        <v>7</v>
      </c>
      <c r="E51" t="s">
        <v>58</v>
      </c>
      <c r="F51">
        <v>81</v>
      </c>
      <c r="G51">
        <f>G48+5</f>
        <v>135</v>
      </c>
    </row>
    <row r="52" spans="2:7" x14ac:dyDescent="0.3">
      <c r="B52">
        <v>50</v>
      </c>
      <c r="C52">
        <v>2</v>
      </c>
      <c r="D52">
        <v>7</v>
      </c>
      <c r="E52" t="s">
        <v>75</v>
      </c>
      <c r="F52">
        <v>135</v>
      </c>
      <c r="G52">
        <f>G51*2</f>
        <v>270</v>
      </c>
    </row>
    <row r="53" spans="2:7" x14ac:dyDescent="0.3">
      <c r="B53">
        <v>51</v>
      </c>
      <c r="C53">
        <v>2</v>
      </c>
      <c r="D53">
        <v>7</v>
      </c>
      <c r="E53" t="s">
        <v>76</v>
      </c>
      <c r="F53">
        <v>405</v>
      </c>
      <c r="G53">
        <f>ROUNDUP(G52*1.7,-1)</f>
        <v>460</v>
      </c>
    </row>
    <row r="54" spans="2:7" x14ac:dyDescent="0.3">
      <c r="B54">
        <v>52</v>
      </c>
      <c r="C54">
        <v>2</v>
      </c>
      <c r="D54">
        <v>8</v>
      </c>
      <c r="E54" t="s">
        <v>58</v>
      </c>
      <c r="F54">
        <v>84</v>
      </c>
      <c r="G54">
        <f>G51+5</f>
        <v>140</v>
      </c>
    </row>
    <row r="55" spans="2:7" x14ac:dyDescent="0.3">
      <c r="B55">
        <v>53</v>
      </c>
      <c r="C55">
        <v>2</v>
      </c>
      <c r="D55">
        <v>8</v>
      </c>
      <c r="E55" t="s">
        <v>75</v>
      </c>
      <c r="F55">
        <v>140</v>
      </c>
      <c r="G55">
        <f>G54*2</f>
        <v>280</v>
      </c>
    </row>
    <row r="56" spans="2:7" x14ac:dyDescent="0.3">
      <c r="B56">
        <v>54</v>
      </c>
      <c r="C56">
        <v>2</v>
      </c>
      <c r="D56">
        <v>8</v>
      </c>
      <c r="E56" t="s">
        <v>76</v>
      </c>
      <c r="F56">
        <v>420</v>
      </c>
      <c r="G56">
        <f>ROUNDUP(G55*1.7,-1)</f>
        <v>480</v>
      </c>
    </row>
    <row r="57" spans="2:7" x14ac:dyDescent="0.3">
      <c r="B57">
        <v>55</v>
      </c>
      <c r="C57">
        <v>2</v>
      </c>
      <c r="D57">
        <v>9</v>
      </c>
      <c r="E57" t="s">
        <v>58</v>
      </c>
      <c r="F57">
        <v>87</v>
      </c>
      <c r="G57">
        <f>G54+5</f>
        <v>145</v>
      </c>
    </row>
    <row r="58" spans="2:7" x14ac:dyDescent="0.3">
      <c r="B58">
        <v>56</v>
      </c>
      <c r="C58">
        <v>2</v>
      </c>
      <c r="D58">
        <v>9</v>
      </c>
      <c r="E58" t="s">
        <v>75</v>
      </c>
      <c r="F58">
        <v>145</v>
      </c>
      <c r="G58">
        <f>G57*2</f>
        <v>290</v>
      </c>
    </row>
    <row r="59" spans="2:7" x14ac:dyDescent="0.3">
      <c r="B59">
        <v>57</v>
      </c>
      <c r="C59">
        <v>2</v>
      </c>
      <c r="D59">
        <v>9</v>
      </c>
      <c r="E59" t="s">
        <v>76</v>
      </c>
      <c r="F59">
        <v>435</v>
      </c>
      <c r="G59">
        <f>ROUNDUP(G58*1.7,-1)</f>
        <v>500</v>
      </c>
    </row>
    <row r="60" spans="2:7" x14ac:dyDescent="0.3">
      <c r="B60">
        <v>58</v>
      </c>
      <c r="C60">
        <v>2</v>
      </c>
      <c r="D60">
        <v>10</v>
      </c>
      <c r="E60" t="s">
        <v>58</v>
      </c>
      <c r="F60">
        <v>90</v>
      </c>
      <c r="G60">
        <f>G57+5</f>
        <v>150</v>
      </c>
    </row>
    <row r="61" spans="2:7" x14ac:dyDescent="0.3">
      <c r="B61">
        <v>59</v>
      </c>
      <c r="C61">
        <v>2</v>
      </c>
      <c r="D61">
        <v>10</v>
      </c>
      <c r="E61" t="s">
        <v>75</v>
      </c>
      <c r="F61">
        <v>150</v>
      </c>
      <c r="G61">
        <f>G60*2</f>
        <v>300</v>
      </c>
    </row>
    <row r="62" spans="2:7" x14ac:dyDescent="0.3">
      <c r="B62">
        <v>60</v>
      </c>
      <c r="C62">
        <v>2</v>
      </c>
      <c r="D62">
        <v>10</v>
      </c>
      <c r="E62" t="s">
        <v>76</v>
      </c>
      <c r="F62">
        <v>450</v>
      </c>
      <c r="G62">
        <f>ROUNDUP(G61*1.7,-1)</f>
        <v>510</v>
      </c>
    </row>
    <row r="63" spans="2:7" x14ac:dyDescent="0.3">
      <c r="B63">
        <v>61</v>
      </c>
      <c r="C63">
        <v>3</v>
      </c>
      <c r="D63">
        <v>1</v>
      </c>
      <c r="E63" t="s">
        <v>58</v>
      </c>
      <c r="F63">
        <v>93</v>
      </c>
      <c r="G63">
        <f>G60+5</f>
        <v>155</v>
      </c>
    </row>
    <row r="64" spans="2:7" x14ac:dyDescent="0.3">
      <c r="B64">
        <v>62</v>
      </c>
      <c r="C64">
        <v>3</v>
      </c>
      <c r="D64">
        <v>1</v>
      </c>
      <c r="E64" t="s">
        <v>75</v>
      </c>
      <c r="F64">
        <v>155</v>
      </c>
      <c r="G64">
        <f>G63*2</f>
        <v>310</v>
      </c>
    </row>
    <row r="65" spans="2:7" x14ac:dyDescent="0.3">
      <c r="B65">
        <v>63</v>
      </c>
      <c r="C65">
        <v>3</v>
      </c>
      <c r="D65">
        <v>1</v>
      </c>
      <c r="E65" t="s">
        <v>76</v>
      </c>
      <c r="F65">
        <v>465</v>
      </c>
      <c r="G65">
        <f>ROUNDUP(G64*1.7,-1)</f>
        <v>530</v>
      </c>
    </row>
    <row r="66" spans="2:7" x14ac:dyDescent="0.3">
      <c r="B66">
        <v>64</v>
      </c>
      <c r="C66">
        <v>3</v>
      </c>
      <c r="D66">
        <v>2</v>
      </c>
      <c r="E66" t="s">
        <v>58</v>
      </c>
      <c r="F66">
        <v>96</v>
      </c>
      <c r="G66">
        <f>G63+5</f>
        <v>160</v>
      </c>
    </row>
    <row r="67" spans="2:7" x14ac:dyDescent="0.3">
      <c r="B67">
        <v>65</v>
      </c>
      <c r="C67">
        <v>3</v>
      </c>
      <c r="D67">
        <v>2</v>
      </c>
      <c r="E67" t="s">
        <v>75</v>
      </c>
      <c r="F67">
        <v>160</v>
      </c>
      <c r="G67">
        <f>G66*2</f>
        <v>320</v>
      </c>
    </row>
    <row r="68" spans="2:7" x14ac:dyDescent="0.3">
      <c r="B68">
        <v>66</v>
      </c>
      <c r="C68">
        <v>3</v>
      </c>
      <c r="D68">
        <v>2</v>
      </c>
      <c r="E68" t="s">
        <v>76</v>
      </c>
      <c r="F68">
        <v>480</v>
      </c>
      <c r="G68">
        <f>ROUNDUP(G67*1.7,-1)</f>
        <v>550</v>
      </c>
    </row>
    <row r="69" spans="2:7" x14ac:dyDescent="0.3">
      <c r="B69">
        <v>67</v>
      </c>
      <c r="C69">
        <v>3</v>
      </c>
      <c r="D69">
        <v>3</v>
      </c>
      <c r="E69" t="s">
        <v>58</v>
      </c>
      <c r="F69">
        <v>99</v>
      </c>
      <c r="G69">
        <f>G66+5</f>
        <v>165</v>
      </c>
    </row>
    <row r="70" spans="2:7" x14ac:dyDescent="0.3">
      <c r="B70">
        <v>68</v>
      </c>
      <c r="C70">
        <v>3</v>
      </c>
      <c r="D70">
        <v>3</v>
      </c>
      <c r="E70" t="s">
        <v>75</v>
      </c>
      <c r="F70">
        <v>165</v>
      </c>
      <c r="G70">
        <f>G69*2</f>
        <v>330</v>
      </c>
    </row>
    <row r="71" spans="2:7" x14ac:dyDescent="0.3">
      <c r="B71">
        <v>69</v>
      </c>
      <c r="C71">
        <v>3</v>
      </c>
      <c r="D71">
        <v>3</v>
      </c>
      <c r="E71" t="s">
        <v>76</v>
      </c>
      <c r="F71">
        <v>495</v>
      </c>
      <c r="G71">
        <f>ROUNDUP(G70*1.7,-1)</f>
        <v>570</v>
      </c>
    </row>
    <row r="72" spans="2:7" x14ac:dyDescent="0.3">
      <c r="B72">
        <v>70</v>
      </c>
      <c r="C72">
        <v>3</v>
      </c>
      <c r="D72">
        <v>4</v>
      </c>
      <c r="E72" t="s">
        <v>58</v>
      </c>
      <c r="F72">
        <v>102</v>
      </c>
      <c r="G72">
        <f>G69+5</f>
        <v>170</v>
      </c>
    </row>
    <row r="73" spans="2:7" x14ac:dyDescent="0.3">
      <c r="B73">
        <v>71</v>
      </c>
      <c r="C73">
        <v>3</v>
      </c>
      <c r="D73">
        <v>4</v>
      </c>
      <c r="E73" t="s">
        <v>75</v>
      </c>
      <c r="F73">
        <v>170</v>
      </c>
      <c r="G73">
        <f>G72*2</f>
        <v>340</v>
      </c>
    </row>
    <row r="74" spans="2:7" x14ac:dyDescent="0.3">
      <c r="B74">
        <v>72</v>
      </c>
      <c r="C74">
        <v>3</v>
      </c>
      <c r="D74">
        <v>4</v>
      </c>
      <c r="E74" t="s">
        <v>76</v>
      </c>
      <c r="F74">
        <v>510</v>
      </c>
      <c r="G74">
        <f>ROUNDUP(G73*1.7,-1)</f>
        <v>580</v>
      </c>
    </row>
    <row r="75" spans="2:7" x14ac:dyDescent="0.3">
      <c r="B75">
        <v>73</v>
      </c>
      <c r="C75">
        <v>3</v>
      </c>
      <c r="D75">
        <v>5</v>
      </c>
      <c r="E75" t="s">
        <v>58</v>
      </c>
      <c r="F75">
        <v>105</v>
      </c>
      <c r="G75">
        <f>G72+5</f>
        <v>175</v>
      </c>
    </row>
    <row r="76" spans="2:7" x14ac:dyDescent="0.3">
      <c r="B76">
        <v>74</v>
      </c>
      <c r="C76">
        <v>3</v>
      </c>
      <c r="D76">
        <v>5</v>
      </c>
      <c r="E76" t="s">
        <v>75</v>
      </c>
      <c r="F76">
        <v>175</v>
      </c>
      <c r="G76">
        <f>G75*2</f>
        <v>350</v>
      </c>
    </row>
    <row r="77" spans="2:7" x14ac:dyDescent="0.3">
      <c r="B77">
        <v>75</v>
      </c>
      <c r="C77">
        <v>3</v>
      </c>
      <c r="D77">
        <v>5</v>
      </c>
      <c r="E77" t="s">
        <v>76</v>
      </c>
      <c r="F77">
        <v>525</v>
      </c>
      <c r="G77">
        <f>ROUNDUP(G76*1.7,-1)</f>
        <v>600</v>
      </c>
    </row>
    <row r="78" spans="2:7" x14ac:dyDescent="0.3">
      <c r="B78">
        <v>76</v>
      </c>
      <c r="C78">
        <v>3</v>
      </c>
      <c r="D78">
        <v>6</v>
      </c>
      <c r="E78" t="s">
        <v>58</v>
      </c>
      <c r="F78">
        <v>108</v>
      </c>
      <c r="G78">
        <f>G75+5</f>
        <v>180</v>
      </c>
    </row>
    <row r="79" spans="2:7" x14ac:dyDescent="0.3">
      <c r="B79">
        <v>77</v>
      </c>
      <c r="C79">
        <v>3</v>
      </c>
      <c r="D79">
        <v>6</v>
      </c>
      <c r="E79" t="s">
        <v>75</v>
      </c>
      <c r="F79">
        <v>180</v>
      </c>
      <c r="G79">
        <f>G78*2</f>
        <v>360</v>
      </c>
    </row>
    <row r="80" spans="2:7" x14ac:dyDescent="0.3">
      <c r="B80">
        <v>78</v>
      </c>
      <c r="C80">
        <v>3</v>
      </c>
      <c r="D80">
        <v>6</v>
      </c>
      <c r="E80" t="s">
        <v>76</v>
      </c>
      <c r="F80">
        <v>540</v>
      </c>
      <c r="G80">
        <f>ROUNDUP(G79*1.7,-1)</f>
        <v>620</v>
      </c>
    </row>
    <row r="81" spans="2:7" x14ac:dyDescent="0.3">
      <c r="B81">
        <v>79</v>
      </c>
      <c r="C81">
        <v>3</v>
      </c>
      <c r="D81">
        <v>7</v>
      </c>
      <c r="E81" t="s">
        <v>58</v>
      </c>
      <c r="F81">
        <v>111</v>
      </c>
      <c r="G81">
        <f>G78+5</f>
        <v>185</v>
      </c>
    </row>
    <row r="82" spans="2:7" x14ac:dyDescent="0.3">
      <c r="B82">
        <v>80</v>
      </c>
      <c r="C82">
        <v>3</v>
      </c>
      <c r="D82">
        <v>7</v>
      </c>
      <c r="E82" t="s">
        <v>75</v>
      </c>
      <c r="F82">
        <v>185</v>
      </c>
      <c r="G82">
        <f>G81*2</f>
        <v>370</v>
      </c>
    </row>
    <row r="83" spans="2:7" x14ac:dyDescent="0.3">
      <c r="B83">
        <v>81</v>
      </c>
      <c r="C83">
        <v>3</v>
      </c>
      <c r="D83">
        <v>7</v>
      </c>
      <c r="E83" t="s">
        <v>76</v>
      </c>
      <c r="F83">
        <v>555</v>
      </c>
      <c r="G83">
        <f>ROUNDUP(G82*1.7,-1)</f>
        <v>630</v>
      </c>
    </row>
    <row r="84" spans="2:7" x14ac:dyDescent="0.3">
      <c r="B84">
        <v>82</v>
      </c>
      <c r="C84">
        <v>3</v>
      </c>
      <c r="D84">
        <v>8</v>
      </c>
      <c r="E84" t="s">
        <v>58</v>
      </c>
      <c r="F84">
        <v>114</v>
      </c>
      <c r="G84">
        <f>G81+5</f>
        <v>190</v>
      </c>
    </row>
    <row r="85" spans="2:7" x14ac:dyDescent="0.3">
      <c r="B85">
        <v>83</v>
      </c>
      <c r="C85">
        <v>3</v>
      </c>
      <c r="D85">
        <v>8</v>
      </c>
      <c r="E85" t="s">
        <v>75</v>
      </c>
      <c r="F85">
        <v>190</v>
      </c>
      <c r="G85">
        <f>G84*2</f>
        <v>380</v>
      </c>
    </row>
    <row r="86" spans="2:7" x14ac:dyDescent="0.3">
      <c r="B86">
        <v>84</v>
      </c>
      <c r="C86">
        <v>3</v>
      </c>
      <c r="D86">
        <v>8</v>
      </c>
      <c r="E86" t="s">
        <v>76</v>
      </c>
      <c r="F86">
        <v>570</v>
      </c>
      <c r="G86">
        <f>ROUNDUP(G85*1.7,-1)</f>
        <v>650</v>
      </c>
    </row>
    <row r="87" spans="2:7" x14ac:dyDescent="0.3">
      <c r="B87">
        <v>85</v>
      </c>
      <c r="C87">
        <v>3</v>
      </c>
      <c r="D87">
        <v>9</v>
      </c>
      <c r="E87" t="s">
        <v>58</v>
      </c>
      <c r="F87">
        <v>117</v>
      </c>
      <c r="G87">
        <f>G84+5</f>
        <v>195</v>
      </c>
    </row>
    <row r="88" spans="2:7" x14ac:dyDescent="0.3">
      <c r="B88">
        <v>86</v>
      </c>
      <c r="C88">
        <v>3</v>
      </c>
      <c r="D88">
        <v>9</v>
      </c>
      <c r="E88" t="s">
        <v>75</v>
      </c>
      <c r="F88">
        <v>195</v>
      </c>
      <c r="G88">
        <f>G87*2</f>
        <v>390</v>
      </c>
    </row>
    <row r="89" spans="2:7" x14ac:dyDescent="0.3">
      <c r="B89">
        <v>87</v>
      </c>
      <c r="C89">
        <v>3</v>
      </c>
      <c r="D89">
        <v>9</v>
      </c>
      <c r="E89" t="s">
        <v>76</v>
      </c>
      <c r="F89">
        <v>585</v>
      </c>
      <c r="G89">
        <f>ROUNDUP(G88*1.7,-1)</f>
        <v>670</v>
      </c>
    </row>
    <row r="90" spans="2:7" x14ac:dyDescent="0.3">
      <c r="B90">
        <v>88</v>
      </c>
      <c r="C90">
        <v>3</v>
      </c>
      <c r="D90">
        <v>10</v>
      </c>
      <c r="E90" t="s">
        <v>58</v>
      </c>
      <c r="F90">
        <v>120</v>
      </c>
      <c r="G90">
        <f>G87+5</f>
        <v>200</v>
      </c>
    </row>
    <row r="91" spans="2:7" x14ac:dyDescent="0.3">
      <c r="B91">
        <v>89</v>
      </c>
      <c r="C91">
        <v>3</v>
      </c>
      <c r="D91">
        <v>10</v>
      </c>
      <c r="E91" t="s">
        <v>75</v>
      </c>
      <c r="F91">
        <v>200</v>
      </c>
      <c r="G91">
        <f>G90*2</f>
        <v>400</v>
      </c>
    </row>
    <row r="92" spans="2:7" x14ac:dyDescent="0.3">
      <c r="B92">
        <v>90</v>
      </c>
      <c r="C92">
        <v>3</v>
      </c>
      <c r="D92">
        <v>10</v>
      </c>
      <c r="E92" t="s">
        <v>76</v>
      </c>
      <c r="F92">
        <v>600</v>
      </c>
      <c r="G92">
        <f>ROUNDUP(G91*1.7,-1)</f>
        <v>680</v>
      </c>
    </row>
    <row r="93" spans="2:7" x14ac:dyDescent="0.3">
      <c r="B93">
        <v>91</v>
      </c>
      <c r="C93">
        <v>4</v>
      </c>
      <c r="D93">
        <v>1</v>
      </c>
      <c r="E93" t="s">
        <v>58</v>
      </c>
      <c r="F93">
        <v>123</v>
      </c>
      <c r="G93">
        <f>G90+5</f>
        <v>205</v>
      </c>
    </row>
    <row r="94" spans="2:7" x14ac:dyDescent="0.3">
      <c r="B94">
        <v>92</v>
      </c>
      <c r="C94">
        <v>4</v>
      </c>
      <c r="D94">
        <v>1</v>
      </c>
      <c r="E94" t="s">
        <v>75</v>
      </c>
      <c r="F94">
        <v>205</v>
      </c>
      <c r="G94">
        <f>G93*2</f>
        <v>410</v>
      </c>
    </row>
    <row r="95" spans="2:7" x14ac:dyDescent="0.3">
      <c r="B95">
        <v>93</v>
      </c>
      <c r="C95">
        <v>4</v>
      </c>
      <c r="D95">
        <v>1</v>
      </c>
      <c r="E95" t="s">
        <v>76</v>
      </c>
      <c r="F95">
        <v>615</v>
      </c>
      <c r="G95">
        <f>ROUNDUP(G94*1.7,-1)</f>
        <v>700</v>
      </c>
    </row>
    <row r="96" spans="2:7" x14ac:dyDescent="0.3">
      <c r="B96">
        <v>94</v>
      </c>
      <c r="C96">
        <v>4</v>
      </c>
      <c r="D96">
        <v>2</v>
      </c>
      <c r="E96" t="s">
        <v>58</v>
      </c>
      <c r="F96">
        <v>126</v>
      </c>
      <c r="G96">
        <f>G93+5</f>
        <v>210</v>
      </c>
    </row>
    <row r="97" spans="2:7" x14ac:dyDescent="0.3">
      <c r="B97">
        <v>95</v>
      </c>
      <c r="C97">
        <v>4</v>
      </c>
      <c r="D97">
        <v>2</v>
      </c>
      <c r="E97" t="s">
        <v>75</v>
      </c>
      <c r="F97">
        <v>210</v>
      </c>
      <c r="G97">
        <f>G96*2</f>
        <v>420</v>
      </c>
    </row>
    <row r="98" spans="2:7" x14ac:dyDescent="0.3">
      <c r="B98">
        <v>96</v>
      </c>
      <c r="C98">
        <v>4</v>
      </c>
      <c r="D98">
        <v>2</v>
      </c>
      <c r="E98" t="s">
        <v>76</v>
      </c>
      <c r="F98">
        <v>630</v>
      </c>
      <c r="G98">
        <f>ROUNDUP(G97*1.7,-1)</f>
        <v>720</v>
      </c>
    </row>
    <row r="99" spans="2:7" x14ac:dyDescent="0.3">
      <c r="B99">
        <v>97</v>
      </c>
      <c r="C99">
        <v>4</v>
      </c>
      <c r="D99">
        <v>3</v>
      </c>
      <c r="E99" t="s">
        <v>58</v>
      </c>
      <c r="F99">
        <v>129</v>
      </c>
      <c r="G99">
        <f>G96+5</f>
        <v>215</v>
      </c>
    </row>
    <row r="100" spans="2:7" x14ac:dyDescent="0.3">
      <c r="B100">
        <v>98</v>
      </c>
      <c r="C100">
        <v>4</v>
      </c>
      <c r="D100">
        <v>3</v>
      </c>
      <c r="E100" t="s">
        <v>75</v>
      </c>
      <c r="F100">
        <v>215</v>
      </c>
      <c r="G100">
        <f>G99*2</f>
        <v>430</v>
      </c>
    </row>
    <row r="101" spans="2:7" x14ac:dyDescent="0.3">
      <c r="B101">
        <v>99</v>
      </c>
      <c r="C101">
        <v>4</v>
      </c>
      <c r="D101">
        <v>3</v>
      </c>
      <c r="E101" t="s">
        <v>76</v>
      </c>
      <c r="F101">
        <v>645</v>
      </c>
      <c r="G101">
        <f>ROUNDUP(G100*1.7,-1)</f>
        <v>740</v>
      </c>
    </row>
    <row r="102" spans="2:7" x14ac:dyDescent="0.3">
      <c r="B102">
        <v>100</v>
      </c>
      <c r="C102">
        <v>4</v>
      </c>
      <c r="D102">
        <v>4</v>
      </c>
      <c r="E102" t="s">
        <v>58</v>
      </c>
      <c r="F102">
        <v>132</v>
      </c>
      <c r="G102">
        <f>G99+5</f>
        <v>220</v>
      </c>
    </row>
    <row r="103" spans="2:7" x14ac:dyDescent="0.3">
      <c r="B103">
        <v>101</v>
      </c>
      <c r="C103">
        <v>4</v>
      </c>
      <c r="D103">
        <v>4</v>
      </c>
      <c r="E103" t="s">
        <v>75</v>
      </c>
      <c r="F103">
        <v>220</v>
      </c>
      <c r="G103">
        <f>G102*2</f>
        <v>440</v>
      </c>
    </row>
    <row r="104" spans="2:7" x14ac:dyDescent="0.3">
      <c r="B104">
        <v>102</v>
      </c>
      <c r="C104">
        <v>4</v>
      </c>
      <c r="D104">
        <v>4</v>
      </c>
      <c r="E104" t="s">
        <v>76</v>
      </c>
      <c r="F104">
        <v>660</v>
      </c>
      <c r="G104">
        <f>ROUNDUP(G103*1.7,-1)</f>
        <v>750</v>
      </c>
    </row>
    <row r="105" spans="2:7" x14ac:dyDescent="0.3">
      <c r="B105">
        <v>103</v>
      </c>
      <c r="C105">
        <v>4</v>
      </c>
      <c r="D105">
        <v>5</v>
      </c>
      <c r="E105" t="s">
        <v>58</v>
      </c>
      <c r="F105">
        <v>135</v>
      </c>
      <c r="G105">
        <f>G102+5</f>
        <v>225</v>
      </c>
    </row>
    <row r="106" spans="2:7" x14ac:dyDescent="0.3">
      <c r="B106">
        <v>104</v>
      </c>
      <c r="C106">
        <v>4</v>
      </c>
      <c r="D106">
        <v>5</v>
      </c>
      <c r="E106" t="s">
        <v>75</v>
      </c>
      <c r="F106">
        <v>225</v>
      </c>
      <c r="G106">
        <f>G105*2</f>
        <v>450</v>
      </c>
    </row>
    <row r="107" spans="2:7" x14ac:dyDescent="0.3">
      <c r="B107">
        <v>105</v>
      </c>
      <c r="C107">
        <v>4</v>
      </c>
      <c r="D107">
        <v>5</v>
      </c>
      <c r="E107" t="s">
        <v>76</v>
      </c>
      <c r="F107">
        <v>675</v>
      </c>
      <c r="G107">
        <f>ROUNDUP(G106*1.7,-1)</f>
        <v>770</v>
      </c>
    </row>
    <row r="108" spans="2:7" x14ac:dyDescent="0.3">
      <c r="B108">
        <v>106</v>
      </c>
      <c r="C108">
        <v>4</v>
      </c>
      <c r="D108">
        <v>6</v>
      </c>
      <c r="E108" t="s">
        <v>58</v>
      </c>
      <c r="F108">
        <v>138</v>
      </c>
      <c r="G108">
        <f>G105+5</f>
        <v>230</v>
      </c>
    </row>
    <row r="109" spans="2:7" x14ac:dyDescent="0.3">
      <c r="B109">
        <v>107</v>
      </c>
      <c r="C109">
        <v>4</v>
      </c>
      <c r="D109">
        <v>6</v>
      </c>
      <c r="E109" t="s">
        <v>75</v>
      </c>
      <c r="F109">
        <v>230</v>
      </c>
      <c r="G109">
        <f>G108*2</f>
        <v>460</v>
      </c>
    </row>
    <row r="110" spans="2:7" x14ac:dyDescent="0.3">
      <c r="B110">
        <v>108</v>
      </c>
      <c r="C110">
        <v>4</v>
      </c>
      <c r="D110">
        <v>6</v>
      </c>
      <c r="E110" t="s">
        <v>76</v>
      </c>
      <c r="F110">
        <v>690</v>
      </c>
      <c r="G110">
        <f>ROUNDUP(G109*1.7,-1)</f>
        <v>790</v>
      </c>
    </row>
    <row r="111" spans="2:7" x14ac:dyDescent="0.3">
      <c r="B111">
        <v>109</v>
      </c>
      <c r="C111">
        <v>4</v>
      </c>
      <c r="D111">
        <v>7</v>
      </c>
      <c r="E111" t="s">
        <v>58</v>
      </c>
      <c r="F111">
        <v>141</v>
      </c>
      <c r="G111">
        <f>G108+5</f>
        <v>235</v>
      </c>
    </row>
    <row r="112" spans="2:7" x14ac:dyDescent="0.3">
      <c r="B112">
        <v>110</v>
      </c>
      <c r="C112">
        <v>4</v>
      </c>
      <c r="D112">
        <v>7</v>
      </c>
      <c r="E112" t="s">
        <v>75</v>
      </c>
      <c r="F112">
        <v>235</v>
      </c>
      <c r="G112">
        <f>G111*2</f>
        <v>470</v>
      </c>
    </row>
    <row r="113" spans="2:7" x14ac:dyDescent="0.3">
      <c r="B113">
        <v>111</v>
      </c>
      <c r="C113">
        <v>4</v>
      </c>
      <c r="D113">
        <v>7</v>
      </c>
      <c r="E113" t="s">
        <v>76</v>
      </c>
      <c r="F113">
        <v>705</v>
      </c>
      <c r="G113">
        <f>ROUNDUP(G112*1.7,-1)</f>
        <v>800</v>
      </c>
    </row>
    <row r="114" spans="2:7" x14ac:dyDescent="0.3">
      <c r="B114">
        <v>112</v>
      </c>
      <c r="C114">
        <v>4</v>
      </c>
      <c r="D114">
        <v>8</v>
      </c>
      <c r="E114" t="s">
        <v>58</v>
      </c>
      <c r="F114">
        <v>144</v>
      </c>
      <c r="G114">
        <f>G111+5</f>
        <v>240</v>
      </c>
    </row>
    <row r="115" spans="2:7" x14ac:dyDescent="0.3">
      <c r="B115">
        <v>113</v>
      </c>
      <c r="C115">
        <v>4</v>
      </c>
      <c r="D115">
        <v>8</v>
      </c>
      <c r="E115" t="s">
        <v>75</v>
      </c>
      <c r="F115">
        <v>240</v>
      </c>
      <c r="G115">
        <f>G114*2</f>
        <v>480</v>
      </c>
    </row>
    <row r="116" spans="2:7" x14ac:dyDescent="0.3">
      <c r="B116">
        <v>114</v>
      </c>
      <c r="C116">
        <v>4</v>
      </c>
      <c r="D116">
        <v>8</v>
      </c>
      <c r="E116" t="s">
        <v>76</v>
      </c>
      <c r="F116">
        <v>720</v>
      </c>
      <c r="G116">
        <f>ROUNDUP(G115*1.7,-1)</f>
        <v>820</v>
      </c>
    </row>
    <row r="117" spans="2:7" x14ac:dyDescent="0.3">
      <c r="B117">
        <v>115</v>
      </c>
      <c r="C117">
        <v>4</v>
      </c>
      <c r="D117">
        <v>9</v>
      </c>
      <c r="E117" t="s">
        <v>58</v>
      </c>
      <c r="F117">
        <v>147</v>
      </c>
      <c r="G117">
        <f>G114+5</f>
        <v>245</v>
      </c>
    </row>
    <row r="118" spans="2:7" x14ac:dyDescent="0.3">
      <c r="B118">
        <v>116</v>
      </c>
      <c r="C118">
        <v>4</v>
      </c>
      <c r="D118">
        <v>9</v>
      </c>
      <c r="E118" t="s">
        <v>75</v>
      </c>
      <c r="F118">
        <v>245</v>
      </c>
      <c r="G118">
        <f>G117*2</f>
        <v>490</v>
      </c>
    </row>
    <row r="119" spans="2:7" x14ac:dyDescent="0.3">
      <c r="B119">
        <v>117</v>
      </c>
      <c r="C119">
        <v>4</v>
      </c>
      <c r="D119">
        <v>9</v>
      </c>
      <c r="E119" t="s">
        <v>76</v>
      </c>
      <c r="F119">
        <v>735</v>
      </c>
      <c r="G119">
        <f>ROUNDUP(G118*1.7,-1)</f>
        <v>840</v>
      </c>
    </row>
    <row r="120" spans="2:7" x14ac:dyDescent="0.3">
      <c r="B120">
        <v>118</v>
      </c>
      <c r="C120">
        <v>4</v>
      </c>
      <c r="D120">
        <v>10</v>
      </c>
      <c r="E120" t="s">
        <v>58</v>
      </c>
      <c r="F120">
        <v>150</v>
      </c>
      <c r="G120">
        <f>G117+5</f>
        <v>250</v>
      </c>
    </row>
    <row r="121" spans="2:7" x14ac:dyDescent="0.3">
      <c r="B121">
        <v>119</v>
      </c>
      <c r="C121">
        <v>4</v>
      </c>
      <c r="D121">
        <v>10</v>
      </c>
      <c r="E121" t="s">
        <v>75</v>
      </c>
      <c r="F121">
        <v>250</v>
      </c>
      <c r="G121">
        <f>G120*2</f>
        <v>500</v>
      </c>
    </row>
    <row r="122" spans="2:7" x14ac:dyDescent="0.3">
      <c r="B122">
        <v>120</v>
      </c>
      <c r="C122">
        <v>4</v>
      </c>
      <c r="D122">
        <v>10</v>
      </c>
      <c r="E122" t="s">
        <v>76</v>
      </c>
      <c r="F122">
        <v>750</v>
      </c>
      <c r="G122">
        <f>ROUNDUP(G121*1.7,-1)</f>
        <v>850</v>
      </c>
    </row>
    <row r="123" spans="2:7" x14ac:dyDescent="0.3">
      <c r="B123">
        <v>121</v>
      </c>
      <c r="C123">
        <v>5</v>
      </c>
      <c r="D123">
        <v>1</v>
      </c>
      <c r="E123" t="s">
        <v>58</v>
      </c>
      <c r="F123">
        <v>153</v>
      </c>
      <c r="G123">
        <f>G120+5</f>
        <v>255</v>
      </c>
    </row>
    <row r="124" spans="2:7" x14ac:dyDescent="0.3">
      <c r="B124">
        <v>122</v>
      </c>
      <c r="C124">
        <v>5</v>
      </c>
      <c r="D124">
        <v>1</v>
      </c>
      <c r="E124" t="s">
        <v>75</v>
      </c>
      <c r="F124">
        <v>255</v>
      </c>
      <c r="G124">
        <f>G123*2</f>
        <v>510</v>
      </c>
    </row>
    <row r="125" spans="2:7" x14ac:dyDescent="0.3">
      <c r="B125">
        <v>123</v>
      </c>
      <c r="C125">
        <v>5</v>
      </c>
      <c r="D125">
        <v>1</v>
      </c>
      <c r="E125" t="s">
        <v>76</v>
      </c>
      <c r="F125">
        <v>765</v>
      </c>
      <c r="G125">
        <f>ROUNDUP(G124*1.7,-1)</f>
        <v>870</v>
      </c>
    </row>
    <row r="126" spans="2:7" x14ac:dyDescent="0.3">
      <c r="B126">
        <v>124</v>
      </c>
      <c r="C126">
        <v>5</v>
      </c>
      <c r="D126">
        <v>2</v>
      </c>
      <c r="E126" t="s">
        <v>58</v>
      </c>
      <c r="F126">
        <v>156</v>
      </c>
      <c r="G126">
        <f>G123+5</f>
        <v>260</v>
      </c>
    </row>
    <row r="127" spans="2:7" x14ac:dyDescent="0.3">
      <c r="B127">
        <v>125</v>
      </c>
      <c r="C127">
        <v>5</v>
      </c>
      <c r="D127">
        <v>2</v>
      </c>
      <c r="E127" t="s">
        <v>75</v>
      </c>
      <c r="F127">
        <v>260</v>
      </c>
      <c r="G127">
        <f>G126*2</f>
        <v>520</v>
      </c>
    </row>
    <row r="128" spans="2:7" x14ac:dyDescent="0.3">
      <c r="B128">
        <v>126</v>
      </c>
      <c r="C128">
        <v>5</v>
      </c>
      <c r="D128">
        <v>2</v>
      </c>
      <c r="E128" t="s">
        <v>76</v>
      </c>
      <c r="F128">
        <v>780</v>
      </c>
      <c r="G128">
        <f>ROUNDUP(G127*1.7,-1)</f>
        <v>890</v>
      </c>
    </row>
    <row r="129" spans="2:7" x14ac:dyDescent="0.3">
      <c r="B129">
        <v>127</v>
      </c>
      <c r="C129">
        <v>5</v>
      </c>
      <c r="D129">
        <v>3</v>
      </c>
      <c r="E129" t="s">
        <v>58</v>
      </c>
      <c r="F129">
        <v>159</v>
      </c>
      <c r="G129">
        <f>G126+5</f>
        <v>265</v>
      </c>
    </row>
    <row r="130" spans="2:7" x14ac:dyDescent="0.3">
      <c r="B130">
        <v>128</v>
      </c>
      <c r="C130">
        <v>5</v>
      </c>
      <c r="D130">
        <v>3</v>
      </c>
      <c r="E130" t="s">
        <v>75</v>
      </c>
      <c r="F130">
        <v>265</v>
      </c>
      <c r="G130">
        <f>G129*2</f>
        <v>530</v>
      </c>
    </row>
    <row r="131" spans="2:7" x14ac:dyDescent="0.3">
      <c r="B131">
        <v>129</v>
      </c>
      <c r="C131">
        <v>5</v>
      </c>
      <c r="D131">
        <v>3</v>
      </c>
      <c r="E131" t="s">
        <v>76</v>
      </c>
      <c r="F131">
        <v>795</v>
      </c>
      <c r="G131">
        <f>ROUNDUP(G130*1.7,-1)</f>
        <v>910</v>
      </c>
    </row>
    <row r="132" spans="2:7" x14ac:dyDescent="0.3">
      <c r="B132">
        <v>130</v>
      </c>
      <c r="C132">
        <v>5</v>
      </c>
      <c r="D132">
        <v>4</v>
      </c>
      <c r="E132" t="s">
        <v>58</v>
      </c>
      <c r="F132">
        <v>162</v>
      </c>
      <c r="G132">
        <f>G129+5</f>
        <v>270</v>
      </c>
    </row>
    <row r="133" spans="2:7" x14ac:dyDescent="0.3">
      <c r="B133">
        <v>131</v>
      </c>
      <c r="C133">
        <v>5</v>
      </c>
      <c r="D133">
        <v>4</v>
      </c>
      <c r="E133" t="s">
        <v>75</v>
      </c>
      <c r="F133">
        <v>270</v>
      </c>
      <c r="G133">
        <f>G132*2</f>
        <v>540</v>
      </c>
    </row>
    <row r="134" spans="2:7" x14ac:dyDescent="0.3">
      <c r="B134">
        <v>132</v>
      </c>
      <c r="C134">
        <v>5</v>
      </c>
      <c r="D134">
        <v>4</v>
      </c>
      <c r="E134" t="s">
        <v>76</v>
      </c>
      <c r="F134">
        <v>810</v>
      </c>
      <c r="G134">
        <f>ROUNDUP(G133*1.7,-1)</f>
        <v>920</v>
      </c>
    </row>
    <row r="135" spans="2:7" x14ac:dyDescent="0.3">
      <c r="B135">
        <v>133</v>
      </c>
      <c r="C135">
        <v>5</v>
      </c>
      <c r="D135">
        <v>5</v>
      </c>
      <c r="E135" t="s">
        <v>58</v>
      </c>
      <c r="F135">
        <v>165</v>
      </c>
      <c r="G135">
        <f>G132+5</f>
        <v>275</v>
      </c>
    </row>
    <row r="136" spans="2:7" x14ac:dyDescent="0.3">
      <c r="B136">
        <v>134</v>
      </c>
      <c r="C136">
        <v>5</v>
      </c>
      <c r="D136">
        <v>5</v>
      </c>
      <c r="E136" t="s">
        <v>75</v>
      </c>
      <c r="F136">
        <v>275</v>
      </c>
      <c r="G136">
        <f>G135*2</f>
        <v>550</v>
      </c>
    </row>
    <row r="137" spans="2:7" x14ac:dyDescent="0.3">
      <c r="B137">
        <v>135</v>
      </c>
      <c r="C137">
        <v>5</v>
      </c>
      <c r="D137">
        <v>5</v>
      </c>
      <c r="E137" t="s">
        <v>76</v>
      </c>
      <c r="F137">
        <v>825</v>
      </c>
      <c r="G137">
        <f>ROUNDUP(G136*1.7,-1)</f>
        <v>940</v>
      </c>
    </row>
    <row r="138" spans="2:7" x14ac:dyDescent="0.3">
      <c r="B138">
        <v>136</v>
      </c>
      <c r="C138">
        <v>5</v>
      </c>
      <c r="D138">
        <v>6</v>
      </c>
      <c r="E138" t="s">
        <v>58</v>
      </c>
      <c r="F138">
        <v>168</v>
      </c>
      <c r="G138">
        <f>G135+5</f>
        <v>280</v>
      </c>
    </row>
    <row r="139" spans="2:7" x14ac:dyDescent="0.3">
      <c r="B139">
        <v>137</v>
      </c>
      <c r="C139">
        <v>5</v>
      </c>
      <c r="D139">
        <v>6</v>
      </c>
      <c r="E139" t="s">
        <v>75</v>
      </c>
      <c r="F139">
        <v>280</v>
      </c>
      <c r="G139">
        <f>G138*2</f>
        <v>560</v>
      </c>
    </row>
    <row r="140" spans="2:7" x14ac:dyDescent="0.3">
      <c r="B140">
        <v>138</v>
      </c>
      <c r="C140">
        <v>5</v>
      </c>
      <c r="D140">
        <v>6</v>
      </c>
      <c r="E140" t="s">
        <v>76</v>
      </c>
      <c r="F140">
        <v>840</v>
      </c>
      <c r="G140">
        <f>ROUNDUP(G139*1.7,-1)</f>
        <v>960</v>
      </c>
    </row>
    <row r="141" spans="2:7" x14ac:dyDescent="0.3">
      <c r="B141">
        <v>139</v>
      </c>
      <c r="C141">
        <v>5</v>
      </c>
      <c r="D141">
        <v>7</v>
      </c>
      <c r="E141" t="s">
        <v>58</v>
      </c>
      <c r="F141">
        <v>171</v>
      </c>
      <c r="G141">
        <f>G138+5</f>
        <v>285</v>
      </c>
    </row>
    <row r="142" spans="2:7" x14ac:dyDescent="0.3">
      <c r="B142">
        <v>140</v>
      </c>
      <c r="C142">
        <v>5</v>
      </c>
      <c r="D142">
        <v>7</v>
      </c>
      <c r="E142" t="s">
        <v>75</v>
      </c>
      <c r="F142">
        <v>285</v>
      </c>
      <c r="G142">
        <f>G141*2</f>
        <v>570</v>
      </c>
    </row>
    <row r="143" spans="2:7" x14ac:dyDescent="0.3">
      <c r="B143">
        <v>141</v>
      </c>
      <c r="C143">
        <v>5</v>
      </c>
      <c r="D143">
        <v>7</v>
      </c>
      <c r="E143" t="s">
        <v>76</v>
      </c>
      <c r="F143">
        <v>855</v>
      </c>
      <c r="G143">
        <f>ROUNDUP(G142*1.7,-1)</f>
        <v>970</v>
      </c>
    </row>
    <row r="144" spans="2:7" x14ac:dyDescent="0.3">
      <c r="B144">
        <v>142</v>
      </c>
      <c r="C144">
        <v>5</v>
      </c>
      <c r="D144">
        <v>8</v>
      </c>
      <c r="E144" t="s">
        <v>58</v>
      </c>
      <c r="F144">
        <v>174</v>
      </c>
      <c r="G144">
        <f>G141+5</f>
        <v>290</v>
      </c>
    </row>
    <row r="145" spans="2:7" x14ac:dyDescent="0.3">
      <c r="B145">
        <v>143</v>
      </c>
      <c r="C145">
        <v>5</v>
      </c>
      <c r="D145">
        <v>8</v>
      </c>
      <c r="E145" t="s">
        <v>75</v>
      </c>
      <c r="F145">
        <v>290</v>
      </c>
      <c r="G145">
        <f>G144*2</f>
        <v>580</v>
      </c>
    </row>
    <row r="146" spans="2:7" x14ac:dyDescent="0.3">
      <c r="B146">
        <v>144</v>
      </c>
      <c r="C146">
        <v>5</v>
      </c>
      <c r="D146">
        <v>8</v>
      </c>
      <c r="E146" t="s">
        <v>76</v>
      </c>
      <c r="F146">
        <v>870</v>
      </c>
      <c r="G146">
        <f>ROUNDUP(G145*1.7,-1)</f>
        <v>990</v>
      </c>
    </row>
    <row r="147" spans="2:7" x14ac:dyDescent="0.3">
      <c r="B147">
        <v>145</v>
      </c>
      <c r="C147">
        <v>5</v>
      </c>
      <c r="D147">
        <v>9</v>
      </c>
      <c r="E147" t="s">
        <v>58</v>
      </c>
      <c r="F147">
        <v>177</v>
      </c>
      <c r="G147">
        <f>G144+5</f>
        <v>295</v>
      </c>
    </row>
    <row r="148" spans="2:7" x14ac:dyDescent="0.3">
      <c r="B148">
        <v>146</v>
      </c>
      <c r="C148">
        <v>5</v>
      </c>
      <c r="D148">
        <v>9</v>
      </c>
      <c r="E148" t="s">
        <v>75</v>
      </c>
      <c r="F148">
        <v>295</v>
      </c>
      <c r="G148">
        <f>G147*2</f>
        <v>590</v>
      </c>
    </row>
    <row r="149" spans="2:7" x14ac:dyDescent="0.3">
      <c r="B149">
        <v>147</v>
      </c>
      <c r="C149">
        <v>5</v>
      </c>
      <c r="D149">
        <v>9</v>
      </c>
      <c r="E149" t="s">
        <v>76</v>
      </c>
      <c r="F149">
        <v>885</v>
      </c>
      <c r="G149">
        <f>ROUNDUP(G148*1.7,-1)</f>
        <v>1010</v>
      </c>
    </row>
    <row r="150" spans="2:7" x14ac:dyDescent="0.3">
      <c r="B150">
        <v>148</v>
      </c>
      <c r="C150">
        <v>5</v>
      </c>
      <c r="D150">
        <v>10</v>
      </c>
      <c r="E150" t="s">
        <v>58</v>
      </c>
      <c r="F150">
        <v>180</v>
      </c>
      <c r="G150">
        <f>G147+5</f>
        <v>300</v>
      </c>
    </row>
    <row r="151" spans="2:7" x14ac:dyDescent="0.3">
      <c r="B151">
        <v>149</v>
      </c>
      <c r="C151">
        <v>5</v>
      </c>
      <c r="D151">
        <v>10</v>
      </c>
      <c r="E151" t="s">
        <v>75</v>
      </c>
      <c r="F151">
        <v>300</v>
      </c>
      <c r="G151">
        <f>G150*2</f>
        <v>600</v>
      </c>
    </row>
    <row r="152" spans="2:7" x14ac:dyDescent="0.3">
      <c r="B152">
        <v>150</v>
      </c>
      <c r="C152">
        <v>5</v>
      </c>
      <c r="D152">
        <v>10</v>
      </c>
      <c r="E152" t="s">
        <v>76</v>
      </c>
      <c r="F152">
        <v>900</v>
      </c>
      <c r="G152">
        <f>ROUNDUP(G151*1.7,-1)</f>
        <v>1020</v>
      </c>
    </row>
    <row r="153" spans="2:7" x14ac:dyDescent="0.3">
      <c r="B153">
        <v>151</v>
      </c>
      <c r="C153">
        <v>6</v>
      </c>
      <c r="D153">
        <v>1</v>
      </c>
      <c r="E153" t="s">
        <v>58</v>
      </c>
      <c r="F153">
        <v>183</v>
      </c>
      <c r="G153">
        <f>G150+5</f>
        <v>305</v>
      </c>
    </row>
    <row r="154" spans="2:7" x14ac:dyDescent="0.3">
      <c r="B154">
        <v>152</v>
      </c>
      <c r="C154">
        <v>6</v>
      </c>
      <c r="D154">
        <v>1</v>
      </c>
      <c r="E154" t="s">
        <v>75</v>
      </c>
      <c r="F154">
        <v>305</v>
      </c>
      <c r="G154">
        <f>G153*2</f>
        <v>610</v>
      </c>
    </row>
    <row r="155" spans="2:7" x14ac:dyDescent="0.3">
      <c r="B155">
        <v>153</v>
      </c>
      <c r="C155">
        <v>6</v>
      </c>
      <c r="D155">
        <v>1</v>
      </c>
      <c r="E155" t="s">
        <v>76</v>
      </c>
      <c r="F155">
        <v>915</v>
      </c>
      <c r="G155">
        <f>ROUNDUP(G154*1.7,-1)</f>
        <v>1040</v>
      </c>
    </row>
    <row r="156" spans="2:7" x14ac:dyDescent="0.3">
      <c r="B156">
        <v>154</v>
      </c>
      <c r="C156">
        <v>6</v>
      </c>
      <c r="D156">
        <v>2</v>
      </c>
      <c r="E156" t="s">
        <v>58</v>
      </c>
      <c r="F156">
        <v>186</v>
      </c>
      <c r="G156">
        <f>G153+5</f>
        <v>310</v>
      </c>
    </row>
    <row r="157" spans="2:7" x14ac:dyDescent="0.3">
      <c r="B157">
        <v>155</v>
      </c>
      <c r="C157">
        <v>6</v>
      </c>
      <c r="D157">
        <v>2</v>
      </c>
      <c r="E157" t="s">
        <v>75</v>
      </c>
      <c r="F157">
        <v>310</v>
      </c>
      <c r="G157">
        <f>G156*2</f>
        <v>620</v>
      </c>
    </row>
    <row r="158" spans="2:7" x14ac:dyDescent="0.3">
      <c r="B158">
        <v>156</v>
      </c>
      <c r="C158">
        <v>6</v>
      </c>
      <c r="D158">
        <v>2</v>
      </c>
      <c r="E158" t="s">
        <v>76</v>
      </c>
      <c r="F158">
        <v>930</v>
      </c>
      <c r="G158">
        <f>ROUNDUP(G157*1.7,-1)</f>
        <v>1060</v>
      </c>
    </row>
    <row r="159" spans="2:7" x14ac:dyDescent="0.3">
      <c r="B159">
        <v>157</v>
      </c>
      <c r="C159">
        <v>6</v>
      </c>
      <c r="D159">
        <v>3</v>
      </c>
      <c r="E159" t="s">
        <v>58</v>
      </c>
      <c r="F159">
        <v>189</v>
      </c>
      <c r="G159">
        <f>G156+5</f>
        <v>315</v>
      </c>
    </row>
    <row r="160" spans="2:7" x14ac:dyDescent="0.3">
      <c r="B160">
        <v>158</v>
      </c>
      <c r="C160">
        <v>6</v>
      </c>
      <c r="D160">
        <v>3</v>
      </c>
      <c r="E160" t="s">
        <v>75</v>
      </c>
      <c r="F160">
        <v>315</v>
      </c>
      <c r="G160">
        <f>G159*2</f>
        <v>630</v>
      </c>
    </row>
    <row r="161" spans="2:7" x14ac:dyDescent="0.3">
      <c r="B161">
        <v>159</v>
      </c>
      <c r="C161">
        <v>6</v>
      </c>
      <c r="D161">
        <v>3</v>
      </c>
      <c r="E161" t="s">
        <v>76</v>
      </c>
      <c r="F161">
        <v>945</v>
      </c>
      <c r="G161">
        <f>ROUNDUP(G160*1.7,-1)</f>
        <v>1080</v>
      </c>
    </row>
    <row r="162" spans="2:7" x14ac:dyDescent="0.3">
      <c r="B162">
        <v>160</v>
      </c>
      <c r="C162">
        <v>6</v>
      </c>
      <c r="D162">
        <v>4</v>
      </c>
      <c r="E162" t="s">
        <v>58</v>
      </c>
      <c r="F162">
        <v>192</v>
      </c>
      <c r="G162">
        <f>G159+5</f>
        <v>320</v>
      </c>
    </row>
    <row r="163" spans="2:7" x14ac:dyDescent="0.3">
      <c r="B163">
        <v>161</v>
      </c>
      <c r="C163">
        <v>6</v>
      </c>
      <c r="D163">
        <v>4</v>
      </c>
      <c r="E163" t="s">
        <v>75</v>
      </c>
      <c r="F163">
        <v>320</v>
      </c>
      <c r="G163">
        <f>G162*2</f>
        <v>640</v>
      </c>
    </row>
    <row r="164" spans="2:7" x14ac:dyDescent="0.3">
      <c r="B164">
        <v>162</v>
      </c>
      <c r="C164">
        <v>6</v>
      </c>
      <c r="D164">
        <v>4</v>
      </c>
      <c r="E164" t="s">
        <v>76</v>
      </c>
      <c r="F164">
        <v>960</v>
      </c>
      <c r="G164">
        <f>ROUNDUP(G163*1.7,-1)</f>
        <v>1090</v>
      </c>
    </row>
    <row r="165" spans="2:7" x14ac:dyDescent="0.3">
      <c r="B165">
        <v>163</v>
      </c>
      <c r="C165">
        <v>6</v>
      </c>
      <c r="D165">
        <v>5</v>
      </c>
      <c r="E165" t="s">
        <v>58</v>
      </c>
      <c r="F165">
        <v>195</v>
      </c>
      <c r="G165">
        <f>G162+5</f>
        <v>325</v>
      </c>
    </row>
    <row r="166" spans="2:7" x14ac:dyDescent="0.3">
      <c r="B166">
        <v>164</v>
      </c>
      <c r="C166">
        <v>6</v>
      </c>
      <c r="D166">
        <v>5</v>
      </c>
      <c r="E166" t="s">
        <v>75</v>
      </c>
      <c r="F166">
        <v>325</v>
      </c>
      <c r="G166">
        <f>G165*2</f>
        <v>650</v>
      </c>
    </row>
    <row r="167" spans="2:7" x14ac:dyDescent="0.3">
      <c r="B167">
        <v>165</v>
      </c>
      <c r="C167">
        <v>6</v>
      </c>
      <c r="D167">
        <v>5</v>
      </c>
      <c r="E167" t="s">
        <v>76</v>
      </c>
      <c r="F167">
        <v>975</v>
      </c>
      <c r="G167">
        <f>ROUNDUP(G166*1.7,-1)</f>
        <v>1110</v>
      </c>
    </row>
    <row r="168" spans="2:7" x14ac:dyDescent="0.3">
      <c r="B168">
        <v>166</v>
      </c>
      <c r="C168">
        <v>6</v>
      </c>
      <c r="D168">
        <v>6</v>
      </c>
      <c r="E168" t="s">
        <v>58</v>
      </c>
      <c r="F168">
        <v>198</v>
      </c>
      <c r="G168">
        <f>G165+5</f>
        <v>330</v>
      </c>
    </row>
    <row r="169" spans="2:7" x14ac:dyDescent="0.3">
      <c r="B169">
        <v>167</v>
      </c>
      <c r="C169">
        <v>6</v>
      </c>
      <c r="D169">
        <v>6</v>
      </c>
      <c r="E169" t="s">
        <v>75</v>
      </c>
      <c r="F169">
        <v>330</v>
      </c>
      <c r="G169">
        <f>G168*2</f>
        <v>660</v>
      </c>
    </row>
    <row r="170" spans="2:7" x14ac:dyDescent="0.3">
      <c r="B170">
        <v>168</v>
      </c>
      <c r="C170">
        <v>6</v>
      </c>
      <c r="D170">
        <v>6</v>
      </c>
      <c r="E170" t="s">
        <v>76</v>
      </c>
      <c r="F170">
        <v>990</v>
      </c>
      <c r="G170">
        <f>ROUNDUP(G169*1.7,-1)</f>
        <v>1130</v>
      </c>
    </row>
    <row r="171" spans="2:7" x14ac:dyDescent="0.3">
      <c r="B171">
        <v>169</v>
      </c>
      <c r="C171">
        <v>6</v>
      </c>
      <c r="D171">
        <v>7</v>
      </c>
      <c r="E171" t="s">
        <v>58</v>
      </c>
      <c r="F171">
        <v>201</v>
      </c>
      <c r="G171">
        <f>G168+5</f>
        <v>335</v>
      </c>
    </row>
    <row r="172" spans="2:7" x14ac:dyDescent="0.3">
      <c r="B172">
        <v>170</v>
      </c>
      <c r="C172">
        <v>6</v>
      </c>
      <c r="D172">
        <v>7</v>
      </c>
      <c r="E172" t="s">
        <v>75</v>
      </c>
      <c r="F172">
        <v>335</v>
      </c>
      <c r="G172">
        <f>G171*2</f>
        <v>670</v>
      </c>
    </row>
    <row r="173" spans="2:7" x14ac:dyDescent="0.3">
      <c r="B173">
        <v>171</v>
      </c>
      <c r="C173">
        <v>6</v>
      </c>
      <c r="D173">
        <v>7</v>
      </c>
      <c r="E173" t="s">
        <v>76</v>
      </c>
      <c r="F173">
        <v>1005</v>
      </c>
      <c r="G173">
        <f>ROUNDUP(G172*1.7,-1)</f>
        <v>1140</v>
      </c>
    </row>
    <row r="174" spans="2:7" x14ac:dyDescent="0.3">
      <c r="B174">
        <v>172</v>
      </c>
      <c r="C174">
        <v>6</v>
      </c>
      <c r="D174">
        <v>8</v>
      </c>
      <c r="E174" t="s">
        <v>58</v>
      </c>
      <c r="F174">
        <v>204</v>
      </c>
      <c r="G174">
        <f>G171+5</f>
        <v>340</v>
      </c>
    </row>
    <row r="175" spans="2:7" x14ac:dyDescent="0.3">
      <c r="B175">
        <v>173</v>
      </c>
      <c r="C175">
        <v>6</v>
      </c>
      <c r="D175">
        <v>8</v>
      </c>
      <c r="E175" t="s">
        <v>75</v>
      </c>
      <c r="F175">
        <v>340</v>
      </c>
      <c r="G175">
        <f>G174*2</f>
        <v>680</v>
      </c>
    </row>
    <row r="176" spans="2:7" x14ac:dyDescent="0.3">
      <c r="B176">
        <v>174</v>
      </c>
      <c r="C176">
        <v>6</v>
      </c>
      <c r="D176">
        <v>8</v>
      </c>
      <c r="E176" t="s">
        <v>76</v>
      </c>
      <c r="F176">
        <v>1020</v>
      </c>
      <c r="G176">
        <f>ROUNDUP(G175*1.7,-1)</f>
        <v>1160</v>
      </c>
    </row>
    <row r="177" spans="2:7" x14ac:dyDescent="0.3">
      <c r="B177">
        <v>175</v>
      </c>
      <c r="C177">
        <v>6</v>
      </c>
      <c r="D177">
        <v>9</v>
      </c>
      <c r="E177" t="s">
        <v>58</v>
      </c>
      <c r="F177">
        <v>207</v>
      </c>
      <c r="G177">
        <f>G174+5</f>
        <v>345</v>
      </c>
    </row>
    <row r="178" spans="2:7" x14ac:dyDescent="0.3">
      <c r="B178">
        <v>176</v>
      </c>
      <c r="C178">
        <v>6</v>
      </c>
      <c r="D178">
        <v>9</v>
      </c>
      <c r="E178" t="s">
        <v>75</v>
      </c>
      <c r="F178">
        <v>345</v>
      </c>
      <c r="G178">
        <f>G177*2</f>
        <v>690</v>
      </c>
    </row>
    <row r="179" spans="2:7" x14ac:dyDescent="0.3">
      <c r="B179">
        <v>177</v>
      </c>
      <c r="C179">
        <v>6</v>
      </c>
      <c r="D179">
        <v>9</v>
      </c>
      <c r="E179" t="s">
        <v>76</v>
      </c>
      <c r="F179">
        <v>1035</v>
      </c>
      <c r="G179">
        <f>ROUNDUP(G178*1.7,-1)</f>
        <v>1180</v>
      </c>
    </row>
    <row r="180" spans="2:7" x14ac:dyDescent="0.3">
      <c r="B180">
        <v>178</v>
      </c>
      <c r="C180">
        <v>6</v>
      </c>
      <c r="D180">
        <v>10</v>
      </c>
      <c r="E180" t="s">
        <v>58</v>
      </c>
      <c r="F180">
        <v>210</v>
      </c>
      <c r="G180">
        <f>G177+5</f>
        <v>350</v>
      </c>
    </row>
    <row r="181" spans="2:7" x14ac:dyDescent="0.3">
      <c r="B181">
        <v>179</v>
      </c>
      <c r="C181">
        <v>6</v>
      </c>
      <c r="D181">
        <v>10</v>
      </c>
      <c r="E181" t="s">
        <v>75</v>
      </c>
      <c r="F181">
        <v>350</v>
      </c>
      <c r="G181">
        <f>G180*2</f>
        <v>700</v>
      </c>
    </row>
    <row r="182" spans="2:7" x14ac:dyDescent="0.3">
      <c r="B182">
        <v>180</v>
      </c>
      <c r="C182">
        <v>6</v>
      </c>
      <c r="D182">
        <v>10</v>
      </c>
      <c r="E182" t="s">
        <v>76</v>
      </c>
      <c r="F182">
        <v>1050</v>
      </c>
      <c r="G182">
        <f>ROUNDUP(G181*1.7,-1)</f>
        <v>1190</v>
      </c>
    </row>
    <row r="183" spans="2:7" x14ac:dyDescent="0.3">
      <c r="B183">
        <v>181</v>
      </c>
      <c r="C183">
        <v>7</v>
      </c>
      <c r="D183">
        <v>1</v>
      </c>
      <c r="E183" t="s">
        <v>58</v>
      </c>
      <c r="F183">
        <v>213</v>
      </c>
      <c r="G183">
        <f>G180+5</f>
        <v>355</v>
      </c>
    </row>
    <row r="184" spans="2:7" x14ac:dyDescent="0.3">
      <c r="B184">
        <v>182</v>
      </c>
      <c r="C184">
        <v>7</v>
      </c>
      <c r="D184">
        <v>1</v>
      </c>
      <c r="E184" t="s">
        <v>75</v>
      </c>
      <c r="F184">
        <v>355</v>
      </c>
      <c r="G184">
        <f>G183*2</f>
        <v>710</v>
      </c>
    </row>
    <row r="185" spans="2:7" x14ac:dyDescent="0.3">
      <c r="B185">
        <v>183</v>
      </c>
      <c r="C185">
        <v>7</v>
      </c>
      <c r="D185">
        <v>1</v>
      </c>
      <c r="E185" t="s">
        <v>76</v>
      </c>
      <c r="F185">
        <v>1065</v>
      </c>
      <c r="G185">
        <f>ROUNDUP(G184*1.7,-1)</f>
        <v>1210</v>
      </c>
    </row>
    <row r="186" spans="2:7" x14ac:dyDescent="0.3">
      <c r="B186">
        <v>184</v>
      </c>
      <c r="C186">
        <v>7</v>
      </c>
      <c r="D186">
        <v>2</v>
      </c>
      <c r="E186" t="s">
        <v>58</v>
      </c>
      <c r="F186">
        <v>216</v>
      </c>
      <c r="G186">
        <f>G183+5</f>
        <v>360</v>
      </c>
    </row>
    <row r="187" spans="2:7" x14ac:dyDescent="0.3">
      <c r="B187">
        <v>185</v>
      </c>
      <c r="C187">
        <v>7</v>
      </c>
      <c r="D187">
        <v>2</v>
      </c>
      <c r="E187" t="s">
        <v>75</v>
      </c>
      <c r="F187">
        <v>360</v>
      </c>
      <c r="G187">
        <f>G186*2</f>
        <v>720</v>
      </c>
    </row>
    <row r="188" spans="2:7" x14ac:dyDescent="0.3">
      <c r="B188">
        <v>186</v>
      </c>
      <c r="C188">
        <v>7</v>
      </c>
      <c r="D188">
        <v>2</v>
      </c>
      <c r="E188" t="s">
        <v>76</v>
      </c>
      <c r="F188">
        <v>1080</v>
      </c>
      <c r="G188">
        <f>ROUNDUP(G187*1.7,-1)</f>
        <v>1230</v>
      </c>
    </row>
    <row r="189" spans="2:7" x14ac:dyDescent="0.3">
      <c r="B189">
        <v>187</v>
      </c>
      <c r="C189">
        <v>7</v>
      </c>
      <c r="D189">
        <v>3</v>
      </c>
      <c r="E189" t="s">
        <v>58</v>
      </c>
      <c r="F189">
        <v>219</v>
      </c>
      <c r="G189">
        <f>G186+5</f>
        <v>365</v>
      </c>
    </row>
    <row r="190" spans="2:7" x14ac:dyDescent="0.3">
      <c r="B190">
        <v>188</v>
      </c>
      <c r="C190">
        <v>7</v>
      </c>
      <c r="D190">
        <v>3</v>
      </c>
      <c r="E190" t="s">
        <v>75</v>
      </c>
      <c r="F190">
        <v>365</v>
      </c>
      <c r="G190">
        <f>G189*2</f>
        <v>730</v>
      </c>
    </row>
    <row r="191" spans="2:7" x14ac:dyDescent="0.3">
      <c r="B191">
        <v>189</v>
      </c>
      <c r="C191">
        <v>7</v>
      </c>
      <c r="D191">
        <v>3</v>
      </c>
      <c r="E191" t="s">
        <v>76</v>
      </c>
      <c r="F191">
        <v>1095</v>
      </c>
      <c r="G191">
        <f>ROUNDUP(G190*1.7,-1)</f>
        <v>1250</v>
      </c>
    </row>
    <row r="192" spans="2:7" x14ac:dyDescent="0.3">
      <c r="B192">
        <v>190</v>
      </c>
      <c r="C192">
        <v>7</v>
      </c>
      <c r="D192">
        <v>4</v>
      </c>
      <c r="E192" t="s">
        <v>58</v>
      </c>
      <c r="F192">
        <v>222</v>
      </c>
      <c r="G192">
        <f>G189+5</f>
        <v>370</v>
      </c>
    </row>
    <row r="193" spans="2:7" x14ac:dyDescent="0.3">
      <c r="B193">
        <v>191</v>
      </c>
      <c r="C193">
        <v>7</v>
      </c>
      <c r="D193">
        <v>4</v>
      </c>
      <c r="E193" t="s">
        <v>75</v>
      </c>
      <c r="F193">
        <v>370</v>
      </c>
      <c r="G193">
        <f>G192*2</f>
        <v>740</v>
      </c>
    </row>
    <row r="194" spans="2:7" x14ac:dyDescent="0.3">
      <c r="B194">
        <v>192</v>
      </c>
      <c r="C194">
        <v>7</v>
      </c>
      <c r="D194">
        <v>4</v>
      </c>
      <c r="E194" t="s">
        <v>76</v>
      </c>
      <c r="F194">
        <v>1110</v>
      </c>
      <c r="G194">
        <f>ROUNDUP(G193*1.7,-1)</f>
        <v>1260</v>
      </c>
    </row>
    <row r="195" spans="2:7" x14ac:dyDescent="0.3">
      <c r="B195">
        <v>193</v>
      </c>
      <c r="C195">
        <v>7</v>
      </c>
      <c r="D195">
        <v>5</v>
      </c>
      <c r="E195" t="s">
        <v>58</v>
      </c>
      <c r="F195">
        <v>225</v>
      </c>
      <c r="G195">
        <f>G192+5</f>
        <v>375</v>
      </c>
    </row>
    <row r="196" spans="2:7" x14ac:dyDescent="0.3">
      <c r="B196">
        <v>194</v>
      </c>
      <c r="C196">
        <v>7</v>
      </c>
      <c r="D196">
        <v>5</v>
      </c>
      <c r="E196" t="s">
        <v>75</v>
      </c>
      <c r="F196">
        <v>375</v>
      </c>
      <c r="G196">
        <f>G195*2</f>
        <v>750</v>
      </c>
    </row>
    <row r="197" spans="2:7" x14ac:dyDescent="0.3">
      <c r="B197">
        <v>195</v>
      </c>
      <c r="C197">
        <v>7</v>
      </c>
      <c r="D197">
        <v>5</v>
      </c>
      <c r="E197" t="s">
        <v>76</v>
      </c>
      <c r="F197">
        <v>1125</v>
      </c>
      <c r="G197">
        <f>ROUNDUP(G196*1.7,-1)</f>
        <v>1280</v>
      </c>
    </row>
    <row r="198" spans="2:7" x14ac:dyDescent="0.3">
      <c r="B198">
        <v>196</v>
      </c>
      <c r="C198">
        <v>7</v>
      </c>
      <c r="D198">
        <v>6</v>
      </c>
      <c r="E198" t="s">
        <v>58</v>
      </c>
      <c r="F198">
        <v>228</v>
      </c>
      <c r="G198">
        <f>G195+5</f>
        <v>380</v>
      </c>
    </row>
    <row r="199" spans="2:7" x14ac:dyDescent="0.3">
      <c r="B199">
        <v>197</v>
      </c>
      <c r="C199">
        <v>7</v>
      </c>
      <c r="D199">
        <v>6</v>
      </c>
      <c r="E199" t="s">
        <v>75</v>
      </c>
      <c r="F199">
        <v>380</v>
      </c>
      <c r="G199">
        <f>G198*2</f>
        <v>760</v>
      </c>
    </row>
    <row r="200" spans="2:7" x14ac:dyDescent="0.3">
      <c r="B200">
        <v>198</v>
      </c>
      <c r="C200">
        <v>7</v>
      </c>
      <c r="D200">
        <v>6</v>
      </c>
      <c r="E200" t="s">
        <v>76</v>
      </c>
      <c r="F200">
        <v>1140</v>
      </c>
      <c r="G200">
        <f>ROUNDUP(G199*1.7,-1)</f>
        <v>1300</v>
      </c>
    </row>
    <row r="201" spans="2:7" x14ac:dyDescent="0.3">
      <c r="B201">
        <v>199</v>
      </c>
      <c r="C201">
        <v>7</v>
      </c>
      <c r="D201">
        <v>7</v>
      </c>
      <c r="E201" t="s">
        <v>58</v>
      </c>
      <c r="F201">
        <v>231</v>
      </c>
      <c r="G201">
        <f>G198+5</f>
        <v>385</v>
      </c>
    </row>
    <row r="202" spans="2:7" x14ac:dyDescent="0.3">
      <c r="B202">
        <v>200</v>
      </c>
      <c r="C202">
        <v>7</v>
      </c>
      <c r="D202">
        <v>7</v>
      </c>
      <c r="E202" t="s">
        <v>75</v>
      </c>
      <c r="F202">
        <v>385</v>
      </c>
      <c r="G202">
        <f>G201*2</f>
        <v>770</v>
      </c>
    </row>
    <row r="203" spans="2:7" x14ac:dyDescent="0.3">
      <c r="B203">
        <v>201</v>
      </c>
      <c r="C203">
        <v>7</v>
      </c>
      <c r="D203">
        <v>7</v>
      </c>
      <c r="E203" t="s">
        <v>76</v>
      </c>
      <c r="F203">
        <v>1155</v>
      </c>
      <c r="G203">
        <f>ROUNDUP(G202*1.7,-1)</f>
        <v>1310</v>
      </c>
    </row>
    <row r="204" spans="2:7" x14ac:dyDescent="0.3">
      <c r="B204">
        <v>202</v>
      </c>
      <c r="C204">
        <v>7</v>
      </c>
      <c r="D204">
        <v>8</v>
      </c>
      <c r="E204" t="s">
        <v>58</v>
      </c>
      <c r="F204">
        <v>234</v>
      </c>
      <c r="G204">
        <f>G201+5</f>
        <v>390</v>
      </c>
    </row>
    <row r="205" spans="2:7" x14ac:dyDescent="0.3">
      <c r="B205">
        <v>203</v>
      </c>
      <c r="C205">
        <v>7</v>
      </c>
      <c r="D205">
        <v>8</v>
      </c>
      <c r="E205" t="s">
        <v>75</v>
      </c>
      <c r="F205">
        <v>390</v>
      </c>
      <c r="G205">
        <f>G204*2</f>
        <v>780</v>
      </c>
    </row>
    <row r="206" spans="2:7" x14ac:dyDescent="0.3">
      <c r="B206">
        <v>204</v>
      </c>
      <c r="C206">
        <v>7</v>
      </c>
      <c r="D206">
        <v>8</v>
      </c>
      <c r="E206" t="s">
        <v>76</v>
      </c>
      <c r="F206">
        <v>1170</v>
      </c>
      <c r="G206">
        <f>ROUNDUP(G205*1.7,-1)</f>
        <v>1330</v>
      </c>
    </row>
    <row r="207" spans="2:7" x14ac:dyDescent="0.3">
      <c r="B207">
        <v>205</v>
      </c>
      <c r="C207">
        <v>7</v>
      </c>
      <c r="D207">
        <v>9</v>
      </c>
      <c r="E207" t="s">
        <v>58</v>
      </c>
      <c r="F207">
        <v>237</v>
      </c>
      <c r="G207">
        <f>G204+5</f>
        <v>395</v>
      </c>
    </row>
    <row r="208" spans="2:7" x14ac:dyDescent="0.3">
      <c r="B208">
        <v>206</v>
      </c>
      <c r="C208">
        <v>7</v>
      </c>
      <c r="D208">
        <v>9</v>
      </c>
      <c r="E208" t="s">
        <v>75</v>
      </c>
      <c r="F208">
        <v>395</v>
      </c>
      <c r="G208">
        <f>G207*2</f>
        <v>790</v>
      </c>
    </row>
    <row r="209" spans="2:7" x14ac:dyDescent="0.3">
      <c r="B209">
        <v>207</v>
      </c>
      <c r="C209">
        <v>7</v>
      </c>
      <c r="D209">
        <v>9</v>
      </c>
      <c r="E209" t="s">
        <v>76</v>
      </c>
      <c r="F209">
        <v>1185</v>
      </c>
      <c r="G209">
        <f>ROUNDUP(G208*1.7,-1)</f>
        <v>1350</v>
      </c>
    </row>
    <row r="210" spans="2:7" x14ac:dyDescent="0.3">
      <c r="B210">
        <v>208</v>
      </c>
      <c r="C210">
        <v>7</v>
      </c>
      <c r="D210">
        <v>10</v>
      </c>
      <c r="E210" t="s">
        <v>58</v>
      </c>
      <c r="F210">
        <v>240</v>
      </c>
      <c r="G210">
        <f>G207+5</f>
        <v>400</v>
      </c>
    </row>
    <row r="211" spans="2:7" x14ac:dyDescent="0.3">
      <c r="B211">
        <v>209</v>
      </c>
      <c r="C211">
        <v>7</v>
      </c>
      <c r="D211">
        <v>10</v>
      </c>
      <c r="E211" t="s">
        <v>75</v>
      </c>
      <c r="F211">
        <v>400</v>
      </c>
      <c r="G211">
        <f>G210*2</f>
        <v>800</v>
      </c>
    </row>
    <row r="212" spans="2:7" x14ac:dyDescent="0.3">
      <c r="B212">
        <v>210</v>
      </c>
      <c r="C212">
        <v>7</v>
      </c>
      <c r="D212">
        <v>10</v>
      </c>
      <c r="E212" t="s">
        <v>76</v>
      </c>
      <c r="F212">
        <v>1200</v>
      </c>
      <c r="G212">
        <f>ROUNDUP(G211*1.7,-1)</f>
        <v>1360</v>
      </c>
    </row>
    <row r="213" spans="2:7" x14ac:dyDescent="0.3">
      <c r="B213">
        <v>211</v>
      </c>
      <c r="C213">
        <v>8</v>
      </c>
      <c r="D213">
        <v>1</v>
      </c>
      <c r="E213" t="s">
        <v>58</v>
      </c>
      <c r="F213">
        <v>243</v>
      </c>
      <c r="G213">
        <f>G210+5</f>
        <v>405</v>
      </c>
    </row>
    <row r="214" spans="2:7" x14ac:dyDescent="0.3">
      <c r="B214">
        <v>212</v>
      </c>
      <c r="C214">
        <v>8</v>
      </c>
      <c r="D214">
        <v>1</v>
      </c>
      <c r="E214" t="s">
        <v>75</v>
      </c>
      <c r="F214">
        <v>405</v>
      </c>
      <c r="G214">
        <f>G213*2</f>
        <v>810</v>
      </c>
    </row>
    <row r="215" spans="2:7" x14ac:dyDescent="0.3">
      <c r="B215">
        <v>213</v>
      </c>
      <c r="C215">
        <v>8</v>
      </c>
      <c r="D215">
        <v>1</v>
      </c>
      <c r="E215" t="s">
        <v>76</v>
      </c>
      <c r="F215">
        <v>1215</v>
      </c>
      <c r="G215">
        <f>ROUNDUP(G214*1.7,-1)</f>
        <v>1380</v>
      </c>
    </row>
    <row r="216" spans="2:7" x14ac:dyDescent="0.3">
      <c r="B216">
        <v>214</v>
      </c>
      <c r="C216">
        <v>8</v>
      </c>
      <c r="D216">
        <v>2</v>
      </c>
      <c r="E216" t="s">
        <v>58</v>
      </c>
      <c r="F216">
        <v>246</v>
      </c>
      <c r="G216">
        <f>G213+5</f>
        <v>410</v>
      </c>
    </row>
    <row r="217" spans="2:7" x14ac:dyDescent="0.3">
      <c r="B217">
        <v>215</v>
      </c>
      <c r="C217">
        <v>8</v>
      </c>
      <c r="D217">
        <v>2</v>
      </c>
      <c r="E217" t="s">
        <v>75</v>
      </c>
      <c r="F217">
        <v>410</v>
      </c>
      <c r="G217">
        <f>G216*2</f>
        <v>820</v>
      </c>
    </row>
    <row r="218" spans="2:7" x14ac:dyDescent="0.3">
      <c r="B218">
        <v>216</v>
      </c>
      <c r="C218">
        <v>8</v>
      </c>
      <c r="D218">
        <v>2</v>
      </c>
      <c r="E218" t="s">
        <v>76</v>
      </c>
      <c r="F218">
        <v>1230</v>
      </c>
      <c r="G218">
        <f>ROUNDUP(G217*1.7,-1)</f>
        <v>1400</v>
      </c>
    </row>
    <row r="219" spans="2:7" x14ac:dyDescent="0.3">
      <c r="B219">
        <v>217</v>
      </c>
      <c r="C219">
        <v>8</v>
      </c>
      <c r="D219">
        <v>3</v>
      </c>
      <c r="E219" t="s">
        <v>58</v>
      </c>
      <c r="F219">
        <v>249</v>
      </c>
      <c r="G219">
        <f>G216+5</f>
        <v>415</v>
      </c>
    </row>
    <row r="220" spans="2:7" x14ac:dyDescent="0.3">
      <c r="B220">
        <v>218</v>
      </c>
      <c r="C220">
        <v>8</v>
      </c>
      <c r="D220">
        <v>3</v>
      </c>
      <c r="E220" t="s">
        <v>75</v>
      </c>
      <c r="F220">
        <v>415</v>
      </c>
      <c r="G220">
        <f>G219*2</f>
        <v>830</v>
      </c>
    </row>
    <row r="221" spans="2:7" x14ac:dyDescent="0.3">
      <c r="B221">
        <v>219</v>
      </c>
      <c r="C221">
        <v>8</v>
      </c>
      <c r="D221">
        <v>3</v>
      </c>
      <c r="E221" t="s">
        <v>76</v>
      </c>
      <c r="F221">
        <v>1245</v>
      </c>
      <c r="G221">
        <f>ROUNDUP(G220*1.7,-1)</f>
        <v>1420</v>
      </c>
    </row>
    <row r="222" spans="2:7" x14ac:dyDescent="0.3">
      <c r="B222">
        <v>220</v>
      </c>
      <c r="C222">
        <v>8</v>
      </c>
      <c r="D222">
        <v>4</v>
      </c>
      <c r="E222" t="s">
        <v>58</v>
      </c>
      <c r="F222">
        <v>252</v>
      </c>
      <c r="G222">
        <f>G219+5</f>
        <v>420</v>
      </c>
    </row>
    <row r="223" spans="2:7" x14ac:dyDescent="0.3">
      <c r="B223">
        <v>221</v>
      </c>
      <c r="C223">
        <v>8</v>
      </c>
      <c r="D223">
        <v>4</v>
      </c>
      <c r="E223" t="s">
        <v>75</v>
      </c>
      <c r="F223">
        <v>420</v>
      </c>
      <c r="G223">
        <f>G222*2</f>
        <v>840</v>
      </c>
    </row>
    <row r="224" spans="2:7" x14ac:dyDescent="0.3">
      <c r="B224">
        <v>222</v>
      </c>
      <c r="C224">
        <v>8</v>
      </c>
      <c r="D224">
        <v>4</v>
      </c>
      <c r="E224" t="s">
        <v>76</v>
      </c>
      <c r="F224">
        <v>1260</v>
      </c>
      <c r="G224">
        <f>ROUNDUP(G223*1.7,-1)</f>
        <v>1430</v>
      </c>
    </row>
    <row r="225" spans="2:7" x14ac:dyDescent="0.3">
      <c r="B225">
        <v>223</v>
      </c>
      <c r="C225">
        <v>8</v>
      </c>
      <c r="D225">
        <v>5</v>
      </c>
      <c r="E225" t="s">
        <v>58</v>
      </c>
      <c r="F225">
        <v>255</v>
      </c>
      <c r="G225">
        <f>G222+5</f>
        <v>425</v>
      </c>
    </row>
    <row r="226" spans="2:7" x14ac:dyDescent="0.3">
      <c r="B226">
        <v>224</v>
      </c>
      <c r="C226">
        <v>8</v>
      </c>
      <c r="D226">
        <v>5</v>
      </c>
      <c r="E226" t="s">
        <v>75</v>
      </c>
      <c r="F226">
        <v>425</v>
      </c>
      <c r="G226">
        <f>G225*2</f>
        <v>850</v>
      </c>
    </row>
    <row r="227" spans="2:7" x14ac:dyDescent="0.3">
      <c r="B227">
        <v>225</v>
      </c>
      <c r="C227">
        <v>8</v>
      </c>
      <c r="D227">
        <v>5</v>
      </c>
      <c r="E227" t="s">
        <v>76</v>
      </c>
      <c r="F227">
        <v>1275</v>
      </c>
      <c r="G227">
        <f>ROUNDUP(G226*1.7,-1)</f>
        <v>1450</v>
      </c>
    </row>
    <row r="228" spans="2:7" x14ac:dyDescent="0.3">
      <c r="B228">
        <v>226</v>
      </c>
      <c r="C228">
        <v>8</v>
      </c>
      <c r="D228">
        <v>6</v>
      </c>
      <c r="E228" t="s">
        <v>58</v>
      </c>
      <c r="F228">
        <v>258</v>
      </c>
      <c r="G228">
        <f>G225+5</f>
        <v>430</v>
      </c>
    </row>
    <row r="229" spans="2:7" x14ac:dyDescent="0.3">
      <c r="B229">
        <v>227</v>
      </c>
      <c r="C229">
        <v>8</v>
      </c>
      <c r="D229">
        <v>6</v>
      </c>
      <c r="E229" t="s">
        <v>75</v>
      </c>
      <c r="F229">
        <v>430</v>
      </c>
      <c r="G229">
        <f>G228*2</f>
        <v>860</v>
      </c>
    </row>
    <row r="230" spans="2:7" x14ac:dyDescent="0.3">
      <c r="B230">
        <v>228</v>
      </c>
      <c r="C230">
        <v>8</v>
      </c>
      <c r="D230">
        <v>6</v>
      </c>
      <c r="E230" t="s">
        <v>76</v>
      </c>
      <c r="F230">
        <v>1290</v>
      </c>
      <c r="G230">
        <f>ROUNDUP(G229*1.7,-1)</f>
        <v>1470</v>
      </c>
    </row>
    <row r="231" spans="2:7" x14ac:dyDescent="0.3">
      <c r="B231">
        <v>229</v>
      </c>
      <c r="C231">
        <v>8</v>
      </c>
      <c r="D231">
        <v>7</v>
      </c>
      <c r="E231" t="s">
        <v>58</v>
      </c>
      <c r="F231">
        <v>261</v>
      </c>
      <c r="G231">
        <f>G228+5</f>
        <v>435</v>
      </c>
    </row>
    <row r="232" spans="2:7" x14ac:dyDescent="0.3">
      <c r="B232">
        <v>230</v>
      </c>
      <c r="C232">
        <v>8</v>
      </c>
      <c r="D232">
        <v>7</v>
      </c>
      <c r="E232" t="s">
        <v>75</v>
      </c>
      <c r="F232">
        <v>435</v>
      </c>
      <c r="G232">
        <f>G231*2</f>
        <v>870</v>
      </c>
    </row>
    <row r="233" spans="2:7" x14ac:dyDescent="0.3">
      <c r="B233">
        <v>231</v>
      </c>
      <c r="C233">
        <v>8</v>
      </c>
      <c r="D233">
        <v>7</v>
      </c>
      <c r="E233" t="s">
        <v>76</v>
      </c>
      <c r="F233">
        <v>1305</v>
      </c>
      <c r="G233">
        <f>ROUNDUP(G232*1.7,-1)</f>
        <v>1480</v>
      </c>
    </row>
    <row r="234" spans="2:7" x14ac:dyDescent="0.3">
      <c r="B234">
        <v>232</v>
      </c>
      <c r="C234">
        <v>8</v>
      </c>
      <c r="D234">
        <v>8</v>
      </c>
      <c r="E234" t="s">
        <v>58</v>
      </c>
      <c r="F234">
        <v>264</v>
      </c>
      <c r="G234">
        <f>G231+5</f>
        <v>440</v>
      </c>
    </row>
    <row r="235" spans="2:7" x14ac:dyDescent="0.3">
      <c r="B235">
        <v>233</v>
      </c>
      <c r="C235">
        <v>8</v>
      </c>
      <c r="D235">
        <v>8</v>
      </c>
      <c r="E235" t="s">
        <v>75</v>
      </c>
      <c r="F235">
        <v>440</v>
      </c>
      <c r="G235">
        <f>G234*2</f>
        <v>880</v>
      </c>
    </row>
    <row r="236" spans="2:7" x14ac:dyDescent="0.3">
      <c r="B236">
        <v>234</v>
      </c>
      <c r="C236">
        <v>8</v>
      </c>
      <c r="D236">
        <v>8</v>
      </c>
      <c r="E236" t="s">
        <v>76</v>
      </c>
      <c r="F236">
        <v>1320</v>
      </c>
      <c r="G236">
        <f>ROUNDUP(G235*1.7,-1)</f>
        <v>1500</v>
      </c>
    </row>
    <row r="237" spans="2:7" x14ac:dyDescent="0.3">
      <c r="B237">
        <v>235</v>
      </c>
      <c r="C237">
        <v>8</v>
      </c>
      <c r="D237">
        <v>9</v>
      </c>
      <c r="E237" t="s">
        <v>58</v>
      </c>
      <c r="F237">
        <v>267</v>
      </c>
      <c r="G237">
        <f>G234+5</f>
        <v>445</v>
      </c>
    </row>
    <row r="238" spans="2:7" x14ac:dyDescent="0.3">
      <c r="B238">
        <v>236</v>
      </c>
      <c r="C238">
        <v>8</v>
      </c>
      <c r="D238">
        <v>9</v>
      </c>
      <c r="E238" t="s">
        <v>75</v>
      </c>
      <c r="F238">
        <v>445</v>
      </c>
      <c r="G238">
        <f>G237*2</f>
        <v>890</v>
      </c>
    </row>
    <row r="239" spans="2:7" x14ac:dyDescent="0.3">
      <c r="B239">
        <v>237</v>
      </c>
      <c r="C239">
        <v>8</v>
      </c>
      <c r="D239">
        <v>9</v>
      </c>
      <c r="E239" t="s">
        <v>76</v>
      </c>
      <c r="F239">
        <v>1335</v>
      </c>
      <c r="G239">
        <f>ROUNDUP(G238*1.7,-1)</f>
        <v>1520</v>
      </c>
    </row>
    <row r="240" spans="2:7" x14ac:dyDescent="0.3">
      <c r="B240">
        <v>238</v>
      </c>
      <c r="C240">
        <v>8</v>
      </c>
      <c r="D240">
        <v>10</v>
      </c>
      <c r="E240" t="s">
        <v>58</v>
      </c>
      <c r="F240">
        <v>270</v>
      </c>
      <c r="G240">
        <f>G237+5</f>
        <v>450</v>
      </c>
    </row>
    <row r="241" spans="2:7" x14ac:dyDescent="0.3">
      <c r="B241">
        <v>239</v>
      </c>
      <c r="C241">
        <v>8</v>
      </c>
      <c r="D241">
        <v>10</v>
      </c>
      <c r="E241" t="s">
        <v>75</v>
      </c>
      <c r="F241">
        <v>450</v>
      </c>
      <c r="G241">
        <f>G240*2</f>
        <v>900</v>
      </c>
    </row>
    <row r="242" spans="2:7" x14ac:dyDescent="0.3">
      <c r="B242">
        <v>240</v>
      </c>
      <c r="C242">
        <v>8</v>
      </c>
      <c r="D242">
        <v>10</v>
      </c>
      <c r="E242" t="s">
        <v>76</v>
      </c>
      <c r="F242">
        <v>1350</v>
      </c>
      <c r="G242">
        <f>ROUNDUP(G241*1.7,-1)</f>
        <v>1530</v>
      </c>
    </row>
    <row r="243" spans="2:7" x14ac:dyDescent="0.3">
      <c r="B243">
        <v>241</v>
      </c>
      <c r="C243">
        <v>9</v>
      </c>
      <c r="D243">
        <v>1</v>
      </c>
      <c r="E243" t="s">
        <v>58</v>
      </c>
      <c r="F243">
        <v>273</v>
      </c>
      <c r="G243">
        <f>G240+5</f>
        <v>455</v>
      </c>
    </row>
    <row r="244" spans="2:7" x14ac:dyDescent="0.3">
      <c r="B244">
        <v>242</v>
      </c>
      <c r="C244">
        <v>9</v>
      </c>
      <c r="D244">
        <v>1</v>
      </c>
      <c r="E244" t="s">
        <v>75</v>
      </c>
      <c r="F244">
        <v>455</v>
      </c>
      <c r="G244">
        <f>G243*2</f>
        <v>910</v>
      </c>
    </row>
    <row r="245" spans="2:7" x14ac:dyDescent="0.3">
      <c r="B245">
        <v>243</v>
      </c>
      <c r="C245">
        <v>9</v>
      </c>
      <c r="D245">
        <v>1</v>
      </c>
      <c r="E245" t="s">
        <v>76</v>
      </c>
      <c r="F245">
        <v>1365</v>
      </c>
      <c r="G245">
        <f>ROUNDUP(G244*1.7,-1)</f>
        <v>1550</v>
      </c>
    </row>
    <row r="246" spans="2:7" x14ac:dyDescent="0.3">
      <c r="B246">
        <v>244</v>
      </c>
      <c r="C246">
        <v>9</v>
      </c>
      <c r="D246">
        <v>2</v>
      </c>
      <c r="E246" t="s">
        <v>58</v>
      </c>
      <c r="F246">
        <v>276</v>
      </c>
      <c r="G246">
        <f>G243+5</f>
        <v>460</v>
      </c>
    </row>
    <row r="247" spans="2:7" x14ac:dyDescent="0.3">
      <c r="B247">
        <v>245</v>
      </c>
      <c r="C247">
        <v>9</v>
      </c>
      <c r="D247">
        <v>2</v>
      </c>
      <c r="E247" t="s">
        <v>75</v>
      </c>
      <c r="F247">
        <v>460</v>
      </c>
      <c r="G247">
        <f>G246*2</f>
        <v>920</v>
      </c>
    </row>
    <row r="248" spans="2:7" x14ac:dyDescent="0.3">
      <c r="B248">
        <v>246</v>
      </c>
      <c r="C248">
        <v>9</v>
      </c>
      <c r="D248">
        <v>2</v>
      </c>
      <c r="E248" t="s">
        <v>76</v>
      </c>
      <c r="F248">
        <v>1380</v>
      </c>
      <c r="G248">
        <f>ROUNDUP(G247*1.7,-1)</f>
        <v>1570</v>
      </c>
    </row>
    <row r="249" spans="2:7" x14ac:dyDescent="0.3">
      <c r="B249">
        <v>247</v>
      </c>
      <c r="C249">
        <v>9</v>
      </c>
      <c r="D249">
        <v>3</v>
      </c>
      <c r="E249" t="s">
        <v>58</v>
      </c>
      <c r="F249">
        <v>279</v>
      </c>
      <c r="G249">
        <f>G246+5</f>
        <v>465</v>
      </c>
    </row>
    <row r="250" spans="2:7" x14ac:dyDescent="0.3">
      <c r="B250">
        <v>248</v>
      </c>
      <c r="C250">
        <v>9</v>
      </c>
      <c r="D250">
        <v>3</v>
      </c>
      <c r="E250" t="s">
        <v>75</v>
      </c>
      <c r="F250">
        <v>465</v>
      </c>
      <c r="G250">
        <f>G249*2</f>
        <v>930</v>
      </c>
    </row>
    <row r="251" spans="2:7" x14ac:dyDescent="0.3">
      <c r="B251">
        <v>249</v>
      </c>
      <c r="C251">
        <v>9</v>
      </c>
      <c r="D251">
        <v>3</v>
      </c>
      <c r="E251" t="s">
        <v>76</v>
      </c>
      <c r="F251">
        <v>1395</v>
      </c>
      <c r="G251">
        <f>ROUNDUP(G250*1.7,-1)</f>
        <v>1590</v>
      </c>
    </row>
    <row r="252" spans="2:7" x14ac:dyDescent="0.3">
      <c r="B252">
        <v>250</v>
      </c>
      <c r="C252">
        <v>9</v>
      </c>
      <c r="D252">
        <v>4</v>
      </c>
      <c r="E252" t="s">
        <v>58</v>
      </c>
      <c r="F252">
        <v>282</v>
      </c>
      <c r="G252">
        <f>G249+5</f>
        <v>470</v>
      </c>
    </row>
    <row r="253" spans="2:7" x14ac:dyDescent="0.3">
      <c r="B253">
        <v>251</v>
      </c>
      <c r="C253">
        <v>9</v>
      </c>
      <c r="D253">
        <v>4</v>
      </c>
      <c r="E253" t="s">
        <v>75</v>
      </c>
      <c r="F253">
        <v>470</v>
      </c>
      <c r="G253">
        <f>G252*2</f>
        <v>940</v>
      </c>
    </row>
    <row r="254" spans="2:7" x14ac:dyDescent="0.3">
      <c r="B254">
        <v>252</v>
      </c>
      <c r="C254">
        <v>9</v>
      </c>
      <c r="D254">
        <v>4</v>
      </c>
      <c r="E254" t="s">
        <v>76</v>
      </c>
      <c r="F254">
        <v>1410</v>
      </c>
      <c r="G254">
        <f>ROUNDUP(G253*1.7,-1)</f>
        <v>1600</v>
      </c>
    </row>
    <row r="255" spans="2:7" x14ac:dyDescent="0.3">
      <c r="B255">
        <v>253</v>
      </c>
      <c r="C255">
        <v>9</v>
      </c>
      <c r="D255">
        <v>5</v>
      </c>
      <c r="E255" t="s">
        <v>58</v>
      </c>
      <c r="F255">
        <v>285</v>
      </c>
      <c r="G255">
        <f>G252+5</f>
        <v>475</v>
      </c>
    </row>
    <row r="256" spans="2:7" x14ac:dyDescent="0.3">
      <c r="B256">
        <v>254</v>
      </c>
      <c r="C256">
        <v>9</v>
      </c>
      <c r="D256">
        <v>5</v>
      </c>
      <c r="E256" t="s">
        <v>75</v>
      </c>
      <c r="F256">
        <v>475</v>
      </c>
      <c r="G256">
        <f>G255*2</f>
        <v>950</v>
      </c>
    </row>
    <row r="257" spans="2:7" x14ac:dyDescent="0.3">
      <c r="B257">
        <v>255</v>
      </c>
      <c r="C257">
        <v>9</v>
      </c>
      <c r="D257">
        <v>5</v>
      </c>
      <c r="E257" t="s">
        <v>76</v>
      </c>
      <c r="F257">
        <v>1425</v>
      </c>
      <c r="G257">
        <f>ROUNDUP(G256*1.7,-1)</f>
        <v>1620</v>
      </c>
    </row>
    <row r="258" spans="2:7" x14ac:dyDescent="0.3">
      <c r="B258">
        <v>256</v>
      </c>
      <c r="C258">
        <v>9</v>
      </c>
      <c r="D258">
        <v>6</v>
      </c>
      <c r="E258" t="s">
        <v>58</v>
      </c>
      <c r="F258">
        <v>288</v>
      </c>
      <c r="G258">
        <f>G255+5</f>
        <v>480</v>
      </c>
    </row>
    <row r="259" spans="2:7" x14ac:dyDescent="0.3">
      <c r="B259">
        <v>257</v>
      </c>
      <c r="C259">
        <v>9</v>
      </c>
      <c r="D259">
        <v>6</v>
      </c>
      <c r="E259" t="s">
        <v>75</v>
      </c>
      <c r="F259">
        <v>480</v>
      </c>
      <c r="G259">
        <f>G258*2</f>
        <v>960</v>
      </c>
    </row>
    <row r="260" spans="2:7" x14ac:dyDescent="0.3">
      <c r="B260">
        <v>258</v>
      </c>
      <c r="C260">
        <v>9</v>
      </c>
      <c r="D260">
        <v>6</v>
      </c>
      <c r="E260" t="s">
        <v>76</v>
      </c>
      <c r="F260">
        <v>1440</v>
      </c>
      <c r="G260">
        <f>ROUNDUP(G259*1.7,-1)</f>
        <v>1640</v>
      </c>
    </row>
    <row r="261" spans="2:7" x14ac:dyDescent="0.3">
      <c r="B261">
        <v>259</v>
      </c>
      <c r="C261">
        <v>9</v>
      </c>
      <c r="D261">
        <v>7</v>
      </c>
      <c r="E261" t="s">
        <v>58</v>
      </c>
      <c r="F261">
        <v>291</v>
      </c>
      <c r="G261">
        <f>G258+5</f>
        <v>485</v>
      </c>
    </row>
    <row r="262" spans="2:7" x14ac:dyDescent="0.3">
      <c r="B262">
        <v>260</v>
      </c>
      <c r="C262">
        <v>9</v>
      </c>
      <c r="D262">
        <v>7</v>
      </c>
      <c r="E262" t="s">
        <v>75</v>
      </c>
      <c r="F262">
        <v>485</v>
      </c>
      <c r="G262">
        <f>G261*2</f>
        <v>970</v>
      </c>
    </row>
    <row r="263" spans="2:7" x14ac:dyDescent="0.3">
      <c r="B263">
        <v>261</v>
      </c>
      <c r="C263">
        <v>9</v>
      </c>
      <c r="D263">
        <v>7</v>
      </c>
      <c r="E263" t="s">
        <v>76</v>
      </c>
      <c r="F263">
        <v>1455</v>
      </c>
      <c r="G263">
        <f>ROUNDUP(G262*1.7,-1)</f>
        <v>1650</v>
      </c>
    </row>
    <row r="264" spans="2:7" x14ac:dyDescent="0.3">
      <c r="B264">
        <v>262</v>
      </c>
      <c r="C264">
        <v>9</v>
      </c>
      <c r="D264">
        <v>8</v>
      </c>
      <c r="E264" t="s">
        <v>58</v>
      </c>
      <c r="F264">
        <v>294</v>
      </c>
      <c r="G264">
        <f>G261+5</f>
        <v>490</v>
      </c>
    </row>
    <row r="265" spans="2:7" x14ac:dyDescent="0.3">
      <c r="B265">
        <v>263</v>
      </c>
      <c r="C265">
        <v>9</v>
      </c>
      <c r="D265">
        <v>8</v>
      </c>
      <c r="E265" t="s">
        <v>75</v>
      </c>
      <c r="F265">
        <v>490</v>
      </c>
      <c r="G265">
        <f>G264*2</f>
        <v>980</v>
      </c>
    </row>
    <row r="266" spans="2:7" x14ac:dyDescent="0.3">
      <c r="B266">
        <v>264</v>
      </c>
      <c r="C266">
        <v>9</v>
      </c>
      <c r="D266">
        <v>8</v>
      </c>
      <c r="E266" t="s">
        <v>76</v>
      </c>
      <c r="F266">
        <v>1470</v>
      </c>
      <c r="G266">
        <f>ROUNDUP(G265*1.7,-1)</f>
        <v>1670</v>
      </c>
    </row>
    <row r="267" spans="2:7" x14ac:dyDescent="0.3">
      <c r="B267">
        <v>265</v>
      </c>
      <c r="C267">
        <v>9</v>
      </c>
      <c r="D267">
        <v>9</v>
      </c>
      <c r="E267" t="s">
        <v>58</v>
      </c>
      <c r="F267">
        <v>297</v>
      </c>
      <c r="G267">
        <f>G264+5</f>
        <v>495</v>
      </c>
    </row>
    <row r="268" spans="2:7" x14ac:dyDescent="0.3">
      <c r="B268">
        <v>266</v>
      </c>
      <c r="C268">
        <v>9</v>
      </c>
      <c r="D268">
        <v>9</v>
      </c>
      <c r="E268" t="s">
        <v>75</v>
      </c>
      <c r="F268">
        <v>495</v>
      </c>
      <c r="G268">
        <f>G267*2</f>
        <v>990</v>
      </c>
    </row>
    <row r="269" spans="2:7" x14ac:dyDescent="0.3">
      <c r="B269">
        <v>267</v>
      </c>
      <c r="C269">
        <v>9</v>
      </c>
      <c r="D269">
        <v>9</v>
      </c>
      <c r="E269" t="s">
        <v>76</v>
      </c>
      <c r="F269">
        <v>1485</v>
      </c>
      <c r="G269">
        <f>ROUNDUP(G268*1.7,-1)</f>
        <v>1690</v>
      </c>
    </row>
    <row r="270" spans="2:7" x14ac:dyDescent="0.3">
      <c r="B270">
        <v>268</v>
      </c>
      <c r="C270">
        <v>9</v>
      </c>
      <c r="D270">
        <v>10</v>
      </c>
      <c r="E270" t="s">
        <v>58</v>
      </c>
      <c r="F270">
        <v>300</v>
      </c>
      <c r="G270">
        <f>G267+5</f>
        <v>500</v>
      </c>
    </row>
    <row r="271" spans="2:7" x14ac:dyDescent="0.3">
      <c r="B271">
        <v>269</v>
      </c>
      <c r="C271">
        <v>9</v>
      </c>
      <c r="D271">
        <v>10</v>
      </c>
      <c r="E271" t="s">
        <v>75</v>
      </c>
      <c r="F271">
        <v>500</v>
      </c>
      <c r="G271">
        <f>G270*2</f>
        <v>1000</v>
      </c>
    </row>
    <row r="272" spans="2:7" x14ac:dyDescent="0.3">
      <c r="B272">
        <v>270</v>
      </c>
      <c r="C272">
        <v>9</v>
      </c>
      <c r="D272">
        <v>10</v>
      </c>
      <c r="E272" t="s">
        <v>76</v>
      </c>
      <c r="F272">
        <v>1500</v>
      </c>
      <c r="G272">
        <f>ROUNDUP(G271*1.7,-1)</f>
        <v>1700</v>
      </c>
    </row>
    <row r="273" spans="2:7" x14ac:dyDescent="0.3">
      <c r="B273">
        <v>271</v>
      </c>
      <c r="C273">
        <v>10</v>
      </c>
      <c r="D273">
        <v>1</v>
      </c>
      <c r="E273" t="s">
        <v>58</v>
      </c>
      <c r="F273">
        <v>303</v>
      </c>
      <c r="G273">
        <f>G270+5</f>
        <v>505</v>
      </c>
    </row>
    <row r="274" spans="2:7" x14ac:dyDescent="0.3">
      <c r="B274">
        <v>272</v>
      </c>
      <c r="C274">
        <v>10</v>
      </c>
      <c r="D274">
        <v>1</v>
      </c>
      <c r="E274" t="s">
        <v>75</v>
      </c>
      <c r="F274">
        <v>505</v>
      </c>
      <c r="G274">
        <f>G273*2</f>
        <v>1010</v>
      </c>
    </row>
    <row r="275" spans="2:7" x14ac:dyDescent="0.3">
      <c r="B275">
        <v>273</v>
      </c>
      <c r="C275">
        <v>10</v>
      </c>
      <c r="D275">
        <v>1</v>
      </c>
      <c r="E275" t="s">
        <v>76</v>
      </c>
      <c r="F275">
        <v>1515</v>
      </c>
      <c r="G275">
        <f>ROUNDUP(G274*1.7,-1)</f>
        <v>1720</v>
      </c>
    </row>
    <row r="276" spans="2:7" x14ac:dyDescent="0.3">
      <c r="B276">
        <v>274</v>
      </c>
      <c r="C276">
        <v>10</v>
      </c>
      <c r="D276">
        <v>2</v>
      </c>
      <c r="E276" t="s">
        <v>58</v>
      </c>
      <c r="F276">
        <v>306</v>
      </c>
      <c r="G276">
        <f>G273+5</f>
        <v>510</v>
      </c>
    </row>
    <row r="277" spans="2:7" x14ac:dyDescent="0.3">
      <c r="B277">
        <v>275</v>
      </c>
      <c r="C277">
        <v>10</v>
      </c>
      <c r="D277">
        <v>2</v>
      </c>
      <c r="E277" t="s">
        <v>75</v>
      </c>
      <c r="F277">
        <v>510</v>
      </c>
      <c r="G277">
        <f>G276*2</f>
        <v>1020</v>
      </c>
    </row>
    <row r="278" spans="2:7" x14ac:dyDescent="0.3">
      <c r="B278">
        <v>276</v>
      </c>
      <c r="C278">
        <v>10</v>
      </c>
      <c r="D278">
        <v>2</v>
      </c>
      <c r="E278" t="s">
        <v>76</v>
      </c>
      <c r="F278">
        <v>1530</v>
      </c>
      <c r="G278">
        <f>ROUNDUP(G277*1.7,-1)</f>
        <v>1740</v>
      </c>
    </row>
    <row r="279" spans="2:7" x14ac:dyDescent="0.3">
      <c r="B279">
        <v>277</v>
      </c>
      <c r="C279">
        <v>10</v>
      </c>
      <c r="D279">
        <v>3</v>
      </c>
      <c r="E279" t="s">
        <v>58</v>
      </c>
      <c r="F279">
        <v>309</v>
      </c>
      <c r="G279">
        <f>G276+5</f>
        <v>515</v>
      </c>
    </row>
    <row r="280" spans="2:7" x14ac:dyDescent="0.3">
      <c r="B280">
        <v>278</v>
      </c>
      <c r="C280">
        <v>10</v>
      </c>
      <c r="D280">
        <v>3</v>
      </c>
      <c r="E280" t="s">
        <v>75</v>
      </c>
      <c r="F280">
        <v>515</v>
      </c>
      <c r="G280">
        <f>G279*2</f>
        <v>1030</v>
      </c>
    </row>
    <row r="281" spans="2:7" x14ac:dyDescent="0.3">
      <c r="B281">
        <v>279</v>
      </c>
      <c r="C281">
        <v>10</v>
      </c>
      <c r="D281">
        <v>3</v>
      </c>
      <c r="E281" t="s">
        <v>76</v>
      </c>
      <c r="F281">
        <v>1545</v>
      </c>
      <c r="G281">
        <f>ROUNDUP(G280*1.7,-1)</f>
        <v>1760</v>
      </c>
    </row>
    <row r="282" spans="2:7" x14ac:dyDescent="0.3">
      <c r="B282">
        <v>280</v>
      </c>
      <c r="C282">
        <v>10</v>
      </c>
      <c r="D282">
        <v>4</v>
      </c>
      <c r="E282" t="s">
        <v>58</v>
      </c>
      <c r="F282">
        <v>312</v>
      </c>
      <c r="G282">
        <f>G279+5</f>
        <v>520</v>
      </c>
    </row>
    <row r="283" spans="2:7" x14ac:dyDescent="0.3">
      <c r="B283">
        <v>281</v>
      </c>
      <c r="C283">
        <v>10</v>
      </c>
      <c r="D283">
        <v>4</v>
      </c>
      <c r="E283" t="s">
        <v>75</v>
      </c>
      <c r="F283">
        <v>520</v>
      </c>
      <c r="G283">
        <f>G282*2</f>
        <v>1040</v>
      </c>
    </row>
    <row r="284" spans="2:7" x14ac:dyDescent="0.3">
      <c r="B284">
        <v>282</v>
      </c>
      <c r="C284">
        <v>10</v>
      </c>
      <c r="D284">
        <v>4</v>
      </c>
      <c r="E284" t="s">
        <v>76</v>
      </c>
      <c r="F284">
        <v>1560</v>
      </c>
      <c r="G284">
        <f>ROUNDUP(G283*1.7,-1)</f>
        <v>1770</v>
      </c>
    </row>
    <row r="285" spans="2:7" x14ac:dyDescent="0.3">
      <c r="B285">
        <v>283</v>
      </c>
      <c r="C285">
        <v>10</v>
      </c>
      <c r="D285">
        <v>5</v>
      </c>
      <c r="E285" t="s">
        <v>58</v>
      </c>
      <c r="F285">
        <v>315</v>
      </c>
      <c r="G285">
        <f>G282+5</f>
        <v>525</v>
      </c>
    </row>
    <row r="286" spans="2:7" x14ac:dyDescent="0.3">
      <c r="B286">
        <v>284</v>
      </c>
      <c r="C286">
        <v>10</v>
      </c>
      <c r="D286">
        <v>5</v>
      </c>
      <c r="E286" t="s">
        <v>75</v>
      </c>
      <c r="F286">
        <v>525</v>
      </c>
      <c r="G286">
        <f>G285*2</f>
        <v>1050</v>
      </c>
    </row>
    <row r="287" spans="2:7" x14ac:dyDescent="0.3">
      <c r="B287">
        <v>285</v>
      </c>
      <c r="C287">
        <v>10</v>
      </c>
      <c r="D287">
        <v>5</v>
      </c>
      <c r="E287" t="s">
        <v>76</v>
      </c>
      <c r="F287">
        <v>1575</v>
      </c>
      <c r="G287">
        <f>ROUNDUP(G286*1.7,-1)</f>
        <v>1790</v>
      </c>
    </row>
    <row r="288" spans="2:7" x14ac:dyDescent="0.3">
      <c r="B288">
        <v>286</v>
      </c>
      <c r="C288">
        <v>10</v>
      </c>
      <c r="D288">
        <v>6</v>
      </c>
      <c r="E288" t="s">
        <v>58</v>
      </c>
      <c r="F288">
        <v>318</v>
      </c>
      <c r="G288">
        <f>G285+5</f>
        <v>530</v>
      </c>
    </row>
    <row r="289" spans="2:7" x14ac:dyDescent="0.3">
      <c r="B289">
        <v>287</v>
      </c>
      <c r="C289">
        <v>10</v>
      </c>
      <c r="D289">
        <v>6</v>
      </c>
      <c r="E289" t="s">
        <v>75</v>
      </c>
      <c r="F289">
        <v>530</v>
      </c>
      <c r="G289">
        <f>G288*2</f>
        <v>1060</v>
      </c>
    </row>
    <row r="290" spans="2:7" x14ac:dyDescent="0.3">
      <c r="B290">
        <v>288</v>
      </c>
      <c r="C290">
        <v>10</v>
      </c>
      <c r="D290">
        <v>6</v>
      </c>
      <c r="E290" t="s">
        <v>76</v>
      </c>
      <c r="F290">
        <v>1590</v>
      </c>
      <c r="G290">
        <f>ROUNDUP(G289*1.7,-1)</f>
        <v>1810</v>
      </c>
    </row>
    <row r="291" spans="2:7" x14ac:dyDescent="0.3">
      <c r="B291">
        <v>289</v>
      </c>
      <c r="C291">
        <v>10</v>
      </c>
      <c r="D291">
        <v>7</v>
      </c>
      <c r="E291" t="s">
        <v>58</v>
      </c>
      <c r="F291">
        <v>321</v>
      </c>
      <c r="G291">
        <f>G288+5</f>
        <v>535</v>
      </c>
    </row>
    <row r="292" spans="2:7" x14ac:dyDescent="0.3">
      <c r="B292">
        <v>290</v>
      </c>
      <c r="C292">
        <v>10</v>
      </c>
      <c r="D292">
        <v>7</v>
      </c>
      <c r="E292" t="s">
        <v>75</v>
      </c>
      <c r="F292">
        <v>535</v>
      </c>
      <c r="G292">
        <f>G291*2</f>
        <v>1070</v>
      </c>
    </row>
    <row r="293" spans="2:7" x14ac:dyDescent="0.3">
      <c r="B293">
        <v>291</v>
      </c>
      <c r="C293">
        <v>10</v>
      </c>
      <c r="D293">
        <v>7</v>
      </c>
      <c r="E293" t="s">
        <v>76</v>
      </c>
      <c r="F293">
        <v>1605</v>
      </c>
      <c r="G293">
        <f>ROUNDUP(G292*1.7,-1)</f>
        <v>1820</v>
      </c>
    </row>
    <row r="294" spans="2:7" x14ac:dyDescent="0.3">
      <c r="B294">
        <v>292</v>
      </c>
      <c r="C294">
        <v>10</v>
      </c>
      <c r="D294">
        <v>8</v>
      </c>
      <c r="E294" t="s">
        <v>58</v>
      </c>
      <c r="F294">
        <v>324</v>
      </c>
      <c r="G294">
        <f>G291+5</f>
        <v>540</v>
      </c>
    </row>
    <row r="295" spans="2:7" x14ac:dyDescent="0.3">
      <c r="B295">
        <v>293</v>
      </c>
      <c r="C295">
        <v>10</v>
      </c>
      <c r="D295">
        <v>8</v>
      </c>
      <c r="E295" t="s">
        <v>75</v>
      </c>
      <c r="F295">
        <v>540</v>
      </c>
      <c r="G295">
        <f>G294*2</f>
        <v>1080</v>
      </c>
    </row>
    <row r="296" spans="2:7" x14ac:dyDescent="0.3">
      <c r="B296">
        <v>294</v>
      </c>
      <c r="C296">
        <v>10</v>
      </c>
      <c r="D296">
        <v>8</v>
      </c>
      <c r="E296" t="s">
        <v>76</v>
      </c>
      <c r="F296">
        <v>1620</v>
      </c>
      <c r="G296">
        <f>ROUNDUP(G295*1.7,-1)</f>
        <v>1840</v>
      </c>
    </row>
    <row r="297" spans="2:7" x14ac:dyDescent="0.3">
      <c r="B297">
        <v>295</v>
      </c>
      <c r="C297">
        <v>10</v>
      </c>
      <c r="D297">
        <v>9</v>
      </c>
      <c r="E297" t="s">
        <v>58</v>
      </c>
      <c r="F297">
        <v>327</v>
      </c>
      <c r="G297">
        <f>G294+5</f>
        <v>545</v>
      </c>
    </row>
    <row r="298" spans="2:7" x14ac:dyDescent="0.3">
      <c r="B298">
        <v>296</v>
      </c>
      <c r="C298">
        <v>10</v>
      </c>
      <c r="D298">
        <v>9</v>
      </c>
      <c r="E298" t="s">
        <v>75</v>
      </c>
      <c r="F298">
        <v>545</v>
      </c>
      <c r="G298">
        <f>G297*2</f>
        <v>1090</v>
      </c>
    </row>
    <row r="299" spans="2:7" x14ac:dyDescent="0.3">
      <c r="B299">
        <v>297</v>
      </c>
      <c r="C299">
        <v>10</v>
      </c>
      <c r="D299">
        <v>9</v>
      </c>
      <c r="E299" t="s">
        <v>76</v>
      </c>
      <c r="F299">
        <v>1635</v>
      </c>
      <c r="G299">
        <f>ROUNDUP(G298*1.7,-1)</f>
        <v>1860</v>
      </c>
    </row>
    <row r="300" spans="2:7" x14ac:dyDescent="0.3">
      <c r="B300">
        <v>298</v>
      </c>
      <c r="C300">
        <v>10</v>
      </c>
      <c r="D300">
        <v>10</v>
      </c>
      <c r="E300" t="s">
        <v>58</v>
      </c>
      <c r="F300">
        <v>330</v>
      </c>
      <c r="G300">
        <f>G297+5</f>
        <v>550</v>
      </c>
    </row>
    <row r="301" spans="2:7" x14ac:dyDescent="0.3">
      <c r="B301">
        <v>299</v>
      </c>
      <c r="C301">
        <v>10</v>
      </c>
      <c r="D301">
        <v>10</v>
      </c>
      <c r="E301" t="s">
        <v>75</v>
      </c>
      <c r="F301">
        <v>550</v>
      </c>
      <c r="G301">
        <f>G300*2</f>
        <v>1100</v>
      </c>
    </row>
    <row r="302" spans="2:7" x14ac:dyDescent="0.3">
      <c r="B302">
        <v>300</v>
      </c>
      <c r="C302">
        <v>10</v>
      </c>
      <c r="D302">
        <v>10</v>
      </c>
      <c r="E302" t="s">
        <v>76</v>
      </c>
      <c r="F302">
        <v>1650</v>
      </c>
      <c r="G302">
        <f>ROUNDUP(G301*1.7,-1)</f>
        <v>1870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>
      <selection activeCell="K10" sqref="K10"/>
    </sheetView>
  </sheetViews>
  <sheetFormatPr defaultRowHeight="16.5" x14ac:dyDescent="0.3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bestFit="1" customWidth="1"/>
  </cols>
  <sheetData>
    <row r="2" spans="2:17" x14ac:dyDescent="0.3">
      <c r="B2" t="s">
        <v>71</v>
      </c>
      <c r="C2" t="s">
        <v>72</v>
      </c>
      <c r="D2" t="s">
        <v>73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</row>
    <row r="3" spans="2:17" x14ac:dyDescent="0.3">
      <c r="B3">
        <v>1</v>
      </c>
      <c r="C3">
        <v>1</v>
      </c>
      <c r="D3">
        <v>1</v>
      </c>
      <c r="E3" s="10" t="s">
        <v>90</v>
      </c>
      <c r="F3" s="10" t="s">
        <v>91</v>
      </c>
      <c r="G3" s="10" t="s">
        <v>92</v>
      </c>
      <c r="H3" s="10" t="s">
        <v>91</v>
      </c>
      <c r="I3" s="10" t="s">
        <v>90</v>
      </c>
      <c r="J3" s="10" t="s">
        <v>91</v>
      </c>
      <c r="K3" s="10"/>
      <c r="L3" s="10"/>
      <c r="M3" s="10"/>
      <c r="N3" s="10"/>
      <c r="O3" s="10"/>
      <c r="P3" s="10"/>
      <c r="Q3" t="s">
        <v>93</v>
      </c>
    </row>
    <row r="4" spans="2:17" x14ac:dyDescent="0.3">
      <c r="B4">
        <v>2</v>
      </c>
      <c r="C4">
        <v>1</v>
      </c>
      <c r="D4">
        <v>2</v>
      </c>
      <c r="E4" s="10" t="s">
        <v>92</v>
      </c>
      <c r="F4" s="10" t="s">
        <v>91</v>
      </c>
      <c r="G4" s="10" t="s">
        <v>90</v>
      </c>
      <c r="H4" s="10" t="s">
        <v>91</v>
      </c>
      <c r="I4" s="10" t="s">
        <v>92</v>
      </c>
      <c r="J4" s="10" t="s">
        <v>91</v>
      </c>
      <c r="K4" s="10"/>
      <c r="L4" s="10"/>
      <c r="M4" s="10"/>
      <c r="N4" s="10"/>
      <c r="O4" s="10"/>
      <c r="P4" s="10"/>
      <c r="Q4" t="s">
        <v>93</v>
      </c>
    </row>
    <row r="5" spans="2:17" x14ac:dyDescent="0.3">
      <c r="B5">
        <v>3</v>
      </c>
      <c r="C5">
        <v>1</v>
      </c>
      <c r="D5">
        <v>3</v>
      </c>
      <c r="E5" s="10" t="s">
        <v>90</v>
      </c>
      <c r="F5" s="10" t="s">
        <v>91</v>
      </c>
      <c r="G5" s="10" t="s">
        <v>92</v>
      </c>
      <c r="H5" s="10" t="s">
        <v>91</v>
      </c>
      <c r="I5" s="10" t="s">
        <v>90</v>
      </c>
      <c r="J5" s="10" t="s">
        <v>91</v>
      </c>
      <c r="K5" s="10"/>
      <c r="L5" s="10"/>
      <c r="M5" s="10"/>
      <c r="N5" s="10"/>
      <c r="O5" s="10"/>
      <c r="P5" s="10"/>
      <c r="Q5" t="s">
        <v>93</v>
      </c>
    </row>
    <row r="6" spans="2:17" x14ac:dyDescent="0.3">
      <c r="B6">
        <v>4</v>
      </c>
      <c r="C6">
        <v>1</v>
      </c>
      <c r="D6">
        <v>4</v>
      </c>
      <c r="E6" s="10" t="s">
        <v>92</v>
      </c>
      <c r="F6" s="10" t="s">
        <v>91</v>
      </c>
      <c r="G6" s="10" t="s">
        <v>90</v>
      </c>
      <c r="H6" s="10" t="s">
        <v>91</v>
      </c>
      <c r="I6" s="10" t="s">
        <v>94</v>
      </c>
      <c r="J6" s="10" t="s">
        <v>91</v>
      </c>
      <c r="K6" s="10"/>
      <c r="L6" s="10"/>
      <c r="M6" s="10"/>
      <c r="N6" s="10"/>
      <c r="O6" s="10"/>
      <c r="P6" s="10"/>
      <c r="Q6" t="s">
        <v>93</v>
      </c>
    </row>
    <row r="7" spans="2:17" x14ac:dyDescent="0.3">
      <c r="B7">
        <v>5</v>
      </c>
      <c r="C7">
        <v>1</v>
      </c>
      <c r="D7">
        <v>5</v>
      </c>
      <c r="E7" s="10" t="s">
        <v>90</v>
      </c>
      <c r="F7" s="10" t="s">
        <v>91</v>
      </c>
      <c r="G7" s="10" t="s">
        <v>92</v>
      </c>
      <c r="H7" s="10" t="s">
        <v>91</v>
      </c>
      <c r="I7" s="10" t="s">
        <v>94</v>
      </c>
      <c r="J7" s="10" t="s">
        <v>91</v>
      </c>
      <c r="K7" s="10"/>
      <c r="L7" s="10"/>
      <c r="M7" s="10"/>
      <c r="N7" s="10"/>
      <c r="O7" s="10"/>
      <c r="P7" s="10"/>
      <c r="Q7" t="s">
        <v>93</v>
      </c>
    </row>
    <row r="8" spans="2:17" x14ac:dyDescent="0.3">
      <c r="B8">
        <v>6</v>
      </c>
      <c r="C8">
        <v>1</v>
      </c>
      <c r="D8">
        <v>6</v>
      </c>
      <c r="E8" s="10" t="s">
        <v>92</v>
      </c>
      <c r="F8" s="10" t="s">
        <v>91</v>
      </c>
      <c r="G8" s="10" t="s">
        <v>90</v>
      </c>
      <c r="H8" s="10" t="s">
        <v>91</v>
      </c>
      <c r="I8" s="10" t="s">
        <v>94</v>
      </c>
      <c r="J8" s="10" t="s">
        <v>91</v>
      </c>
      <c r="K8" s="10"/>
      <c r="L8" s="10"/>
      <c r="M8" s="10"/>
      <c r="N8" s="10"/>
      <c r="O8" s="10"/>
      <c r="P8" s="10"/>
      <c r="Q8" t="s">
        <v>93</v>
      </c>
    </row>
    <row r="9" spans="2:17" x14ac:dyDescent="0.3">
      <c r="B9">
        <v>7</v>
      </c>
      <c r="C9">
        <v>1</v>
      </c>
      <c r="D9">
        <v>7</v>
      </c>
      <c r="E9" s="10" t="s">
        <v>90</v>
      </c>
      <c r="F9" s="10" t="s">
        <v>91</v>
      </c>
      <c r="G9" s="10" t="s">
        <v>92</v>
      </c>
      <c r="H9" s="10" t="s">
        <v>91</v>
      </c>
      <c r="I9" s="10" t="s">
        <v>90</v>
      </c>
      <c r="J9" s="10" t="s">
        <v>91</v>
      </c>
      <c r="K9" s="10" t="s">
        <v>94</v>
      </c>
      <c r="L9" s="10" t="s">
        <v>91</v>
      </c>
      <c r="M9" s="10"/>
      <c r="N9" s="10"/>
      <c r="O9" s="10"/>
      <c r="P9" s="10"/>
      <c r="Q9" t="s">
        <v>93</v>
      </c>
    </row>
    <row r="10" spans="2:17" x14ac:dyDescent="0.3">
      <c r="B10">
        <v>8</v>
      </c>
      <c r="C10">
        <v>1</v>
      </c>
      <c r="D10">
        <v>8</v>
      </c>
      <c r="E10" s="10" t="s">
        <v>92</v>
      </c>
      <c r="F10" s="10" t="s">
        <v>91</v>
      </c>
      <c r="G10" s="10" t="s">
        <v>90</v>
      </c>
      <c r="H10" s="10" t="s">
        <v>91</v>
      </c>
      <c r="I10" s="10" t="s">
        <v>92</v>
      </c>
      <c r="J10" s="10" t="s">
        <v>91</v>
      </c>
      <c r="K10" s="10" t="s">
        <v>94</v>
      </c>
      <c r="L10" s="10" t="s">
        <v>58</v>
      </c>
      <c r="M10" s="10"/>
      <c r="N10" s="10"/>
      <c r="O10" s="10"/>
      <c r="P10" s="10"/>
      <c r="Q10" t="s">
        <v>93</v>
      </c>
    </row>
    <row r="11" spans="2:17" x14ac:dyDescent="0.3">
      <c r="B11">
        <v>9</v>
      </c>
      <c r="C11">
        <v>1</v>
      </c>
      <c r="D11">
        <v>9</v>
      </c>
      <c r="E11" s="10" t="s">
        <v>90</v>
      </c>
      <c r="F11" s="10" t="s">
        <v>91</v>
      </c>
      <c r="G11" s="10" t="s">
        <v>92</v>
      </c>
      <c r="H11" s="10" t="s">
        <v>91</v>
      </c>
      <c r="I11" s="10" t="s">
        <v>90</v>
      </c>
      <c r="J11" s="10" t="s">
        <v>91</v>
      </c>
      <c r="K11" s="10" t="s">
        <v>94</v>
      </c>
      <c r="L11" s="10" t="s">
        <v>58</v>
      </c>
      <c r="M11" s="10"/>
      <c r="N11" s="10"/>
      <c r="O11" s="10"/>
      <c r="P11" s="10"/>
      <c r="Q11" t="s">
        <v>93</v>
      </c>
    </row>
    <row r="12" spans="2:17" x14ac:dyDescent="0.3">
      <c r="B12">
        <v>10</v>
      </c>
      <c r="C12">
        <v>1</v>
      </c>
      <c r="D12">
        <v>10</v>
      </c>
      <c r="E12" s="10" t="s">
        <v>92</v>
      </c>
      <c r="F12" s="10" t="s">
        <v>91</v>
      </c>
      <c r="G12" s="10" t="s">
        <v>90</v>
      </c>
      <c r="H12" s="10" t="s">
        <v>91</v>
      </c>
      <c r="I12" s="10" t="s">
        <v>92</v>
      </c>
      <c r="J12" s="10" t="s">
        <v>91</v>
      </c>
      <c r="K12" s="10" t="s">
        <v>94</v>
      </c>
      <c r="L12" s="10" t="s">
        <v>58</v>
      </c>
      <c r="M12" s="10"/>
      <c r="N12" s="10"/>
      <c r="O12" s="10"/>
      <c r="P12" s="10"/>
      <c r="Q12" t="s">
        <v>93</v>
      </c>
    </row>
    <row r="13" spans="2:17" x14ac:dyDescent="0.3">
      <c r="B13">
        <v>11</v>
      </c>
      <c r="C13">
        <v>2</v>
      </c>
      <c r="D13">
        <v>1</v>
      </c>
      <c r="E13" s="10" t="s">
        <v>94</v>
      </c>
      <c r="F13" s="10" t="s">
        <v>91</v>
      </c>
      <c r="G13" s="10" t="s">
        <v>92</v>
      </c>
      <c r="H13" s="10" t="s">
        <v>91</v>
      </c>
      <c r="I13" s="10" t="s">
        <v>90</v>
      </c>
      <c r="J13" s="10" t="s">
        <v>91</v>
      </c>
      <c r="K13" s="10" t="s">
        <v>94</v>
      </c>
      <c r="L13" s="10" t="s">
        <v>91</v>
      </c>
      <c r="M13" s="10"/>
      <c r="N13" s="10"/>
      <c r="O13" s="10"/>
      <c r="P13" s="10"/>
      <c r="Q13" t="s">
        <v>95</v>
      </c>
    </row>
    <row r="14" spans="2:17" x14ac:dyDescent="0.3">
      <c r="B14">
        <v>12</v>
      </c>
      <c r="C14">
        <v>2</v>
      </c>
      <c r="D14">
        <v>2</v>
      </c>
      <c r="E14" s="10" t="s">
        <v>92</v>
      </c>
      <c r="F14" s="10" t="s">
        <v>91</v>
      </c>
      <c r="G14" s="10" t="s">
        <v>90</v>
      </c>
      <c r="H14" s="10" t="s">
        <v>91</v>
      </c>
      <c r="I14" s="10" t="s">
        <v>94</v>
      </c>
      <c r="J14" s="10" t="s">
        <v>91</v>
      </c>
      <c r="K14" s="10" t="s">
        <v>92</v>
      </c>
      <c r="L14" s="10" t="s">
        <v>91</v>
      </c>
      <c r="M14" s="10"/>
      <c r="N14" s="10"/>
      <c r="O14" s="10"/>
      <c r="P14" s="10"/>
      <c r="Q14" t="s">
        <v>95</v>
      </c>
    </row>
    <row r="15" spans="2:17" x14ac:dyDescent="0.3">
      <c r="B15">
        <v>13</v>
      </c>
      <c r="C15">
        <v>2</v>
      </c>
      <c r="D15">
        <v>3</v>
      </c>
      <c r="E15" s="10" t="s">
        <v>90</v>
      </c>
      <c r="F15" s="10" t="s">
        <v>91</v>
      </c>
      <c r="G15" s="10" t="s">
        <v>94</v>
      </c>
      <c r="H15" s="10" t="s">
        <v>91</v>
      </c>
      <c r="I15" s="10" t="s">
        <v>92</v>
      </c>
      <c r="J15" s="10" t="s">
        <v>91</v>
      </c>
      <c r="K15" s="10" t="s">
        <v>90</v>
      </c>
      <c r="L15" s="10" t="s">
        <v>91</v>
      </c>
      <c r="M15" s="10"/>
      <c r="N15" s="10"/>
      <c r="O15" s="10"/>
      <c r="P15" s="10"/>
      <c r="Q15" t="s">
        <v>95</v>
      </c>
    </row>
    <row r="16" spans="2:17" x14ac:dyDescent="0.3">
      <c r="B16">
        <v>14</v>
      </c>
      <c r="C16">
        <v>2</v>
      </c>
      <c r="D16">
        <v>4</v>
      </c>
      <c r="E16" s="10" t="s">
        <v>94</v>
      </c>
      <c r="F16" s="10" t="s">
        <v>91</v>
      </c>
      <c r="G16" s="10" t="s">
        <v>92</v>
      </c>
      <c r="H16" s="10" t="s">
        <v>91</v>
      </c>
      <c r="I16" s="10" t="s">
        <v>90</v>
      </c>
      <c r="J16" s="10" t="s">
        <v>91</v>
      </c>
      <c r="K16" s="10" t="s">
        <v>96</v>
      </c>
      <c r="L16" s="10" t="s">
        <v>91</v>
      </c>
      <c r="M16" s="10"/>
      <c r="N16" s="10"/>
      <c r="O16" s="10"/>
      <c r="P16" s="10"/>
      <c r="Q16" t="s">
        <v>95</v>
      </c>
    </row>
    <row r="17" spans="2:17" x14ac:dyDescent="0.3">
      <c r="B17">
        <v>15</v>
      </c>
      <c r="C17">
        <v>2</v>
      </c>
      <c r="D17">
        <v>5</v>
      </c>
      <c r="E17" s="10" t="s">
        <v>92</v>
      </c>
      <c r="F17" s="10" t="s">
        <v>91</v>
      </c>
      <c r="G17" s="10" t="s">
        <v>90</v>
      </c>
      <c r="H17" s="10" t="s">
        <v>91</v>
      </c>
      <c r="I17" s="10" t="s">
        <v>94</v>
      </c>
      <c r="J17" s="10" t="s">
        <v>91</v>
      </c>
      <c r="K17" s="10" t="s">
        <v>96</v>
      </c>
      <c r="L17" s="10" t="s">
        <v>91</v>
      </c>
      <c r="M17" s="10"/>
      <c r="N17" s="10"/>
      <c r="O17" s="10"/>
      <c r="P17" s="10"/>
      <c r="Q17" t="s">
        <v>95</v>
      </c>
    </row>
    <row r="18" spans="2:17" x14ac:dyDescent="0.3">
      <c r="B18">
        <v>16</v>
      </c>
      <c r="C18">
        <v>2</v>
      </c>
      <c r="D18">
        <v>6</v>
      </c>
      <c r="E18" s="10" t="s">
        <v>90</v>
      </c>
      <c r="F18" s="10" t="s">
        <v>91</v>
      </c>
      <c r="G18" s="10" t="s">
        <v>94</v>
      </c>
      <c r="H18" s="10" t="s">
        <v>91</v>
      </c>
      <c r="I18" s="10" t="s">
        <v>92</v>
      </c>
      <c r="J18" s="10" t="s">
        <v>91</v>
      </c>
      <c r="K18" s="10" t="s">
        <v>96</v>
      </c>
      <c r="L18" s="10" t="s">
        <v>91</v>
      </c>
      <c r="M18" s="10"/>
      <c r="N18" s="10"/>
      <c r="O18" s="10"/>
      <c r="P18" s="10"/>
      <c r="Q18" t="s">
        <v>95</v>
      </c>
    </row>
    <row r="19" spans="2:17" x14ac:dyDescent="0.3">
      <c r="B19">
        <v>17</v>
      </c>
      <c r="C19">
        <v>2</v>
      </c>
      <c r="D19">
        <v>7</v>
      </c>
      <c r="E19" s="10" t="s">
        <v>94</v>
      </c>
      <c r="F19" s="10" t="s">
        <v>91</v>
      </c>
      <c r="G19" s="10" t="s">
        <v>92</v>
      </c>
      <c r="H19" s="10" t="s">
        <v>91</v>
      </c>
      <c r="I19" s="10" t="s">
        <v>90</v>
      </c>
      <c r="J19" s="10" t="s">
        <v>91</v>
      </c>
      <c r="K19" s="10" t="s">
        <v>96</v>
      </c>
      <c r="L19" s="10" t="s">
        <v>91</v>
      </c>
      <c r="M19" s="10"/>
      <c r="N19" s="10"/>
      <c r="O19" s="10"/>
      <c r="P19" s="10"/>
      <c r="Q19" t="s">
        <v>95</v>
      </c>
    </row>
    <row r="20" spans="2:17" x14ac:dyDescent="0.3">
      <c r="B20">
        <v>18</v>
      </c>
      <c r="C20">
        <v>2</v>
      </c>
      <c r="D20">
        <v>8</v>
      </c>
      <c r="E20" s="10" t="s">
        <v>92</v>
      </c>
      <c r="F20" s="10" t="s">
        <v>91</v>
      </c>
      <c r="G20" s="10" t="s">
        <v>90</v>
      </c>
      <c r="H20" s="10" t="s">
        <v>91</v>
      </c>
      <c r="I20" s="10" t="s">
        <v>94</v>
      </c>
      <c r="J20" s="10" t="s">
        <v>91</v>
      </c>
      <c r="K20" s="10" t="s">
        <v>96</v>
      </c>
      <c r="L20" s="10" t="s">
        <v>58</v>
      </c>
      <c r="M20" s="10"/>
      <c r="N20" s="10"/>
      <c r="O20" s="10"/>
      <c r="P20" s="10"/>
      <c r="Q20" t="s">
        <v>95</v>
      </c>
    </row>
    <row r="21" spans="2:17" x14ac:dyDescent="0.3">
      <c r="B21">
        <v>19</v>
      </c>
      <c r="C21">
        <v>2</v>
      </c>
      <c r="D21">
        <v>9</v>
      </c>
      <c r="E21" s="10" t="s">
        <v>90</v>
      </c>
      <c r="F21" s="10" t="s">
        <v>91</v>
      </c>
      <c r="G21" s="10" t="s">
        <v>94</v>
      </c>
      <c r="H21" s="10" t="s">
        <v>91</v>
      </c>
      <c r="I21" s="10" t="s">
        <v>92</v>
      </c>
      <c r="J21" s="10" t="s">
        <v>91</v>
      </c>
      <c r="K21" s="10" t="s">
        <v>96</v>
      </c>
      <c r="L21" s="10" t="s">
        <v>58</v>
      </c>
      <c r="M21" s="10"/>
      <c r="N21" s="10"/>
      <c r="O21" s="10"/>
      <c r="P21" s="10"/>
      <c r="Q21" t="s">
        <v>95</v>
      </c>
    </row>
    <row r="22" spans="2:17" x14ac:dyDescent="0.3">
      <c r="B22">
        <v>20</v>
      </c>
      <c r="C22">
        <v>2</v>
      </c>
      <c r="D22">
        <v>10</v>
      </c>
      <c r="E22" s="10" t="s">
        <v>94</v>
      </c>
      <c r="F22" s="10" t="s">
        <v>91</v>
      </c>
      <c r="G22" s="10" t="s">
        <v>92</v>
      </c>
      <c r="H22" s="10" t="s">
        <v>91</v>
      </c>
      <c r="I22" s="10" t="s">
        <v>90</v>
      </c>
      <c r="J22" s="10" t="s">
        <v>91</v>
      </c>
      <c r="K22" s="10" t="s">
        <v>96</v>
      </c>
      <c r="L22" s="10" t="s">
        <v>58</v>
      </c>
      <c r="M22" s="10"/>
      <c r="N22" s="10"/>
      <c r="O22" s="10"/>
      <c r="P22" s="10"/>
      <c r="Q22" t="s">
        <v>95</v>
      </c>
    </row>
    <row r="23" spans="2:17" x14ac:dyDescent="0.3">
      <c r="B23">
        <v>21</v>
      </c>
      <c r="C23">
        <v>3</v>
      </c>
      <c r="D23">
        <v>1</v>
      </c>
      <c r="E23" s="10" t="s">
        <v>90</v>
      </c>
      <c r="F23" s="10" t="s">
        <v>91</v>
      </c>
      <c r="G23" s="10" t="s">
        <v>96</v>
      </c>
      <c r="H23" s="10" t="s">
        <v>91</v>
      </c>
      <c r="I23" s="10" t="s">
        <v>90</v>
      </c>
      <c r="J23" s="10" t="s">
        <v>91</v>
      </c>
      <c r="K23" s="10" t="s">
        <v>96</v>
      </c>
      <c r="L23" s="10" t="s">
        <v>91</v>
      </c>
      <c r="M23" s="10"/>
      <c r="N23" s="10"/>
      <c r="O23" s="10"/>
      <c r="P23" s="10"/>
      <c r="Q23" t="s">
        <v>97</v>
      </c>
    </row>
    <row r="24" spans="2:17" x14ac:dyDescent="0.3">
      <c r="B24">
        <v>22</v>
      </c>
      <c r="C24">
        <v>3</v>
      </c>
      <c r="D24">
        <v>2</v>
      </c>
      <c r="E24" s="10" t="s">
        <v>94</v>
      </c>
      <c r="F24" s="10" t="s">
        <v>91</v>
      </c>
      <c r="G24" s="10" t="s">
        <v>92</v>
      </c>
      <c r="H24" s="10" t="s">
        <v>91</v>
      </c>
      <c r="I24" s="10" t="s">
        <v>94</v>
      </c>
      <c r="J24" s="10" t="s">
        <v>91</v>
      </c>
      <c r="K24" s="10" t="s">
        <v>98</v>
      </c>
      <c r="L24" s="10" t="s">
        <v>91</v>
      </c>
      <c r="M24" s="10"/>
      <c r="N24" s="10"/>
      <c r="O24" s="10"/>
      <c r="P24" s="10"/>
      <c r="Q24" t="s">
        <v>97</v>
      </c>
    </row>
    <row r="25" spans="2:17" x14ac:dyDescent="0.3">
      <c r="B25">
        <v>23</v>
      </c>
      <c r="C25">
        <v>3</v>
      </c>
      <c r="D25">
        <v>3</v>
      </c>
      <c r="E25" s="10" t="s">
        <v>96</v>
      </c>
      <c r="F25" s="10" t="s">
        <v>91</v>
      </c>
      <c r="G25" s="10" t="s">
        <v>98</v>
      </c>
      <c r="H25" s="10" t="s">
        <v>91</v>
      </c>
      <c r="I25" s="10" t="s">
        <v>96</v>
      </c>
      <c r="J25" s="10" t="s">
        <v>91</v>
      </c>
      <c r="K25" s="10" t="s">
        <v>90</v>
      </c>
      <c r="L25" s="10" t="s">
        <v>91</v>
      </c>
      <c r="M25" s="10"/>
      <c r="N25" s="10"/>
      <c r="O25" s="10"/>
      <c r="P25" s="10"/>
      <c r="Q25" t="s">
        <v>97</v>
      </c>
    </row>
    <row r="26" spans="2:17" x14ac:dyDescent="0.3">
      <c r="B26">
        <v>24</v>
      </c>
      <c r="C26">
        <v>3</v>
      </c>
      <c r="D26">
        <v>4</v>
      </c>
      <c r="E26" s="10" t="s">
        <v>92</v>
      </c>
      <c r="F26" s="10" t="s">
        <v>91</v>
      </c>
      <c r="G26" s="10" t="s">
        <v>94</v>
      </c>
      <c r="H26" s="10" t="s">
        <v>91</v>
      </c>
      <c r="I26" s="10" t="s">
        <v>92</v>
      </c>
      <c r="J26" s="10" t="s">
        <v>91</v>
      </c>
      <c r="K26" s="10" t="s">
        <v>98</v>
      </c>
      <c r="L26" s="10" t="s">
        <v>91</v>
      </c>
      <c r="M26" s="10"/>
      <c r="N26" s="10"/>
      <c r="O26" s="10"/>
      <c r="P26" s="10"/>
      <c r="Q26" t="s">
        <v>97</v>
      </c>
    </row>
    <row r="27" spans="2:17" x14ac:dyDescent="0.3">
      <c r="B27">
        <v>25</v>
      </c>
      <c r="C27">
        <v>3</v>
      </c>
      <c r="D27">
        <v>5</v>
      </c>
      <c r="E27" s="10" t="s">
        <v>90</v>
      </c>
      <c r="F27" s="10" t="s">
        <v>91</v>
      </c>
      <c r="G27" s="10" t="s">
        <v>96</v>
      </c>
      <c r="H27" s="10" t="s">
        <v>91</v>
      </c>
      <c r="I27" s="10" t="s">
        <v>90</v>
      </c>
      <c r="J27" s="10" t="s">
        <v>91</v>
      </c>
      <c r="K27" s="10" t="s">
        <v>96</v>
      </c>
      <c r="L27" s="10" t="s">
        <v>91</v>
      </c>
      <c r="M27" s="10" t="s">
        <v>90</v>
      </c>
      <c r="N27" s="10" t="s">
        <v>91</v>
      </c>
      <c r="O27" s="10"/>
      <c r="P27" s="10"/>
      <c r="Q27" t="s">
        <v>97</v>
      </c>
    </row>
    <row r="28" spans="2:17" x14ac:dyDescent="0.3">
      <c r="B28">
        <v>26</v>
      </c>
      <c r="C28">
        <v>3</v>
      </c>
      <c r="D28">
        <v>6</v>
      </c>
      <c r="E28" s="10" t="s">
        <v>94</v>
      </c>
      <c r="F28" s="10" t="s">
        <v>91</v>
      </c>
      <c r="G28" s="10" t="s">
        <v>98</v>
      </c>
      <c r="H28" s="10" t="s">
        <v>91</v>
      </c>
      <c r="I28" s="10" t="s">
        <v>94</v>
      </c>
      <c r="J28" s="10" t="s">
        <v>91</v>
      </c>
      <c r="K28" s="10" t="s">
        <v>92</v>
      </c>
      <c r="L28" s="10" t="s">
        <v>58</v>
      </c>
      <c r="M28" s="10" t="s">
        <v>98</v>
      </c>
      <c r="N28" s="10" t="s">
        <v>91</v>
      </c>
      <c r="O28" s="10"/>
      <c r="P28" s="10"/>
      <c r="Q28" t="s">
        <v>97</v>
      </c>
    </row>
    <row r="29" spans="2:17" x14ac:dyDescent="0.3">
      <c r="B29">
        <v>27</v>
      </c>
      <c r="C29">
        <v>3</v>
      </c>
      <c r="D29">
        <v>7</v>
      </c>
      <c r="E29" s="10" t="s">
        <v>96</v>
      </c>
      <c r="F29" s="10" t="s">
        <v>91</v>
      </c>
      <c r="G29" s="10" t="s">
        <v>90</v>
      </c>
      <c r="H29" s="10" t="s">
        <v>91</v>
      </c>
      <c r="I29" s="10" t="s">
        <v>96</v>
      </c>
      <c r="J29" s="10" t="s">
        <v>91</v>
      </c>
      <c r="K29" s="10" t="s">
        <v>90</v>
      </c>
      <c r="L29" s="10" t="s">
        <v>58</v>
      </c>
      <c r="M29" s="10" t="s">
        <v>96</v>
      </c>
      <c r="N29" s="10" t="s">
        <v>58</v>
      </c>
      <c r="O29" s="10"/>
      <c r="P29" s="10"/>
      <c r="Q29" t="s">
        <v>97</v>
      </c>
    </row>
    <row r="30" spans="2:17" x14ac:dyDescent="0.3">
      <c r="B30">
        <v>28</v>
      </c>
      <c r="C30">
        <v>3</v>
      </c>
      <c r="D30">
        <v>8</v>
      </c>
      <c r="E30" s="10" t="s">
        <v>92</v>
      </c>
      <c r="F30" s="10" t="s">
        <v>91</v>
      </c>
      <c r="G30" s="10" t="s">
        <v>94</v>
      </c>
      <c r="H30" s="10" t="s">
        <v>91</v>
      </c>
      <c r="I30" s="10" t="s">
        <v>92</v>
      </c>
      <c r="J30" s="10" t="s">
        <v>91</v>
      </c>
      <c r="K30" s="10" t="s">
        <v>94</v>
      </c>
      <c r="L30" s="10" t="s">
        <v>58</v>
      </c>
      <c r="M30" s="10" t="s">
        <v>98</v>
      </c>
      <c r="N30" s="10" t="s">
        <v>58</v>
      </c>
      <c r="O30" s="10"/>
      <c r="P30" s="10"/>
      <c r="Q30" t="s">
        <v>97</v>
      </c>
    </row>
    <row r="31" spans="2:17" x14ac:dyDescent="0.3">
      <c r="B31">
        <v>29</v>
      </c>
      <c r="C31">
        <v>3</v>
      </c>
      <c r="D31">
        <v>9</v>
      </c>
      <c r="E31" s="10" t="s">
        <v>90</v>
      </c>
      <c r="F31" s="10" t="s">
        <v>91</v>
      </c>
      <c r="G31" s="10" t="s">
        <v>98</v>
      </c>
      <c r="H31" s="10" t="s">
        <v>58</v>
      </c>
      <c r="I31" s="10" t="s">
        <v>90</v>
      </c>
      <c r="J31" s="10" t="s">
        <v>91</v>
      </c>
      <c r="K31" s="10" t="s">
        <v>96</v>
      </c>
      <c r="L31" s="10" t="s">
        <v>58</v>
      </c>
      <c r="M31" s="10" t="s">
        <v>90</v>
      </c>
      <c r="N31" s="10" t="s">
        <v>58</v>
      </c>
      <c r="O31" s="10"/>
      <c r="P31" s="10"/>
      <c r="Q31" t="s">
        <v>97</v>
      </c>
    </row>
    <row r="32" spans="2:17" x14ac:dyDescent="0.3">
      <c r="B32">
        <v>30</v>
      </c>
      <c r="C32">
        <v>3</v>
      </c>
      <c r="D32">
        <v>10</v>
      </c>
      <c r="E32" s="10" t="s">
        <v>94</v>
      </c>
      <c r="F32" s="10" t="s">
        <v>91</v>
      </c>
      <c r="G32" s="10" t="s">
        <v>92</v>
      </c>
      <c r="H32" s="10" t="s">
        <v>91</v>
      </c>
      <c r="I32" s="10" t="s">
        <v>94</v>
      </c>
      <c r="J32" s="10" t="s">
        <v>91</v>
      </c>
      <c r="K32" s="10" t="s">
        <v>92</v>
      </c>
      <c r="L32" s="10" t="s">
        <v>58</v>
      </c>
      <c r="M32" s="10" t="s">
        <v>98</v>
      </c>
      <c r="N32" s="10" t="s">
        <v>58</v>
      </c>
      <c r="O32" s="10"/>
      <c r="P32" s="10"/>
      <c r="Q32" t="s">
        <v>97</v>
      </c>
    </row>
    <row r="33" spans="2:17" x14ac:dyDescent="0.3">
      <c r="B33">
        <v>31</v>
      </c>
      <c r="C33">
        <v>4</v>
      </c>
      <c r="D33">
        <v>1</v>
      </c>
      <c r="E33" s="10" t="s">
        <v>96</v>
      </c>
      <c r="F33" s="10" t="s">
        <v>91</v>
      </c>
      <c r="G33" s="10" t="s">
        <v>92</v>
      </c>
      <c r="H33" s="10" t="s">
        <v>91</v>
      </c>
      <c r="I33" s="10" t="s">
        <v>96</v>
      </c>
      <c r="J33" s="10" t="s">
        <v>91</v>
      </c>
      <c r="K33" s="10" t="s">
        <v>92</v>
      </c>
      <c r="L33" s="10" t="s">
        <v>91</v>
      </c>
      <c r="M33" s="10" t="s">
        <v>96</v>
      </c>
      <c r="N33" s="10" t="s">
        <v>91</v>
      </c>
      <c r="O33" s="10"/>
      <c r="P33" s="10"/>
      <c r="Q33" t="s">
        <v>99</v>
      </c>
    </row>
    <row r="34" spans="2:17" x14ac:dyDescent="0.3">
      <c r="B34">
        <v>32</v>
      </c>
      <c r="C34">
        <v>4</v>
      </c>
      <c r="D34">
        <v>2</v>
      </c>
      <c r="E34" s="10" t="s">
        <v>98</v>
      </c>
      <c r="F34" s="10" t="s">
        <v>91</v>
      </c>
      <c r="G34" s="10" t="s">
        <v>94</v>
      </c>
      <c r="H34" s="10" t="s">
        <v>91</v>
      </c>
      <c r="I34" s="10" t="s">
        <v>98</v>
      </c>
      <c r="J34" s="10" t="s">
        <v>91</v>
      </c>
      <c r="K34" s="10" t="s">
        <v>94</v>
      </c>
      <c r="L34" s="10" t="s">
        <v>91</v>
      </c>
      <c r="M34" s="10" t="s">
        <v>100</v>
      </c>
      <c r="N34" s="10" t="s">
        <v>91</v>
      </c>
      <c r="O34" s="10"/>
      <c r="P34" s="10"/>
      <c r="Q34" t="s">
        <v>99</v>
      </c>
    </row>
    <row r="35" spans="2:17" x14ac:dyDescent="0.3">
      <c r="B35">
        <v>33</v>
      </c>
      <c r="C35">
        <v>4</v>
      </c>
      <c r="D35">
        <v>3</v>
      </c>
      <c r="E35" s="10" t="s">
        <v>92</v>
      </c>
      <c r="F35" s="10" t="s">
        <v>91</v>
      </c>
      <c r="G35" s="10" t="s">
        <v>100</v>
      </c>
      <c r="H35" s="10" t="s">
        <v>91</v>
      </c>
      <c r="I35" s="10" t="s">
        <v>92</v>
      </c>
      <c r="J35" s="10" t="s">
        <v>91</v>
      </c>
      <c r="K35" s="10" t="s">
        <v>96</v>
      </c>
      <c r="L35" s="10" t="s">
        <v>91</v>
      </c>
      <c r="M35" s="10" t="s">
        <v>92</v>
      </c>
      <c r="N35" s="10" t="s">
        <v>91</v>
      </c>
      <c r="O35" s="10"/>
      <c r="P35" s="10"/>
      <c r="Q35" t="s">
        <v>99</v>
      </c>
    </row>
    <row r="36" spans="2:17" x14ac:dyDescent="0.3">
      <c r="B36">
        <v>34</v>
      </c>
      <c r="C36">
        <v>4</v>
      </c>
      <c r="D36">
        <v>4</v>
      </c>
      <c r="E36" s="10" t="s">
        <v>94</v>
      </c>
      <c r="F36" s="10" t="s">
        <v>91</v>
      </c>
      <c r="G36" s="10" t="s">
        <v>98</v>
      </c>
      <c r="H36" s="10" t="s">
        <v>91</v>
      </c>
      <c r="I36" s="10" t="s">
        <v>94</v>
      </c>
      <c r="J36" s="10" t="s">
        <v>91</v>
      </c>
      <c r="K36" s="10" t="s">
        <v>98</v>
      </c>
      <c r="L36" s="10" t="s">
        <v>91</v>
      </c>
      <c r="M36" s="10" t="s">
        <v>100</v>
      </c>
      <c r="N36" s="10" t="s">
        <v>91</v>
      </c>
      <c r="O36" s="10"/>
      <c r="P36" s="10"/>
      <c r="Q36" t="s">
        <v>99</v>
      </c>
    </row>
    <row r="37" spans="2:17" x14ac:dyDescent="0.3">
      <c r="B37">
        <v>35</v>
      </c>
      <c r="C37">
        <v>4</v>
      </c>
      <c r="D37">
        <v>5</v>
      </c>
      <c r="E37" s="10" t="s">
        <v>96</v>
      </c>
      <c r="F37" s="10" t="s">
        <v>91</v>
      </c>
      <c r="G37" s="10" t="s">
        <v>92</v>
      </c>
      <c r="H37" s="10" t="s">
        <v>91</v>
      </c>
      <c r="I37" s="10" t="s">
        <v>96</v>
      </c>
      <c r="J37" s="10" t="s">
        <v>91</v>
      </c>
      <c r="K37" s="10" t="s">
        <v>92</v>
      </c>
      <c r="L37" s="10" t="s">
        <v>91</v>
      </c>
      <c r="M37" s="10" t="s">
        <v>96</v>
      </c>
      <c r="N37" s="10" t="s">
        <v>58</v>
      </c>
      <c r="O37" s="10"/>
      <c r="P37" s="10"/>
      <c r="Q37" t="s">
        <v>99</v>
      </c>
    </row>
    <row r="38" spans="2:17" x14ac:dyDescent="0.3">
      <c r="B38">
        <v>36</v>
      </c>
      <c r="C38">
        <v>4</v>
      </c>
      <c r="D38">
        <v>6</v>
      </c>
      <c r="E38" s="10" t="s">
        <v>98</v>
      </c>
      <c r="F38" s="10" t="s">
        <v>91</v>
      </c>
      <c r="G38" s="10" t="s">
        <v>100</v>
      </c>
      <c r="H38" s="10" t="s">
        <v>91</v>
      </c>
      <c r="I38" s="10" t="s">
        <v>98</v>
      </c>
      <c r="J38" s="10" t="s">
        <v>91</v>
      </c>
      <c r="K38" s="10" t="s">
        <v>94</v>
      </c>
      <c r="L38" s="10" t="s">
        <v>91</v>
      </c>
      <c r="M38" s="10" t="s">
        <v>100</v>
      </c>
      <c r="N38" s="10" t="s">
        <v>91</v>
      </c>
      <c r="O38" s="10"/>
      <c r="P38" s="10"/>
      <c r="Q38" t="s">
        <v>99</v>
      </c>
    </row>
    <row r="39" spans="2:17" x14ac:dyDescent="0.3">
      <c r="B39">
        <v>37</v>
      </c>
      <c r="C39">
        <v>4</v>
      </c>
      <c r="D39">
        <v>7</v>
      </c>
      <c r="E39" s="10" t="s">
        <v>92</v>
      </c>
      <c r="F39" s="10" t="s">
        <v>91</v>
      </c>
      <c r="G39" s="10" t="s">
        <v>96</v>
      </c>
      <c r="H39" s="10" t="s">
        <v>91</v>
      </c>
      <c r="I39" s="10" t="s">
        <v>92</v>
      </c>
      <c r="J39" s="10" t="s">
        <v>91</v>
      </c>
      <c r="K39" s="10" t="s">
        <v>96</v>
      </c>
      <c r="L39" s="10" t="s">
        <v>91</v>
      </c>
      <c r="M39" s="10" t="s">
        <v>92</v>
      </c>
      <c r="N39" s="10" t="s">
        <v>58</v>
      </c>
      <c r="O39" s="10"/>
      <c r="P39" s="10"/>
      <c r="Q39" t="s">
        <v>99</v>
      </c>
    </row>
    <row r="40" spans="2:17" x14ac:dyDescent="0.3">
      <c r="B40">
        <v>38</v>
      </c>
      <c r="C40">
        <v>4</v>
      </c>
      <c r="D40">
        <v>8</v>
      </c>
      <c r="E40" s="10" t="s">
        <v>94</v>
      </c>
      <c r="F40" s="10" t="s">
        <v>91</v>
      </c>
      <c r="G40" s="10" t="s">
        <v>98</v>
      </c>
      <c r="H40" s="10" t="s">
        <v>91</v>
      </c>
      <c r="I40" s="10" t="s">
        <v>94</v>
      </c>
      <c r="J40" s="10" t="s">
        <v>91</v>
      </c>
      <c r="K40" s="10" t="s">
        <v>98</v>
      </c>
      <c r="L40" s="10" t="s">
        <v>91</v>
      </c>
      <c r="M40" s="10" t="s">
        <v>100</v>
      </c>
      <c r="N40" s="10" t="s">
        <v>58</v>
      </c>
      <c r="O40" s="10"/>
      <c r="P40" s="10"/>
      <c r="Q40" t="s">
        <v>99</v>
      </c>
    </row>
    <row r="41" spans="2:17" x14ac:dyDescent="0.3">
      <c r="B41">
        <v>39</v>
      </c>
      <c r="C41">
        <v>4</v>
      </c>
      <c r="D41">
        <v>9</v>
      </c>
      <c r="E41" s="10" t="s">
        <v>96</v>
      </c>
      <c r="F41" s="10" t="s">
        <v>91</v>
      </c>
      <c r="G41" s="10" t="s">
        <v>100</v>
      </c>
      <c r="H41" s="10" t="s">
        <v>58</v>
      </c>
      <c r="I41" s="10" t="s">
        <v>96</v>
      </c>
      <c r="J41" s="10" t="s">
        <v>91</v>
      </c>
      <c r="K41" s="10" t="s">
        <v>92</v>
      </c>
      <c r="L41" s="10" t="s">
        <v>91</v>
      </c>
      <c r="M41" s="10" t="s">
        <v>96</v>
      </c>
      <c r="N41" s="10" t="s">
        <v>58</v>
      </c>
      <c r="O41" s="10"/>
      <c r="P41" s="10"/>
      <c r="Q41" t="s">
        <v>99</v>
      </c>
    </row>
    <row r="42" spans="2:17" x14ac:dyDescent="0.3">
      <c r="B42">
        <v>40</v>
      </c>
      <c r="C42">
        <v>4</v>
      </c>
      <c r="D42">
        <v>10</v>
      </c>
      <c r="E42" s="10" t="s">
        <v>98</v>
      </c>
      <c r="F42" s="10" t="s">
        <v>91</v>
      </c>
      <c r="G42" s="10" t="s">
        <v>94</v>
      </c>
      <c r="H42" s="10" t="s">
        <v>91</v>
      </c>
      <c r="I42" s="10" t="s">
        <v>98</v>
      </c>
      <c r="J42" s="10" t="s">
        <v>91</v>
      </c>
      <c r="K42" s="10" t="s">
        <v>94</v>
      </c>
      <c r="L42" s="10" t="s">
        <v>91</v>
      </c>
      <c r="M42" s="10" t="s">
        <v>100</v>
      </c>
      <c r="N42" s="10" t="s">
        <v>58</v>
      </c>
      <c r="O42" s="10"/>
      <c r="P42" s="10"/>
      <c r="Q42" t="s">
        <v>99</v>
      </c>
    </row>
    <row r="43" spans="2:17" x14ac:dyDescent="0.3">
      <c r="B43">
        <v>41</v>
      </c>
      <c r="C43">
        <v>5</v>
      </c>
      <c r="D43">
        <v>1</v>
      </c>
      <c r="E43" s="10" t="s">
        <v>100</v>
      </c>
      <c r="F43" s="10" t="s">
        <v>91</v>
      </c>
      <c r="G43" s="10" t="s">
        <v>94</v>
      </c>
      <c r="H43" s="10" t="s">
        <v>91</v>
      </c>
      <c r="I43" s="10" t="s">
        <v>98</v>
      </c>
      <c r="J43" s="10" t="s">
        <v>91</v>
      </c>
      <c r="K43" s="10" t="s">
        <v>101</v>
      </c>
      <c r="L43" s="10" t="s">
        <v>58</v>
      </c>
      <c r="M43" s="10"/>
      <c r="N43" s="10"/>
      <c r="O43" s="10"/>
      <c r="P43" s="10"/>
      <c r="Q43" t="s">
        <v>102</v>
      </c>
    </row>
    <row r="44" spans="2:17" x14ac:dyDescent="0.3">
      <c r="B44">
        <v>42</v>
      </c>
      <c r="C44">
        <v>5</v>
      </c>
      <c r="D44">
        <v>2</v>
      </c>
      <c r="E44" s="10" t="s">
        <v>90</v>
      </c>
      <c r="F44" s="10" t="s">
        <v>91</v>
      </c>
      <c r="G44" s="10" t="s">
        <v>96</v>
      </c>
      <c r="H44" s="10" t="s">
        <v>91</v>
      </c>
      <c r="I44" s="10" t="s">
        <v>100</v>
      </c>
      <c r="J44" s="10" t="s">
        <v>58</v>
      </c>
      <c r="K44" s="10" t="s">
        <v>101</v>
      </c>
      <c r="L44" s="10" t="s">
        <v>58</v>
      </c>
      <c r="M44" s="10"/>
      <c r="N44" s="10"/>
      <c r="O44" s="10"/>
      <c r="P44" s="10"/>
      <c r="Q44" t="s">
        <v>102</v>
      </c>
    </row>
    <row r="45" spans="2:17" x14ac:dyDescent="0.3">
      <c r="B45">
        <v>43</v>
      </c>
      <c r="C45">
        <v>5</v>
      </c>
      <c r="D45">
        <v>3</v>
      </c>
      <c r="E45" s="10" t="s">
        <v>94</v>
      </c>
      <c r="F45" s="10" t="s">
        <v>91</v>
      </c>
      <c r="G45" s="10" t="s">
        <v>98</v>
      </c>
      <c r="H45" s="10" t="s">
        <v>91</v>
      </c>
      <c r="I45" s="10" t="s">
        <v>90</v>
      </c>
      <c r="J45" s="10" t="s">
        <v>91</v>
      </c>
      <c r="K45" s="10" t="s">
        <v>101</v>
      </c>
      <c r="L45" s="10" t="s">
        <v>58</v>
      </c>
      <c r="M45" s="10"/>
      <c r="N45" s="10"/>
      <c r="O45" s="10"/>
      <c r="P45" s="10"/>
      <c r="Q45" t="s">
        <v>102</v>
      </c>
    </row>
    <row r="46" spans="2:17" x14ac:dyDescent="0.3">
      <c r="B46">
        <v>44</v>
      </c>
      <c r="C46">
        <v>5</v>
      </c>
      <c r="D46">
        <v>4</v>
      </c>
      <c r="E46" s="10" t="s">
        <v>96</v>
      </c>
      <c r="F46" s="10" t="s">
        <v>91</v>
      </c>
      <c r="G46" s="10" t="s">
        <v>100</v>
      </c>
      <c r="H46" s="10" t="s">
        <v>58</v>
      </c>
      <c r="I46" s="10" t="s">
        <v>94</v>
      </c>
      <c r="J46" s="10" t="s">
        <v>91</v>
      </c>
      <c r="K46" s="10" t="s">
        <v>101</v>
      </c>
      <c r="L46" s="10" t="s">
        <v>58</v>
      </c>
      <c r="M46" s="10"/>
      <c r="N46" s="10"/>
      <c r="O46" s="10"/>
      <c r="P46" s="10"/>
      <c r="Q46" t="s">
        <v>102</v>
      </c>
    </row>
    <row r="47" spans="2:17" x14ac:dyDescent="0.3">
      <c r="B47">
        <v>45</v>
      </c>
      <c r="C47">
        <v>5</v>
      </c>
      <c r="D47">
        <v>5</v>
      </c>
      <c r="E47" s="10" t="s">
        <v>98</v>
      </c>
      <c r="F47" s="10" t="s">
        <v>91</v>
      </c>
      <c r="G47" s="10" t="s">
        <v>90</v>
      </c>
      <c r="H47" s="10" t="s">
        <v>91</v>
      </c>
      <c r="I47" s="10" t="s">
        <v>96</v>
      </c>
      <c r="J47" s="10" t="s">
        <v>91</v>
      </c>
      <c r="K47" s="10" t="s">
        <v>100</v>
      </c>
      <c r="L47" s="10" t="s">
        <v>58</v>
      </c>
      <c r="M47" s="10" t="s">
        <v>101</v>
      </c>
      <c r="N47" s="10" t="s">
        <v>58</v>
      </c>
      <c r="O47" s="10"/>
      <c r="P47" s="10"/>
      <c r="Q47" t="s">
        <v>102</v>
      </c>
    </row>
    <row r="48" spans="2:17" x14ac:dyDescent="0.3">
      <c r="B48">
        <v>46</v>
      </c>
      <c r="C48">
        <v>5</v>
      </c>
      <c r="D48">
        <v>6</v>
      </c>
      <c r="E48" s="10" t="s">
        <v>100</v>
      </c>
      <c r="F48" s="10" t="s">
        <v>58</v>
      </c>
      <c r="G48" s="10" t="s">
        <v>94</v>
      </c>
      <c r="H48" s="10" t="s">
        <v>58</v>
      </c>
      <c r="I48" s="10" t="s">
        <v>98</v>
      </c>
      <c r="J48" s="10" t="s">
        <v>58</v>
      </c>
      <c r="K48" s="10" t="s">
        <v>96</v>
      </c>
      <c r="L48" s="10" t="s">
        <v>58</v>
      </c>
      <c r="M48" s="10" t="s">
        <v>101</v>
      </c>
      <c r="N48" s="10" t="s">
        <v>58</v>
      </c>
      <c r="O48" s="10"/>
      <c r="P48" s="10"/>
      <c r="Q48" t="s">
        <v>102</v>
      </c>
    </row>
    <row r="49" spans="2:17" x14ac:dyDescent="0.3">
      <c r="B49">
        <v>47</v>
      </c>
      <c r="C49">
        <v>5</v>
      </c>
      <c r="D49">
        <v>7</v>
      </c>
      <c r="E49" s="10" t="s">
        <v>90</v>
      </c>
      <c r="F49" s="10" t="s">
        <v>91</v>
      </c>
      <c r="G49" s="10" t="s">
        <v>100</v>
      </c>
      <c r="H49" s="10" t="s">
        <v>58</v>
      </c>
      <c r="I49" s="10" t="s">
        <v>96</v>
      </c>
      <c r="J49" s="10" t="s">
        <v>58</v>
      </c>
      <c r="K49" s="10" t="s">
        <v>94</v>
      </c>
      <c r="L49" s="10" t="s">
        <v>58</v>
      </c>
      <c r="M49" s="10" t="s">
        <v>101</v>
      </c>
      <c r="N49" s="10" t="s">
        <v>58</v>
      </c>
      <c r="O49" s="10"/>
      <c r="P49" s="10"/>
      <c r="Q49" t="s">
        <v>102</v>
      </c>
    </row>
    <row r="50" spans="2:17" x14ac:dyDescent="0.3">
      <c r="B50">
        <v>48</v>
      </c>
      <c r="C50">
        <v>5</v>
      </c>
      <c r="D50">
        <v>8</v>
      </c>
      <c r="E50" s="10" t="s">
        <v>98</v>
      </c>
      <c r="F50" s="10" t="s">
        <v>58</v>
      </c>
      <c r="G50" s="10" t="s">
        <v>96</v>
      </c>
      <c r="H50" s="10" t="s">
        <v>58</v>
      </c>
      <c r="I50" s="10" t="s">
        <v>100</v>
      </c>
      <c r="J50" s="10" t="s">
        <v>58</v>
      </c>
      <c r="K50" s="10" t="s">
        <v>101</v>
      </c>
      <c r="L50" s="10" t="s">
        <v>58</v>
      </c>
      <c r="M50" s="10" t="s">
        <v>94</v>
      </c>
      <c r="N50" s="10" t="s">
        <v>58</v>
      </c>
      <c r="O50" s="10"/>
      <c r="P50" s="10"/>
      <c r="Q50" t="s">
        <v>102</v>
      </c>
    </row>
    <row r="51" spans="2:17" x14ac:dyDescent="0.3">
      <c r="B51">
        <v>49</v>
      </c>
      <c r="C51">
        <v>5</v>
      </c>
      <c r="D51">
        <v>9</v>
      </c>
      <c r="E51" s="10" t="s">
        <v>100</v>
      </c>
      <c r="F51" s="10" t="s">
        <v>58</v>
      </c>
      <c r="G51" s="10" t="s">
        <v>94</v>
      </c>
      <c r="H51" s="10" t="s">
        <v>58</v>
      </c>
      <c r="I51" s="10" t="s">
        <v>101</v>
      </c>
      <c r="J51" s="10" t="s">
        <v>58</v>
      </c>
      <c r="K51" s="10" t="s">
        <v>96</v>
      </c>
      <c r="L51" s="10" t="s">
        <v>58</v>
      </c>
      <c r="M51" s="10" t="s">
        <v>98</v>
      </c>
      <c r="N51" s="10" t="s">
        <v>103</v>
      </c>
      <c r="O51" s="10"/>
      <c r="P51" s="10"/>
      <c r="Q51" t="s">
        <v>102</v>
      </c>
    </row>
    <row r="52" spans="2:17" x14ac:dyDescent="0.3">
      <c r="B52">
        <v>50</v>
      </c>
      <c r="C52">
        <v>5</v>
      </c>
      <c r="D52">
        <v>10</v>
      </c>
      <c r="E52" s="10" t="s">
        <v>96</v>
      </c>
      <c r="F52" s="10" t="s">
        <v>58</v>
      </c>
      <c r="G52" s="10" t="s">
        <v>100</v>
      </c>
      <c r="H52" s="10" t="s">
        <v>58</v>
      </c>
      <c r="I52" s="10" t="s">
        <v>98</v>
      </c>
      <c r="J52" s="10" t="s">
        <v>58</v>
      </c>
      <c r="K52" s="10" t="s">
        <v>94</v>
      </c>
      <c r="L52" s="10" t="s">
        <v>58</v>
      </c>
      <c r="M52" s="10" t="s">
        <v>101</v>
      </c>
      <c r="N52" s="10" t="s">
        <v>103</v>
      </c>
      <c r="O52" s="10"/>
      <c r="P52" s="10"/>
      <c r="Q52" t="s">
        <v>102</v>
      </c>
    </row>
    <row r="53" spans="2:17" x14ac:dyDescent="0.3">
      <c r="B53">
        <v>51</v>
      </c>
      <c r="C53">
        <v>6</v>
      </c>
      <c r="D53">
        <v>1</v>
      </c>
      <c r="E53" s="10" t="s">
        <v>96</v>
      </c>
      <c r="F53" s="10" t="s">
        <v>91</v>
      </c>
      <c r="G53" s="10" t="s">
        <v>100</v>
      </c>
      <c r="H53" s="10" t="s">
        <v>58</v>
      </c>
      <c r="I53" s="10" t="s">
        <v>92</v>
      </c>
      <c r="J53" s="10" t="s">
        <v>91</v>
      </c>
      <c r="K53" s="10" t="s">
        <v>101</v>
      </c>
      <c r="L53" s="10" t="s">
        <v>58</v>
      </c>
      <c r="M53" s="10" t="s">
        <v>94</v>
      </c>
      <c r="N53" s="10" t="s">
        <v>58</v>
      </c>
      <c r="O53" s="10"/>
      <c r="P53" s="10"/>
      <c r="Q53" t="s">
        <v>104</v>
      </c>
    </row>
    <row r="54" spans="2:17" x14ac:dyDescent="0.3">
      <c r="B54">
        <v>52</v>
      </c>
      <c r="C54">
        <v>6</v>
      </c>
      <c r="D54">
        <v>2</v>
      </c>
      <c r="E54" s="10" t="s">
        <v>98</v>
      </c>
      <c r="F54" s="10" t="s">
        <v>91</v>
      </c>
      <c r="G54" s="10" t="s">
        <v>96</v>
      </c>
      <c r="H54" s="10" t="s">
        <v>91</v>
      </c>
      <c r="I54" s="10" t="s">
        <v>100</v>
      </c>
      <c r="J54" s="10" t="s">
        <v>58</v>
      </c>
      <c r="K54" s="10" t="s">
        <v>90</v>
      </c>
      <c r="L54" s="10" t="s">
        <v>58</v>
      </c>
      <c r="M54" s="10" t="s">
        <v>101</v>
      </c>
      <c r="N54" s="10" t="s">
        <v>58</v>
      </c>
      <c r="O54" s="10"/>
      <c r="P54" s="10"/>
      <c r="Q54" t="s">
        <v>104</v>
      </c>
    </row>
    <row r="55" spans="2:17" x14ac:dyDescent="0.3">
      <c r="B55">
        <v>53</v>
      </c>
      <c r="C55">
        <v>6</v>
      </c>
      <c r="D55">
        <v>3</v>
      </c>
      <c r="E55" s="10" t="s">
        <v>100</v>
      </c>
      <c r="F55" s="10" t="s">
        <v>58</v>
      </c>
      <c r="G55" s="10" t="s">
        <v>92</v>
      </c>
      <c r="H55" s="10" t="s">
        <v>91</v>
      </c>
      <c r="I55" s="10" t="s">
        <v>96</v>
      </c>
      <c r="J55" s="10" t="s">
        <v>91</v>
      </c>
      <c r="K55" s="10" t="s">
        <v>94</v>
      </c>
      <c r="L55" s="10" t="s">
        <v>58</v>
      </c>
      <c r="M55" s="10" t="s">
        <v>101</v>
      </c>
      <c r="N55" s="10" t="s">
        <v>58</v>
      </c>
      <c r="O55" s="10"/>
      <c r="P55" s="10"/>
      <c r="Q55" t="s">
        <v>104</v>
      </c>
    </row>
    <row r="56" spans="2:17" x14ac:dyDescent="0.3">
      <c r="B56">
        <v>54</v>
      </c>
      <c r="C56">
        <v>6</v>
      </c>
      <c r="D56">
        <v>4</v>
      </c>
      <c r="E56" s="10" t="s">
        <v>101</v>
      </c>
      <c r="F56" s="10" t="s">
        <v>58</v>
      </c>
      <c r="G56" s="10" t="s">
        <v>90</v>
      </c>
      <c r="H56" s="10" t="s">
        <v>91</v>
      </c>
      <c r="I56" s="10" t="s">
        <v>96</v>
      </c>
      <c r="J56" s="10" t="s">
        <v>91</v>
      </c>
      <c r="K56" s="10" t="s">
        <v>100</v>
      </c>
      <c r="L56" s="10" t="s">
        <v>58</v>
      </c>
      <c r="M56" s="10" t="s">
        <v>98</v>
      </c>
      <c r="N56" s="10" t="s">
        <v>58</v>
      </c>
      <c r="O56" s="10"/>
      <c r="P56" s="10"/>
      <c r="Q56" t="s">
        <v>104</v>
      </c>
    </row>
    <row r="57" spans="2:17" x14ac:dyDescent="0.3">
      <c r="B57">
        <v>55</v>
      </c>
      <c r="C57">
        <v>6</v>
      </c>
      <c r="D57">
        <v>5</v>
      </c>
      <c r="E57" s="10" t="s">
        <v>96</v>
      </c>
      <c r="F57" s="10" t="s">
        <v>58</v>
      </c>
      <c r="G57" s="10" t="s">
        <v>94</v>
      </c>
      <c r="H57" s="10" t="s">
        <v>58</v>
      </c>
      <c r="I57" s="10" t="s">
        <v>100</v>
      </c>
      <c r="J57" s="10" t="s">
        <v>58</v>
      </c>
      <c r="K57" s="10" t="s">
        <v>101</v>
      </c>
      <c r="L57" s="10" t="s">
        <v>58</v>
      </c>
      <c r="M57" s="10" t="s">
        <v>92</v>
      </c>
      <c r="N57" s="10" t="s">
        <v>58</v>
      </c>
      <c r="O57" s="10"/>
      <c r="P57" s="10"/>
      <c r="Q57" t="s">
        <v>104</v>
      </c>
    </row>
    <row r="58" spans="2:17" x14ac:dyDescent="0.3">
      <c r="B58">
        <v>56</v>
      </c>
      <c r="C58">
        <v>6</v>
      </c>
      <c r="D58">
        <v>6</v>
      </c>
      <c r="E58" s="10" t="s">
        <v>100</v>
      </c>
      <c r="F58" s="10" t="s">
        <v>58</v>
      </c>
      <c r="G58" s="10" t="s">
        <v>98</v>
      </c>
      <c r="H58" s="10" t="s">
        <v>58</v>
      </c>
      <c r="I58" s="10" t="s">
        <v>96</v>
      </c>
      <c r="J58" s="10" t="s">
        <v>58</v>
      </c>
      <c r="K58" s="10" t="s">
        <v>90</v>
      </c>
      <c r="L58" s="10" t="s">
        <v>58</v>
      </c>
      <c r="M58" s="10" t="s">
        <v>101</v>
      </c>
      <c r="N58" s="10" t="s">
        <v>58</v>
      </c>
      <c r="O58" s="10"/>
      <c r="P58" s="10"/>
      <c r="Q58" t="s">
        <v>104</v>
      </c>
    </row>
    <row r="59" spans="2:17" x14ac:dyDescent="0.3">
      <c r="B59">
        <v>57</v>
      </c>
      <c r="C59">
        <v>6</v>
      </c>
      <c r="D59">
        <v>7</v>
      </c>
      <c r="E59" s="10" t="s">
        <v>101</v>
      </c>
      <c r="F59" s="10" t="s">
        <v>58</v>
      </c>
      <c r="G59" s="10" t="s">
        <v>96</v>
      </c>
      <c r="H59" s="10" t="s">
        <v>58</v>
      </c>
      <c r="I59" s="10" t="s">
        <v>100</v>
      </c>
      <c r="J59" s="10" t="s">
        <v>58</v>
      </c>
      <c r="K59" s="10" t="s">
        <v>94</v>
      </c>
      <c r="L59" s="10" t="s">
        <v>58</v>
      </c>
      <c r="M59" s="10" t="s">
        <v>98</v>
      </c>
      <c r="N59" s="10" t="s">
        <v>58</v>
      </c>
      <c r="O59" s="10"/>
      <c r="P59" s="10"/>
      <c r="Q59" t="s">
        <v>104</v>
      </c>
    </row>
    <row r="60" spans="2:17" x14ac:dyDescent="0.3">
      <c r="B60">
        <v>58</v>
      </c>
      <c r="C60">
        <v>6</v>
      </c>
      <c r="D60">
        <v>8</v>
      </c>
      <c r="E60" s="10" t="s">
        <v>96</v>
      </c>
      <c r="F60" s="10" t="s">
        <v>58</v>
      </c>
      <c r="G60" s="10" t="s">
        <v>100</v>
      </c>
      <c r="H60" s="10" t="s">
        <v>58</v>
      </c>
      <c r="I60" s="10" t="s">
        <v>92</v>
      </c>
      <c r="J60" s="10" t="s">
        <v>58</v>
      </c>
      <c r="K60" s="10" t="s">
        <v>101</v>
      </c>
      <c r="L60" s="10" t="s">
        <v>103</v>
      </c>
      <c r="M60" s="10" t="s">
        <v>94</v>
      </c>
      <c r="N60" s="10" t="s">
        <v>103</v>
      </c>
      <c r="O60" s="10"/>
      <c r="P60" s="10"/>
      <c r="Q60" t="s">
        <v>104</v>
      </c>
    </row>
    <row r="61" spans="2:17" x14ac:dyDescent="0.3">
      <c r="B61">
        <v>59</v>
      </c>
      <c r="C61">
        <v>6</v>
      </c>
      <c r="D61">
        <v>9</v>
      </c>
      <c r="E61" s="10" t="s">
        <v>100</v>
      </c>
      <c r="F61" s="10" t="s">
        <v>58</v>
      </c>
      <c r="G61" s="10" t="s">
        <v>101</v>
      </c>
      <c r="H61" s="10" t="s">
        <v>58</v>
      </c>
      <c r="I61" s="10" t="s">
        <v>96</v>
      </c>
      <c r="J61" s="10" t="s">
        <v>58</v>
      </c>
      <c r="K61" s="10" t="s">
        <v>98</v>
      </c>
      <c r="L61" s="10" t="s">
        <v>103</v>
      </c>
      <c r="M61" s="10" t="s">
        <v>90</v>
      </c>
      <c r="N61" s="10" t="s">
        <v>103</v>
      </c>
      <c r="O61" s="10"/>
      <c r="P61" s="10"/>
      <c r="Q61" t="s">
        <v>104</v>
      </c>
    </row>
    <row r="62" spans="2:17" x14ac:dyDescent="0.3">
      <c r="B62">
        <v>60</v>
      </c>
      <c r="C62">
        <v>6</v>
      </c>
      <c r="D62">
        <v>10</v>
      </c>
      <c r="E62" s="10" t="s">
        <v>101</v>
      </c>
      <c r="F62" s="10" t="s">
        <v>58</v>
      </c>
      <c r="G62" s="10" t="s">
        <v>96</v>
      </c>
      <c r="H62" s="10" t="s">
        <v>58</v>
      </c>
      <c r="I62" s="10" t="s">
        <v>100</v>
      </c>
      <c r="J62" s="10" t="s">
        <v>103</v>
      </c>
      <c r="K62" s="10" t="s">
        <v>94</v>
      </c>
      <c r="L62" s="10" t="s">
        <v>103</v>
      </c>
      <c r="M62" s="10" t="s">
        <v>92</v>
      </c>
      <c r="N62" s="10" t="s">
        <v>103</v>
      </c>
      <c r="O62" s="10"/>
      <c r="P62" s="10"/>
      <c r="Q62" t="s">
        <v>104</v>
      </c>
    </row>
    <row r="63" spans="2:17" x14ac:dyDescent="0.3">
      <c r="B63">
        <v>61</v>
      </c>
      <c r="C63">
        <v>7</v>
      </c>
      <c r="D63">
        <v>1</v>
      </c>
      <c r="E63" s="10" t="s">
        <v>96</v>
      </c>
      <c r="F63" s="10" t="s">
        <v>58</v>
      </c>
      <c r="G63" s="10" t="s">
        <v>100</v>
      </c>
      <c r="H63" s="10" t="s">
        <v>58</v>
      </c>
      <c r="I63" s="10" t="s">
        <v>98</v>
      </c>
      <c r="J63" s="10" t="s">
        <v>58</v>
      </c>
      <c r="K63" s="10" t="s">
        <v>101</v>
      </c>
      <c r="L63" s="10" t="s">
        <v>58</v>
      </c>
      <c r="M63" s="10" t="s">
        <v>105</v>
      </c>
      <c r="N63" s="10" t="s">
        <v>58</v>
      </c>
      <c r="O63" s="10"/>
      <c r="P63" s="10"/>
      <c r="Q63" t="s">
        <v>106</v>
      </c>
    </row>
    <row r="64" spans="2:17" x14ac:dyDescent="0.3">
      <c r="B64">
        <v>62</v>
      </c>
      <c r="C64">
        <v>7</v>
      </c>
      <c r="D64">
        <v>2</v>
      </c>
      <c r="E64" s="10" t="s">
        <v>98</v>
      </c>
      <c r="F64" s="10" t="s">
        <v>58</v>
      </c>
      <c r="G64" s="10" t="s">
        <v>96</v>
      </c>
      <c r="H64" s="10" t="s">
        <v>58</v>
      </c>
      <c r="I64" s="10" t="s">
        <v>100</v>
      </c>
      <c r="J64" s="10" t="s">
        <v>58</v>
      </c>
      <c r="K64" s="10" t="s">
        <v>101</v>
      </c>
      <c r="L64" s="10" t="s">
        <v>58</v>
      </c>
      <c r="M64" s="10" t="s">
        <v>105</v>
      </c>
      <c r="N64" s="10" t="s">
        <v>58</v>
      </c>
      <c r="O64" s="10"/>
      <c r="P64" s="10"/>
      <c r="Q64" t="s">
        <v>106</v>
      </c>
    </row>
    <row r="65" spans="2:17" x14ac:dyDescent="0.3">
      <c r="B65">
        <v>63</v>
      </c>
      <c r="C65">
        <v>7</v>
      </c>
      <c r="D65">
        <v>3</v>
      </c>
      <c r="E65" s="10" t="s">
        <v>100</v>
      </c>
      <c r="F65" s="10" t="s">
        <v>58</v>
      </c>
      <c r="G65" s="10" t="s">
        <v>96</v>
      </c>
      <c r="H65" s="10" t="s">
        <v>58</v>
      </c>
      <c r="I65" s="10" t="s">
        <v>101</v>
      </c>
      <c r="J65" s="10" t="s">
        <v>58</v>
      </c>
      <c r="K65" s="10" t="s">
        <v>98</v>
      </c>
      <c r="L65" s="10" t="s">
        <v>58</v>
      </c>
      <c r="M65" s="10" t="s">
        <v>105</v>
      </c>
      <c r="N65" s="10" t="s">
        <v>58</v>
      </c>
      <c r="O65" s="10"/>
      <c r="P65" s="10"/>
      <c r="Q65" t="s">
        <v>106</v>
      </c>
    </row>
    <row r="66" spans="2:17" x14ac:dyDescent="0.3">
      <c r="B66">
        <v>64</v>
      </c>
      <c r="C66">
        <v>7</v>
      </c>
      <c r="D66">
        <v>4</v>
      </c>
      <c r="E66" s="10" t="s">
        <v>101</v>
      </c>
      <c r="F66" s="10" t="s">
        <v>58</v>
      </c>
      <c r="G66" s="10" t="s">
        <v>98</v>
      </c>
      <c r="H66" s="10" t="s">
        <v>58</v>
      </c>
      <c r="I66" s="10" t="s">
        <v>96</v>
      </c>
      <c r="J66" s="10" t="s">
        <v>58</v>
      </c>
      <c r="K66" s="10" t="s">
        <v>100</v>
      </c>
      <c r="L66" s="10" t="s">
        <v>58</v>
      </c>
      <c r="M66" s="10" t="s">
        <v>105</v>
      </c>
      <c r="N66" s="10" t="s">
        <v>58</v>
      </c>
      <c r="O66" s="10"/>
      <c r="P66" s="10"/>
      <c r="Q66" t="s">
        <v>106</v>
      </c>
    </row>
    <row r="67" spans="2:17" x14ac:dyDescent="0.3">
      <c r="B67">
        <v>65</v>
      </c>
      <c r="C67">
        <v>7</v>
      </c>
      <c r="D67">
        <v>5</v>
      </c>
      <c r="E67" s="10" t="s">
        <v>96</v>
      </c>
      <c r="F67" s="10" t="s">
        <v>58</v>
      </c>
      <c r="G67" s="10" t="s">
        <v>101</v>
      </c>
      <c r="H67" s="10" t="s">
        <v>58</v>
      </c>
      <c r="I67" s="10" t="s">
        <v>100</v>
      </c>
      <c r="J67" s="10" t="s">
        <v>58</v>
      </c>
      <c r="K67" s="10" t="s">
        <v>98</v>
      </c>
      <c r="L67" s="10" t="s">
        <v>58</v>
      </c>
      <c r="M67" s="10" t="s">
        <v>105</v>
      </c>
      <c r="N67" s="10" t="s">
        <v>58</v>
      </c>
      <c r="O67" s="10"/>
      <c r="P67" s="10"/>
      <c r="Q67" t="s">
        <v>106</v>
      </c>
    </row>
    <row r="68" spans="2:17" x14ac:dyDescent="0.3">
      <c r="B68">
        <v>66</v>
      </c>
      <c r="C68">
        <v>7</v>
      </c>
      <c r="D68">
        <v>6</v>
      </c>
      <c r="E68" s="10" t="s">
        <v>98</v>
      </c>
      <c r="F68" s="10" t="s">
        <v>58</v>
      </c>
      <c r="G68" s="10" t="s">
        <v>100</v>
      </c>
      <c r="H68" s="10" t="s">
        <v>58</v>
      </c>
      <c r="I68" s="10" t="s">
        <v>96</v>
      </c>
      <c r="J68" s="10" t="s">
        <v>58</v>
      </c>
      <c r="K68" s="10" t="s">
        <v>101</v>
      </c>
      <c r="L68" s="10" t="s">
        <v>58</v>
      </c>
      <c r="M68" s="10" t="s">
        <v>105</v>
      </c>
      <c r="N68" s="10" t="s">
        <v>58</v>
      </c>
      <c r="O68" s="10"/>
      <c r="P68" s="10"/>
      <c r="Q68" t="s">
        <v>106</v>
      </c>
    </row>
    <row r="69" spans="2:17" x14ac:dyDescent="0.3">
      <c r="B69">
        <v>67</v>
      </c>
      <c r="C69">
        <v>7</v>
      </c>
      <c r="D69">
        <v>7</v>
      </c>
      <c r="E69" s="10" t="s">
        <v>100</v>
      </c>
      <c r="F69" s="10" t="s">
        <v>58</v>
      </c>
      <c r="G69" s="10" t="s">
        <v>101</v>
      </c>
      <c r="H69" s="10" t="s">
        <v>58</v>
      </c>
      <c r="I69" s="10" t="s">
        <v>98</v>
      </c>
      <c r="J69" s="10" t="s">
        <v>58</v>
      </c>
      <c r="K69" s="10" t="s">
        <v>96</v>
      </c>
      <c r="L69" s="10" t="s">
        <v>58</v>
      </c>
      <c r="M69" s="10" t="s">
        <v>105</v>
      </c>
      <c r="N69" s="10" t="s">
        <v>58</v>
      </c>
      <c r="O69" s="10"/>
      <c r="P69" s="10"/>
      <c r="Q69" t="s">
        <v>106</v>
      </c>
    </row>
    <row r="70" spans="2:17" x14ac:dyDescent="0.3">
      <c r="B70">
        <v>68</v>
      </c>
      <c r="C70">
        <v>7</v>
      </c>
      <c r="D70">
        <v>8</v>
      </c>
      <c r="E70" s="10" t="s">
        <v>101</v>
      </c>
      <c r="F70" s="10" t="s">
        <v>58</v>
      </c>
      <c r="G70" s="10" t="s">
        <v>96</v>
      </c>
      <c r="H70" s="10" t="s">
        <v>58</v>
      </c>
      <c r="I70" s="10" t="s">
        <v>100</v>
      </c>
      <c r="J70" s="10" t="s">
        <v>58</v>
      </c>
      <c r="K70" s="10" t="s">
        <v>98</v>
      </c>
      <c r="L70" s="10" t="s">
        <v>58</v>
      </c>
      <c r="M70" s="10" t="s">
        <v>105</v>
      </c>
      <c r="N70" s="10" t="s">
        <v>103</v>
      </c>
      <c r="O70" s="10"/>
      <c r="P70" s="10"/>
      <c r="Q70" t="s">
        <v>106</v>
      </c>
    </row>
    <row r="71" spans="2:17" x14ac:dyDescent="0.3">
      <c r="B71">
        <v>69</v>
      </c>
      <c r="C71">
        <v>7</v>
      </c>
      <c r="D71">
        <v>9</v>
      </c>
      <c r="E71" s="10" t="s">
        <v>98</v>
      </c>
      <c r="F71" s="10" t="s">
        <v>58</v>
      </c>
      <c r="G71" s="10" t="s">
        <v>101</v>
      </c>
      <c r="H71" s="10" t="s">
        <v>58</v>
      </c>
      <c r="I71" s="10" t="s">
        <v>96</v>
      </c>
      <c r="J71" s="10" t="s">
        <v>58</v>
      </c>
      <c r="K71" s="10" t="s">
        <v>100</v>
      </c>
      <c r="L71" s="10" t="s">
        <v>103</v>
      </c>
      <c r="M71" s="10" t="s">
        <v>105</v>
      </c>
      <c r="N71" s="10" t="s">
        <v>103</v>
      </c>
      <c r="O71" s="10"/>
      <c r="P71" s="10"/>
      <c r="Q71" t="s">
        <v>106</v>
      </c>
    </row>
    <row r="72" spans="2:17" x14ac:dyDescent="0.3">
      <c r="B72">
        <v>70</v>
      </c>
      <c r="C72">
        <v>7</v>
      </c>
      <c r="D72">
        <v>10</v>
      </c>
      <c r="E72" s="10" t="s">
        <v>100</v>
      </c>
      <c r="F72" s="10" t="s">
        <v>58</v>
      </c>
      <c r="G72" s="10" t="s">
        <v>98</v>
      </c>
      <c r="H72" s="10" t="s">
        <v>58</v>
      </c>
      <c r="I72" s="10" t="s">
        <v>101</v>
      </c>
      <c r="J72" s="10" t="s">
        <v>103</v>
      </c>
      <c r="K72" s="10" t="s">
        <v>96</v>
      </c>
      <c r="L72" s="10" t="s">
        <v>103</v>
      </c>
      <c r="M72" s="10" t="s">
        <v>105</v>
      </c>
      <c r="N72" s="10" t="s">
        <v>103</v>
      </c>
      <c r="O72" s="10"/>
      <c r="P72" s="10"/>
      <c r="Q72" t="s">
        <v>106</v>
      </c>
    </row>
    <row r="73" spans="2:17" x14ac:dyDescent="0.3">
      <c r="B73">
        <v>71</v>
      </c>
      <c r="C73">
        <v>8</v>
      </c>
      <c r="D73">
        <v>1</v>
      </c>
      <c r="E73" s="10" t="s">
        <v>92</v>
      </c>
      <c r="F73" s="10" t="s">
        <v>58</v>
      </c>
      <c r="G73" s="10" t="s">
        <v>100</v>
      </c>
      <c r="H73" s="10" t="s">
        <v>58</v>
      </c>
      <c r="I73" s="10" t="s">
        <v>98</v>
      </c>
      <c r="J73" s="10" t="s">
        <v>58</v>
      </c>
      <c r="K73" s="10" t="s">
        <v>101</v>
      </c>
      <c r="L73" s="10" t="s">
        <v>58</v>
      </c>
      <c r="M73" s="10" t="s">
        <v>105</v>
      </c>
      <c r="N73" s="10" t="s">
        <v>58</v>
      </c>
      <c r="O73" s="10"/>
      <c r="P73" s="10"/>
      <c r="Q73" t="s">
        <v>107</v>
      </c>
    </row>
    <row r="74" spans="2:17" x14ac:dyDescent="0.3">
      <c r="B74">
        <v>72</v>
      </c>
      <c r="C74">
        <v>8</v>
      </c>
      <c r="D74">
        <v>2</v>
      </c>
      <c r="E74" s="10" t="s">
        <v>90</v>
      </c>
      <c r="F74" s="10" t="s">
        <v>58</v>
      </c>
      <c r="G74" s="10" t="s">
        <v>96</v>
      </c>
      <c r="H74" s="10" t="s">
        <v>58</v>
      </c>
      <c r="I74" s="10" t="s">
        <v>100</v>
      </c>
      <c r="J74" s="10" t="s">
        <v>58</v>
      </c>
      <c r="K74" s="10" t="s">
        <v>101</v>
      </c>
      <c r="L74" s="10" t="s">
        <v>58</v>
      </c>
      <c r="M74" s="10" t="s">
        <v>105</v>
      </c>
      <c r="N74" s="10" t="s">
        <v>58</v>
      </c>
      <c r="O74" s="10"/>
      <c r="P74" s="10"/>
      <c r="Q74" t="s">
        <v>107</v>
      </c>
    </row>
    <row r="75" spans="2:17" x14ac:dyDescent="0.3">
      <c r="B75">
        <v>73</v>
      </c>
      <c r="C75">
        <v>8</v>
      </c>
      <c r="D75">
        <v>3</v>
      </c>
      <c r="E75" s="10" t="s">
        <v>94</v>
      </c>
      <c r="F75" s="10" t="s">
        <v>58</v>
      </c>
      <c r="G75" s="10" t="s">
        <v>98</v>
      </c>
      <c r="H75" s="10" t="s">
        <v>58</v>
      </c>
      <c r="I75" s="10" t="s">
        <v>96</v>
      </c>
      <c r="J75" s="10" t="s">
        <v>58</v>
      </c>
      <c r="K75" s="10" t="s">
        <v>100</v>
      </c>
      <c r="L75" s="10" t="s">
        <v>58</v>
      </c>
      <c r="M75" s="10" t="s">
        <v>105</v>
      </c>
      <c r="N75" s="10" t="s">
        <v>58</v>
      </c>
      <c r="O75" s="10"/>
      <c r="P75" s="10"/>
      <c r="Q75" t="s">
        <v>107</v>
      </c>
    </row>
    <row r="76" spans="2:17" x14ac:dyDescent="0.3">
      <c r="B76">
        <v>74</v>
      </c>
      <c r="C76">
        <v>8</v>
      </c>
      <c r="D76">
        <v>4</v>
      </c>
      <c r="E76" s="10" t="s">
        <v>96</v>
      </c>
      <c r="F76" s="10" t="s">
        <v>58</v>
      </c>
      <c r="G76" s="10" t="s">
        <v>101</v>
      </c>
      <c r="H76" s="10" t="s">
        <v>58</v>
      </c>
      <c r="I76" s="10" t="s">
        <v>92</v>
      </c>
      <c r="J76" s="10" t="s">
        <v>58</v>
      </c>
      <c r="K76" s="10" t="s">
        <v>100</v>
      </c>
      <c r="L76" s="10" t="s">
        <v>58</v>
      </c>
      <c r="M76" s="10" t="s">
        <v>105</v>
      </c>
      <c r="N76" s="10" t="s">
        <v>58</v>
      </c>
      <c r="O76" s="10"/>
      <c r="P76" s="10"/>
      <c r="Q76" t="s">
        <v>107</v>
      </c>
    </row>
    <row r="77" spans="2:17" x14ac:dyDescent="0.3">
      <c r="B77">
        <v>75</v>
      </c>
      <c r="C77">
        <v>8</v>
      </c>
      <c r="D77">
        <v>5</v>
      </c>
      <c r="E77" s="10" t="s">
        <v>100</v>
      </c>
      <c r="F77" s="10" t="s">
        <v>58</v>
      </c>
      <c r="G77" s="10" t="s">
        <v>94</v>
      </c>
      <c r="H77" s="10" t="s">
        <v>58</v>
      </c>
      <c r="I77" s="10" t="s">
        <v>98</v>
      </c>
      <c r="J77" s="10" t="s">
        <v>58</v>
      </c>
      <c r="K77" s="10" t="s">
        <v>101</v>
      </c>
      <c r="L77" s="10" t="s">
        <v>58</v>
      </c>
      <c r="M77" s="10" t="s">
        <v>105</v>
      </c>
      <c r="N77" s="10" t="s">
        <v>58</v>
      </c>
      <c r="O77" s="10"/>
      <c r="P77" s="10"/>
      <c r="Q77" t="s">
        <v>107</v>
      </c>
    </row>
    <row r="78" spans="2:17" x14ac:dyDescent="0.3">
      <c r="B78">
        <v>76</v>
      </c>
      <c r="C78">
        <v>8</v>
      </c>
      <c r="D78">
        <v>6</v>
      </c>
      <c r="E78" s="10" t="s">
        <v>101</v>
      </c>
      <c r="F78" s="10" t="s">
        <v>58</v>
      </c>
      <c r="G78" s="10" t="s">
        <v>90</v>
      </c>
      <c r="H78" s="10" t="s">
        <v>58</v>
      </c>
      <c r="I78" s="10" t="s">
        <v>96</v>
      </c>
      <c r="J78" s="10" t="s">
        <v>58</v>
      </c>
      <c r="K78" s="10" t="s">
        <v>100</v>
      </c>
      <c r="L78" s="10" t="s">
        <v>58</v>
      </c>
      <c r="M78" s="10" t="s">
        <v>105</v>
      </c>
      <c r="N78" s="10" t="s">
        <v>58</v>
      </c>
      <c r="O78" s="10"/>
      <c r="P78" s="10"/>
      <c r="Q78" t="s">
        <v>107</v>
      </c>
    </row>
    <row r="79" spans="2:17" x14ac:dyDescent="0.3">
      <c r="B79">
        <v>77</v>
      </c>
      <c r="C79">
        <v>8</v>
      </c>
      <c r="D79">
        <v>7</v>
      </c>
      <c r="E79" s="10" t="s">
        <v>98</v>
      </c>
      <c r="F79" s="10" t="s">
        <v>58</v>
      </c>
      <c r="G79" s="10" t="s">
        <v>100</v>
      </c>
      <c r="H79" s="10" t="s">
        <v>58</v>
      </c>
      <c r="I79" s="10" t="s">
        <v>92</v>
      </c>
      <c r="J79" s="10" t="s">
        <v>58</v>
      </c>
      <c r="K79" s="10" t="s">
        <v>101</v>
      </c>
      <c r="L79" s="10" t="s">
        <v>103</v>
      </c>
      <c r="M79" s="10" t="s">
        <v>105</v>
      </c>
      <c r="N79" s="10" t="s">
        <v>58</v>
      </c>
      <c r="O79" s="10"/>
      <c r="P79" s="10"/>
      <c r="Q79" t="s">
        <v>107</v>
      </c>
    </row>
    <row r="80" spans="2:17" x14ac:dyDescent="0.3">
      <c r="B80">
        <v>78</v>
      </c>
      <c r="C80">
        <v>8</v>
      </c>
      <c r="D80">
        <v>8</v>
      </c>
      <c r="E80" s="10" t="s">
        <v>96</v>
      </c>
      <c r="F80" s="10" t="s">
        <v>58</v>
      </c>
      <c r="G80" s="10" t="s">
        <v>94</v>
      </c>
      <c r="H80" s="10" t="s">
        <v>58</v>
      </c>
      <c r="I80" s="10" t="s">
        <v>100</v>
      </c>
      <c r="J80" s="10" t="s">
        <v>103</v>
      </c>
      <c r="K80" s="10" t="s">
        <v>98</v>
      </c>
      <c r="L80" s="10" t="s">
        <v>103</v>
      </c>
      <c r="M80" s="10" t="s">
        <v>101</v>
      </c>
      <c r="N80" s="10" t="s">
        <v>103</v>
      </c>
      <c r="O80" s="10" t="s">
        <v>105</v>
      </c>
      <c r="P80" s="10" t="s">
        <v>58</v>
      </c>
      <c r="Q80" t="s">
        <v>107</v>
      </c>
    </row>
    <row r="81" spans="2:17" x14ac:dyDescent="0.3">
      <c r="B81">
        <v>79</v>
      </c>
      <c r="C81">
        <v>8</v>
      </c>
      <c r="D81">
        <v>9</v>
      </c>
      <c r="E81" s="10" t="s">
        <v>90</v>
      </c>
      <c r="F81" s="10" t="s">
        <v>58</v>
      </c>
      <c r="G81" s="10" t="s">
        <v>101</v>
      </c>
      <c r="H81" s="10" t="s">
        <v>58</v>
      </c>
      <c r="I81" s="10" t="s">
        <v>96</v>
      </c>
      <c r="J81" s="10" t="s">
        <v>103</v>
      </c>
      <c r="K81" s="10" t="s">
        <v>100</v>
      </c>
      <c r="L81" s="10" t="s">
        <v>103</v>
      </c>
      <c r="M81" s="10" t="s">
        <v>98</v>
      </c>
      <c r="N81" s="10" t="s">
        <v>103</v>
      </c>
      <c r="O81" s="10" t="s">
        <v>105</v>
      </c>
      <c r="P81" s="10" t="s">
        <v>103</v>
      </c>
      <c r="Q81" t="s">
        <v>107</v>
      </c>
    </row>
    <row r="82" spans="2:17" x14ac:dyDescent="0.3">
      <c r="B82">
        <v>80</v>
      </c>
      <c r="C82">
        <v>8</v>
      </c>
      <c r="D82">
        <v>10</v>
      </c>
      <c r="E82" s="10" t="s">
        <v>92</v>
      </c>
      <c r="F82" s="10" t="s">
        <v>58</v>
      </c>
      <c r="G82" s="10" t="s">
        <v>100</v>
      </c>
      <c r="H82" s="10" t="s">
        <v>58</v>
      </c>
      <c r="I82" s="10" t="s">
        <v>101</v>
      </c>
      <c r="J82" s="10" t="s">
        <v>58</v>
      </c>
      <c r="K82" s="10" t="s">
        <v>105</v>
      </c>
      <c r="L82" s="10" t="s">
        <v>103</v>
      </c>
      <c r="M82" s="10" t="s">
        <v>96</v>
      </c>
      <c r="N82" s="10" t="s">
        <v>103</v>
      </c>
      <c r="O82" s="10" t="s">
        <v>98</v>
      </c>
      <c r="P82" s="10" t="s">
        <v>103</v>
      </c>
      <c r="Q82" t="s">
        <v>107</v>
      </c>
    </row>
    <row r="83" spans="2:17" x14ac:dyDescent="0.3">
      <c r="B83">
        <v>81</v>
      </c>
      <c r="C83">
        <v>9</v>
      </c>
      <c r="D83">
        <v>1</v>
      </c>
      <c r="E83" s="10" t="s">
        <v>96</v>
      </c>
      <c r="F83" s="10" t="s">
        <v>58</v>
      </c>
      <c r="G83" s="10" t="s">
        <v>100</v>
      </c>
      <c r="H83" s="10" t="s">
        <v>58</v>
      </c>
      <c r="I83" s="10" t="s">
        <v>105</v>
      </c>
      <c r="J83" s="10" t="s">
        <v>58</v>
      </c>
      <c r="K83" s="10" t="s">
        <v>101</v>
      </c>
      <c r="L83" s="10" t="s">
        <v>58</v>
      </c>
      <c r="M83" s="10" t="s">
        <v>98</v>
      </c>
      <c r="N83" s="10" t="s">
        <v>103</v>
      </c>
      <c r="O83" s="10"/>
      <c r="P83" s="10"/>
      <c r="Q83" t="s">
        <v>108</v>
      </c>
    </row>
    <row r="84" spans="2:17" x14ac:dyDescent="0.3">
      <c r="B84">
        <v>82</v>
      </c>
      <c r="C84">
        <v>9</v>
      </c>
      <c r="D84">
        <v>2</v>
      </c>
      <c r="E84" s="10" t="s">
        <v>94</v>
      </c>
      <c r="F84" s="10" t="s">
        <v>58</v>
      </c>
      <c r="G84" s="10" t="s">
        <v>101</v>
      </c>
      <c r="H84" s="10" t="s">
        <v>58</v>
      </c>
      <c r="I84" s="10" t="s">
        <v>100</v>
      </c>
      <c r="J84" s="10" t="s">
        <v>58</v>
      </c>
      <c r="K84" s="10" t="s">
        <v>105</v>
      </c>
      <c r="L84" s="10" t="s">
        <v>58</v>
      </c>
      <c r="M84" s="10" t="s">
        <v>96</v>
      </c>
      <c r="N84" s="10" t="s">
        <v>103</v>
      </c>
      <c r="O84" s="10"/>
      <c r="P84" s="10"/>
      <c r="Q84" t="s">
        <v>108</v>
      </c>
    </row>
    <row r="85" spans="2:17" x14ac:dyDescent="0.3">
      <c r="B85">
        <v>83</v>
      </c>
      <c r="C85">
        <v>9</v>
      </c>
      <c r="D85">
        <v>3</v>
      </c>
      <c r="E85" s="10" t="s">
        <v>90</v>
      </c>
      <c r="F85" s="10" t="s">
        <v>58</v>
      </c>
      <c r="G85" s="10" t="s">
        <v>98</v>
      </c>
      <c r="H85" s="10" t="s">
        <v>58</v>
      </c>
      <c r="I85" s="10" t="s">
        <v>101</v>
      </c>
      <c r="J85" s="10" t="s">
        <v>58</v>
      </c>
      <c r="K85" s="10" t="s">
        <v>100</v>
      </c>
      <c r="L85" s="10" t="s">
        <v>103</v>
      </c>
      <c r="M85" s="10" t="s">
        <v>105</v>
      </c>
      <c r="N85" s="10" t="s">
        <v>103</v>
      </c>
      <c r="O85" s="10"/>
      <c r="P85" s="10"/>
      <c r="Q85" t="s">
        <v>108</v>
      </c>
    </row>
    <row r="86" spans="2:17" x14ac:dyDescent="0.3">
      <c r="B86">
        <v>84</v>
      </c>
      <c r="C86">
        <v>9</v>
      </c>
      <c r="D86">
        <v>4</v>
      </c>
      <c r="E86" s="10" t="s">
        <v>92</v>
      </c>
      <c r="F86" s="10" t="s">
        <v>58</v>
      </c>
      <c r="G86" s="10" t="s">
        <v>96</v>
      </c>
      <c r="H86" s="10" t="s">
        <v>58</v>
      </c>
      <c r="I86" s="10" t="s">
        <v>100</v>
      </c>
      <c r="J86" s="10" t="s">
        <v>103</v>
      </c>
      <c r="K86" s="10" t="s">
        <v>98</v>
      </c>
      <c r="L86" s="10" t="s">
        <v>103</v>
      </c>
      <c r="M86" s="10" t="s">
        <v>105</v>
      </c>
      <c r="N86" s="10" t="s">
        <v>103</v>
      </c>
      <c r="O86" s="10"/>
      <c r="P86" s="10"/>
      <c r="Q86" t="s">
        <v>108</v>
      </c>
    </row>
    <row r="87" spans="2:17" x14ac:dyDescent="0.3">
      <c r="B87">
        <v>85</v>
      </c>
      <c r="C87">
        <v>9</v>
      </c>
      <c r="D87">
        <v>5</v>
      </c>
      <c r="E87" s="10" t="s">
        <v>101</v>
      </c>
      <c r="F87" s="10" t="s">
        <v>58</v>
      </c>
      <c r="G87" s="10" t="s">
        <v>94</v>
      </c>
      <c r="H87" s="10" t="s">
        <v>58</v>
      </c>
      <c r="I87" s="10" t="s">
        <v>105</v>
      </c>
      <c r="J87" s="10" t="s">
        <v>58</v>
      </c>
      <c r="K87" s="10" t="s">
        <v>100</v>
      </c>
      <c r="L87" s="10" t="s">
        <v>103</v>
      </c>
      <c r="M87" s="10" t="s">
        <v>96</v>
      </c>
      <c r="N87" s="10" t="s">
        <v>103</v>
      </c>
      <c r="O87" s="10"/>
      <c r="P87" s="10"/>
      <c r="Q87" t="s">
        <v>108</v>
      </c>
    </row>
    <row r="88" spans="2:17" x14ac:dyDescent="0.3">
      <c r="B88">
        <v>86</v>
      </c>
      <c r="C88">
        <v>9</v>
      </c>
      <c r="D88">
        <v>6</v>
      </c>
      <c r="E88" s="10" t="s">
        <v>100</v>
      </c>
      <c r="F88" s="10" t="s">
        <v>58</v>
      </c>
      <c r="G88" s="10" t="s">
        <v>90</v>
      </c>
      <c r="H88" s="10" t="s">
        <v>58</v>
      </c>
      <c r="I88" s="10" t="s">
        <v>98</v>
      </c>
      <c r="J88" s="10" t="s">
        <v>103</v>
      </c>
      <c r="K88" s="10" t="s">
        <v>101</v>
      </c>
      <c r="L88" s="10" t="s">
        <v>103</v>
      </c>
      <c r="M88" s="10" t="s">
        <v>105</v>
      </c>
      <c r="N88" s="10" t="s">
        <v>103</v>
      </c>
      <c r="O88" s="10" t="s">
        <v>96</v>
      </c>
      <c r="P88" s="10" t="s">
        <v>58</v>
      </c>
      <c r="Q88" t="s">
        <v>108</v>
      </c>
    </row>
    <row r="89" spans="2:17" x14ac:dyDescent="0.3">
      <c r="B89">
        <v>87</v>
      </c>
      <c r="C89">
        <v>9</v>
      </c>
      <c r="D89">
        <v>7</v>
      </c>
      <c r="E89" s="10" t="s">
        <v>96</v>
      </c>
      <c r="F89" s="10" t="s">
        <v>58</v>
      </c>
      <c r="G89" s="10" t="s">
        <v>105</v>
      </c>
      <c r="H89" s="10" t="s">
        <v>58</v>
      </c>
      <c r="I89" s="10" t="s">
        <v>100</v>
      </c>
      <c r="J89" s="10" t="s">
        <v>103</v>
      </c>
      <c r="K89" s="10" t="s">
        <v>101</v>
      </c>
      <c r="L89" s="10" t="s">
        <v>103</v>
      </c>
      <c r="M89" s="10" t="s">
        <v>98</v>
      </c>
      <c r="N89" s="10" t="s">
        <v>103</v>
      </c>
      <c r="O89" s="10" t="s">
        <v>94</v>
      </c>
      <c r="P89" s="10" t="s">
        <v>58</v>
      </c>
      <c r="Q89" t="s">
        <v>108</v>
      </c>
    </row>
    <row r="90" spans="2:17" x14ac:dyDescent="0.3">
      <c r="B90">
        <v>88</v>
      </c>
      <c r="C90">
        <v>9</v>
      </c>
      <c r="D90">
        <v>8</v>
      </c>
      <c r="E90" s="10" t="s">
        <v>98</v>
      </c>
      <c r="F90" s="10" t="s">
        <v>58</v>
      </c>
      <c r="G90" s="10" t="s">
        <v>100</v>
      </c>
      <c r="H90" s="10" t="s">
        <v>58</v>
      </c>
      <c r="I90" s="10" t="s">
        <v>105</v>
      </c>
      <c r="J90" s="10" t="s">
        <v>103</v>
      </c>
      <c r="K90" s="10" t="s">
        <v>96</v>
      </c>
      <c r="L90" s="10" t="s">
        <v>103</v>
      </c>
      <c r="M90" s="10" t="s">
        <v>101</v>
      </c>
      <c r="N90" s="10" t="s">
        <v>103</v>
      </c>
      <c r="O90" s="10" t="s">
        <v>90</v>
      </c>
      <c r="P90" s="10" t="s">
        <v>58</v>
      </c>
      <c r="Q90" t="s">
        <v>108</v>
      </c>
    </row>
    <row r="91" spans="2:17" x14ac:dyDescent="0.3">
      <c r="B91">
        <v>89</v>
      </c>
      <c r="C91">
        <v>9</v>
      </c>
      <c r="D91">
        <v>9</v>
      </c>
      <c r="E91" s="10" t="s">
        <v>101</v>
      </c>
      <c r="F91" s="10" t="s">
        <v>58</v>
      </c>
      <c r="G91" s="10" t="s">
        <v>96</v>
      </c>
      <c r="H91" s="10" t="s">
        <v>58</v>
      </c>
      <c r="I91" s="10" t="s">
        <v>100</v>
      </c>
      <c r="J91" s="10" t="s">
        <v>103</v>
      </c>
      <c r="K91" s="10" t="s">
        <v>105</v>
      </c>
      <c r="L91" s="10" t="s">
        <v>103</v>
      </c>
      <c r="M91" s="10" t="s">
        <v>98</v>
      </c>
      <c r="N91" s="10" t="s">
        <v>103</v>
      </c>
      <c r="O91" s="10" t="s">
        <v>92</v>
      </c>
      <c r="P91" s="10" t="s">
        <v>103</v>
      </c>
      <c r="Q91" t="s">
        <v>108</v>
      </c>
    </row>
    <row r="92" spans="2:17" x14ac:dyDescent="0.3">
      <c r="B92">
        <v>90</v>
      </c>
      <c r="C92">
        <v>9</v>
      </c>
      <c r="D92">
        <v>10</v>
      </c>
      <c r="E92" s="10" t="s">
        <v>105</v>
      </c>
      <c r="F92" s="10" t="s">
        <v>58</v>
      </c>
      <c r="G92" s="10" t="s">
        <v>100</v>
      </c>
      <c r="H92" s="10" t="s">
        <v>58</v>
      </c>
      <c r="I92" s="10" t="s">
        <v>101</v>
      </c>
      <c r="J92" s="10" t="s">
        <v>103</v>
      </c>
      <c r="K92" s="10" t="s">
        <v>96</v>
      </c>
      <c r="L92" s="10" t="s">
        <v>103</v>
      </c>
      <c r="M92" s="10" t="s">
        <v>98</v>
      </c>
      <c r="N92" s="10" t="s">
        <v>103</v>
      </c>
      <c r="O92" s="10" t="s">
        <v>94</v>
      </c>
      <c r="P92" s="10" t="s">
        <v>103</v>
      </c>
      <c r="Q92" t="s">
        <v>108</v>
      </c>
    </row>
    <row r="93" spans="2:17" x14ac:dyDescent="0.3">
      <c r="B93">
        <v>91</v>
      </c>
      <c r="C93">
        <v>10</v>
      </c>
      <c r="D93">
        <v>1</v>
      </c>
      <c r="E93" s="10" t="s">
        <v>100</v>
      </c>
      <c r="F93" s="10" t="s">
        <v>58</v>
      </c>
      <c r="G93" s="10" t="s">
        <v>101</v>
      </c>
      <c r="H93" s="10" t="s">
        <v>58</v>
      </c>
      <c r="I93" s="10" t="s">
        <v>105</v>
      </c>
      <c r="J93" s="10" t="s">
        <v>103</v>
      </c>
      <c r="K93" s="10" t="s">
        <v>96</v>
      </c>
      <c r="L93" s="10" t="s">
        <v>103</v>
      </c>
      <c r="M93" s="10" t="s">
        <v>98</v>
      </c>
      <c r="N93" s="10" t="s">
        <v>103</v>
      </c>
      <c r="O93" s="10" t="s">
        <v>92</v>
      </c>
      <c r="P93" s="10" t="s">
        <v>103</v>
      </c>
      <c r="Q93" t="s">
        <v>109</v>
      </c>
    </row>
    <row r="94" spans="2:17" x14ac:dyDescent="0.3">
      <c r="B94">
        <v>92</v>
      </c>
      <c r="C94">
        <v>10</v>
      </c>
      <c r="D94">
        <v>2</v>
      </c>
      <c r="E94" s="10" t="s">
        <v>96</v>
      </c>
      <c r="F94" s="10" t="s">
        <v>58</v>
      </c>
      <c r="G94" s="10" t="s">
        <v>100</v>
      </c>
      <c r="H94" s="10" t="s">
        <v>58</v>
      </c>
      <c r="I94" s="10" t="s">
        <v>98</v>
      </c>
      <c r="J94" s="10" t="s">
        <v>103</v>
      </c>
      <c r="K94" s="10" t="s">
        <v>105</v>
      </c>
      <c r="L94" s="10" t="s">
        <v>103</v>
      </c>
      <c r="M94" s="10" t="s">
        <v>101</v>
      </c>
      <c r="N94" s="10" t="s">
        <v>103</v>
      </c>
      <c r="O94" s="10" t="s">
        <v>94</v>
      </c>
      <c r="P94" s="10" t="s">
        <v>103</v>
      </c>
      <c r="Q94" t="s">
        <v>109</v>
      </c>
    </row>
    <row r="95" spans="2:17" x14ac:dyDescent="0.3">
      <c r="B95">
        <v>93</v>
      </c>
      <c r="C95">
        <v>10</v>
      </c>
      <c r="D95">
        <v>3</v>
      </c>
      <c r="E95" s="10" t="s">
        <v>101</v>
      </c>
      <c r="F95" s="10" t="s">
        <v>58</v>
      </c>
      <c r="G95" s="10" t="s">
        <v>105</v>
      </c>
      <c r="H95" s="10" t="s">
        <v>58</v>
      </c>
      <c r="I95" s="10" t="s">
        <v>100</v>
      </c>
      <c r="J95" s="10" t="s">
        <v>103</v>
      </c>
      <c r="K95" s="10" t="s">
        <v>96</v>
      </c>
      <c r="L95" s="10" t="s">
        <v>103</v>
      </c>
      <c r="M95" s="10" t="s">
        <v>98</v>
      </c>
      <c r="N95" s="10" t="s">
        <v>103</v>
      </c>
      <c r="O95" s="10" t="s">
        <v>90</v>
      </c>
      <c r="P95" s="10" t="s">
        <v>103</v>
      </c>
      <c r="Q95" t="s">
        <v>109</v>
      </c>
    </row>
    <row r="96" spans="2:17" x14ac:dyDescent="0.3">
      <c r="B96">
        <v>94</v>
      </c>
      <c r="C96">
        <v>10</v>
      </c>
      <c r="D96">
        <v>4</v>
      </c>
      <c r="E96" s="10" t="s">
        <v>98</v>
      </c>
      <c r="F96" s="10" t="s">
        <v>58</v>
      </c>
      <c r="G96" s="10" t="s">
        <v>96</v>
      </c>
      <c r="H96" s="10" t="s">
        <v>58</v>
      </c>
      <c r="I96" s="10" t="s">
        <v>105</v>
      </c>
      <c r="J96" s="10" t="s">
        <v>103</v>
      </c>
      <c r="K96" s="10" t="s">
        <v>101</v>
      </c>
      <c r="L96" s="10" t="s">
        <v>103</v>
      </c>
      <c r="M96" s="10" t="s">
        <v>100</v>
      </c>
      <c r="N96" s="10" t="s">
        <v>103</v>
      </c>
      <c r="O96" s="10" t="s">
        <v>92</v>
      </c>
      <c r="P96" s="10" t="s">
        <v>103</v>
      </c>
      <c r="Q96" t="s">
        <v>109</v>
      </c>
    </row>
    <row r="97" spans="2:17" x14ac:dyDescent="0.3">
      <c r="B97">
        <v>95</v>
      </c>
      <c r="C97">
        <v>10</v>
      </c>
      <c r="D97">
        <v>5</v>
      </c>
      <c r="E97" s="10" t="s">
        <v>105</v>
      </c>
      <c r="F97" s="10" t="s">
        <v>58</v>
      </c>
      <c r="G97" s="10" t="s">
        <v>100</v>
      </c>
      <c r="H97" s="10" t="s">
        <v>103</v>
      </c>
      <c r="I97" s="10" t="s">
        <v>96</v>
      </c>
      <c r="J97" s="10" t="s">
        <v>103</v>
      </c>
      <c r="K97" s="10" t="s">
        <v>98</v>
      </c>
      <c r="L97" s="10" t="s">
        <v>103</v>
      </c>
      <c r="M97" s="10" t="s">
        <v>101</v>
      </c>
      <c r="N97" s="10" t="s">
        <v>103</v>
      </c>
      <c r="O97" s="10" t="s">
        <v>94</v>
      </c>
      <c r="P97" s="10" t="s">
        <v>103</v>
      </c>
      <c r="Q97" t="s">
        <v>109</v>
      </c>
    </row>
    <row r="98" spans="2:17" x14ac:dyDescent="0.3">
      <c r="B98">
        <v>96</v>
      </c>
      <c r="C98">
        <v>10</v>
      </c>
      <c r="D98">
        <v>6</v>
      </c>
      <c r="E98" s="10" t="s">
        <v>100</v>
      </c>
      <c r="F98" s="10" t="s">
        <v>58</v>
      </c>
      <c r="G98" s="10" t="s">
        <v>105</v>
      </c>
      <c r="H98" s="10" t="s">
        <v>58</v>
      </c>
      <c r="I98" s="10" t="s">
        <v>101</v>
      </c>
      <c r="J98" s="10" t="s">
        <v>103</v>
      </c>
      <c r="K98" s="10" t="s">
        <v>98</v>
      </c>
      <c r="L98" s="10" t="s">
        <v>103</v>
      </c>
      <c r="M98" s="10" t="s">
        <v>96</v>
      </c>
      <c r="N98" s="10" t="s">
        <v>103</v>
      </c>
      <c r="O98" s="10" t="s">
        <v>90</v>
      </c>
      <c r="P98" s="10" t="s">
        <v>103</v>
      </c>
      <c r="Q98" t="s">
        <v>109</v>
      </c>
    </row>
    <row r="99" spans="2:17" x14ac:dyDescent="0.3">
      <c r="B99">
        <v>97</v>
      </c>
      <c r="C99">
        <v>10</v>
      </c>
      <c r="D99">
        <v>7</v>
      </c>
      <c r="E99" s="10" t="s">
        <v>96</v>
      </c>
      <c r="F99" s="10" t="s">
        <v>58</v>
      </c>
      <c r="G99" s="10" t="s">
        <v>100</v>
      </c>
      <c r="H99" s="10" t="s">
        <v>103</v>
      </c>
      <c r="I99" s="10" t="s">
        <v>105</v>
      </c>
      <c r="J99" s="10" t="s">
        <v>103</v>
      </c>
      <c r="K99" s="10" t="s">
        <v>101</v>
      </c>
      <c r="L99" s="10" t="s">
        <v>103</v>
      </c>
      <c r="M99" s="10" t="s">
        <v>98</v>
      </c>
      <c r="N99" s="10" t="s">
        <v>103</v>
      </c>
      <c r="O99" s="10" t="s">
        <v>92</v>
      </c>
      <c r="P99" s="10" t="s">
        <v>103</v>
      </c>
      <c r="Q99" t="s">
        <v>109</v>
      </c>
    </row>
    <row r="100" spans="2:17" x14ac:dyDescent="0.3">
      <c r="B100">
        <v>98</v>
      </c>
      <c r="C100">
        <v>10</v>
      </c>
      <c r="D100">
        <v>8</v>
      </c>
      <c r="E100" s="10" t="s">
        <v>101</v>
      </c>
      <c r="F100" s="10" t="s">
        <v>58</v>
      </c>
      <c r="G100" s="10" t="s">
        <v>98</v>
      </c>
      <c r="H100" s="10" t="s">
        <v>103</v>
      </c>
      <c r="I100" s="10" t="s">
        <v>96</v>
      </c>
      <c r="J100" s="10" t="s">
        <v>103</v>
      </c>
      <c r="K100" s="10" t="s">
        <v>105</v>
      </c>
      <c r="L100" s="10" t="s">
        <v>103</v>
      </c>
      <c r="M100" s="10" t="s">
        <v>100</v>
      </c>
      <c r="N100" s="10" t="s">
        <v>103</v>
      </c>
      <c r="O100" s="10" t="s">
        <v>94</v>
      </c>
      <c r="P100" s="10" t="s">
        <v>103</v>
      </c>
      <c r="Q100" t="s">
        <v>109</v>
      </c>
    </row>
    <row r="101" spans="2:17" x14ac:dyDescent="0.3">
      <c r="B101">
        <v>99</v>
      </c>
      <c r="C101">
        <v>10</v>
      </c>
      <c r="D101">
        <v>9</v>
      </c>
      <c r="E101" s="10" t="s">
        <v>105</v>
      </c>
      <c r="F101" s="10" t="s">
        <v>58</v>
      </c>
      <c r="G101" s="10" t="s">
        <v>100</v>
      </c>
      <c r="H101" s="10" t="s">
        <v>103</v>
      </c>
      <c r="I101" s="10" t="s">
        <v>101</v>
      </c>
      <c r="J101" s="10" t="s">
        <v>103</v>
      </c>
      <c r="K101" s="10" t="s">
        <v>96</v>
      </c>
      <c r="L101" s="10" t="s">
        <v>103</v>
      </c>
      <c r="M101" s="10" t="s">
        <v>98</v>
      </c>
      <c r="N101" s="10" t="s">
        <v>103</v>
      </c>
      <c r="O101" s="10" t="s">
        <v>90</v>
      </c>
      <c r="P101" s="10" t="s">
        <v>103</v>
      </c>
      <c r="Q101" t="s">
        <v>109</v>
      </c>
    </row>
    <row r="102" spans="2:17" x14ac:dyDescent="0.3">
      <c r="B102">
        <v>100</v>
      </c>
      <c r="C102">
        <v>10</v>
      </c>
      <c r="D102">
        <v>10</v>
      </c>
      <c r="E102" s="10" t="s">
        <v>100</v>
      </c>
      <c r="F102" s="10" t="s">
        <v>58</v>
      </c>
      <c r="G102" s="10" t="s">
        <v>105</v>
      </c>
      <c r="H102" s="10" t="s">
        <v>103</v>
      </c>
      <c r="I102" s="10" t="s">
        <v>96</v>
      </c>
      <c r="J102" s="10" t="s">
        <v>103</v>
      </c>
      <c r="K102" s="10" t="s">
        <v>101</v>
      </c>
      <c r="L102" s="10" t="s">
        <v>103</v>
      </c>
      <c r="M102" s="10" t="s">
        <v>98</v>
      </c>
      <c r="N102" s="10" t="s">
        <v>103</v>
      </c>
      <c r="O102" s="10" t="s">
        <v>92</v>
      </c>
      <c r="P102" s="10" t="s">
        <v>103</v>
      </c>
      <c r="Q102" t="s">
        <v>109</v>
      </c>
    </row>
    <row r="103" spans="2:17" x14ac:dyDescent="0.3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2:17" x14ac:dyDescent="0.3"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2:17" x14ac:dyDescent="0.3"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2:17" x14ac:dyDescent="0.3"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2:17" x14ac:dyDescent="0.3"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2:17" x14ac:dyDescent="0.3"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2:17" x14ac:dyDescent="0.3"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2:17" x14ac:dyDescent="0.3"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2:17" x14ac:dyDescent="0.3"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2:17" x14ac:dyDescent="0.3"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5:16" x14ac:dyDescent="0.3"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5:16" x14ac:dyDescent="0.3"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5:16" x14ac:dyDescent="0.3"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5:16" x14ac:dyDescent="0.3"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5:16" x14ac:dyDescent="0.3"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5:16" x14ac:dyDescent="0.3"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5:16" x14ac:dyDescent="0.3"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5:16" x14ac:dyDescent="0.3"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5:16" x14ac:dyDescent="0.3"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5:16" x14ac:dyDescent="0.3"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5:16" x14ac:dyDescent="0.3"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5:16" x14ac:dyDescent="0.3"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5:16" x14ac:dyDescent="0.3"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5:16" x14ac:dyDescent="0.3"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5:16" x14ac:dyDescent="0.3"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B10"/>
  <sheetViews>
    <sheetView workbookViewId="0">
      <selection activeCell="F17" sqref="F17"/>
    </sheetView>
  </sheetViews>
  <sheetFormatPr defaultRowHeight="16.5" x14ac:dyDescent="0.3"/>
  <sheetData>
    <row r="1" spans="1:2" x14ac:dyDescent="0.3">
      <c r="A1" t="s">
        <v>110</v>
      </c>
      <c r="B1" t="s">
        <v>111</v>
      </c>
    </row>
    <row r="2" spans="1:2" x14ac:dyDescent="0.3">
      <c r="A2" t="s">
        <v>112</v>
      </c>
      <c r="B2" t="s">
        <v>91</v>
      </c>
    </row>
    <row r="3" spans="1:2" x14ac:dyDescent="0.3">
      <c r="A3" t="s">
        <v>92</v>
      </c>
      <c r="B3" t="s">
        <v>58</v>
      </c>
    </row>
    <row r="4" spans="1:2" x14ac:dyDescent="0.3">
      <c r="A4" t="s">
        <v>90</v>
      </c>
      <c r="B4" t="s">
        <v>103</v>
      </c>
    </row>
    <row r="5" spans="1:2" x14ac:dyDescent="0.3">
      <c r="A5" t="s">
        <v>100</v>
      </c>
    </row>
    <row r="6" spans="1:2" x14ac:dyDescent="0.3">
      <c r="A6" t="s">
        <v>96</v>
      </c>
    </row>
    <row r="7" spans="1:2" x14ac:dyDescent="0.3">
      <c r="A7" t="s">
        <v>105</v>
      </c>
    </row>
    <row r="8" spans="1:2" x14ac:dyDescent="0.3">
      <c r="A8" t="s">
        <v>101</v>
      </c>
    </row>
    <row r="9" spans="1:2" x14ac:dyDescent="0.3">
      <c r="A9" t="s">
        <v>94</v>
      </c>
    </row>
    <row r="10" spans="1:2" x14ac:dyDescent="0.3">
      <c r="A10" t="s">
        <v>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5"/>
  <sheetViews>
    <sheetView tabSelected="1" workbookViewId="0">
      <selection activeCell="D5" sqref="D5"/>
    </sheetView>
  </sheetViews>
  <sheetFormatPr defaultRowHeight="16.5" x14ac:dyDescent="0.3"/>
  <cols>
    <col min="2" max="2" width="20.5" customWidth="1"/>
  </cols>
  <sheetData>
    <row r="2" spans="2:6" x14ac:dyDescent="0.3">
      <c r="B2" t="s">
        <v>113</v>
      </c>
      <c r="C2" t="s">
        <v>114</v>
      </c>
      <c r="D2" t="s">
        <v>116</v>
      </c>
      <c r="E2" t="s">
        <v>117</v>
      </c>
      <c r="F2" t="s">
        <v>119</v>
      </c>
    </row>
    <row r="3" spans="2:6" x14ac:dyDescent="0.3">
      <c r="B3" t="s">
        <v>118</v>
      </c>
      <c r="C3" t="s">
        <v>115</v>
      </c>
      <c r="D3">
        <v>4</v>
      </c>
      <c r="E3">
        <v>6</v>
      </c>
      <c r="F3">
        <v>0.05</v>
      </c>
    </row>
    <row r="4" spans="2:6" x14ac:dyDescent="0.3">
      <c r="B4" t="s">
        <v>121</v>
      </c>
      <c r="C4" t="s">
        <v>120</v>
      </c>
      <c r="D4">
        <v>50</v>
      </c>
    </row>
    <row r="5" spans="2:6" x14ac:dyDescent="0.3">
      <c r="B5" t="s">
        <v>122</v>
      </c>
      <c r="C5" t="s">
        <v>120</v>
      </c>
      <c r="D5">
        <v>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ljh</cp:lastModifiedBy>
  <dcterms:created xsi:type="dcterms:W3CDTF">2015-06-05T18:19:34Z</dcterms:created>
  <dcterms:modified xsi:type="dcterms:W3CDTF">2026-03-25T13:10:40Z</dcterms:modified>
</cp:coreProperties>
</file>