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<sst xmlns="http://schemas.openxmlformats.org/spreadsheetml/2006/main" count="5031" uniqueCount="786">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</sst>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>
        <f>ROUND('밸런스 조정'!$E$3+'밸런스 조정'!$F$3*(D6-1)+'밸런스 조정'!$C$69*MAX(0,D6-3)^2,0)</f>
        <v>28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>
        <f>ROUND('밸런스 조정'!$E$3+'밸런스 조정'!$F$3*(D7-1)+'밸런스 조정'!$C$69*MAX(0,D7-3)^2,0)</f>
        <v>42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>
        <f>ROUND('밸런스 조정'!$E$3+'밸런스 조정'!$F$3*(D8-1)+'밸런스 조정'!$C$69*MAX(0,D8-3)^2,0)</f>
        <v>63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>
        <f>ROUND('밸런스 조정'!$E$3+'밸런스 조정'!$F$3*(D9-1)+'밸런스 조정'!$C$69*MAX(0,D9-3)^2,0)</f>
        <v>90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>
        <f>ROUND('밸런스 조정'!$E$3+'밸런스 조정'!$F$3*(D10-1)+'밸런스 조정'!$C$69*MAX(0,D10-3)^2,0)</f>
        <v>123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>
        <f>ROUND('밸런스 조정'!$E$3+'밸런스 조정'!$F$3*(D11-1)+'밸런스 조정'!$C$69*MAX(0,D11-3)^2,0)</f>
        <v>162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>
        <f>ROUND('밸런스 조정'!$E$3+'밸런스 조정'!$F$3*(D12-1)+'밸런스 조정'!$C$69*MAX(0,D12-3)^2,0)</f>
        <v>207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>
        <f>ROUND('밸런스 조정'!$E$3+'밸런스 조정'!$F$3*(D13-1)+'밸런스 조정'!$C$69*MAX(0,D13-3)^2,0)</f>
        <v>258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>
        <f>ROUND('밸런스 조정'!$E$3+'밸런스 조정'!$F$3*(D14-1)+'밸런스 조정'!$C$69*MAX(0,D14-3)^2,0)</f>
        <v>316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>
        <f>ROUND('밸런스 조정'!$E$3+'밸런스 조정'!$F$3*(D15-1)+'밸런스 조정'!$C$69*MAX(0,D15-3)^2,0)</f>
        <v>380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>
        <f>ROUND('밸런스 조정'!$E$3+'밸런스 조정'!$F$3*(D16-1)+'밸런스 조정'!$C$69*MAX(0,D16-3)^2,0)</f>
        <v>450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>
        <f>ROUND('밸런스 조정'!$E$3+'밸런스 조정'!$F$3*(D17-1)+'밸런스 조정'!$C$69*MAX(0,D17-3)^2,0)</f>
        <v>526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>
        <f>ROUND('밸런스 조정'!$E$3+'밸런스 조정'!$F$3*(D18-1)+'밸런스 조정'!$C$69*MAX(0,D18-3)^2,0)</f>
        <v>609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>
        <f>ROUND('밸런스 조정'!$E$3+'밸런스 조정'!$F$3*(D19-1)+'밸런스 조정'!$C$69*MAX(0,D19-3)^2,0)</f>
        <v>698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>
        <f>ROUND('밸런스 조정'!$E$3+'밸런스 조정'!$F$3*(D20-1)+'밸런스 조정'!$C$69*MAX(0,D20-3)^2,0)</f>
        <v>793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>
        <f>ROUND('밸런스 조정'!$E$3+'밸런스 조정'!$F$3*(D21-1)+'밸런스 조정'!$C$69*MAX(0,D21-3)^2,0)</f>
        <v>894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>
        <f>ROUND('밸런스 조정'!$E$3+'밸런스 조정'!$F$3*(D22-1)+'밸런스 조정'!$C$69*MAX(0,D22-3)^2,0)</f>
        <v>1001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>
        <f>ROUND('밸런스 조정'!$E$3+'밸런스 조정'!$F$3*(D23-1)+'밸런스 조정'!$C$69*MAX(0,D23-3)^2,0)</f>
        <v>1114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>
        <f>ROUND('밸런스 조정'!$E$3+'밸런스 조정'!$F$3*(D24-1)+'밸런스 조정'!$C$69*MAX(0,D24-3)^2,0)</f>
        <v>1234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>
        <f>ROUND('밸런스 조정'!$E$3+'밸런스 조정'!$F$3*(D25-1)+'밸런스 조정'!$C$69*MAX(0,D25-3)^2,0)</f>
        <v>1360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>
        <f>ROUND('밸런스 조정'!$E$3+'밸런스 조정'!$F$3*(D26-1)+'밸런스 조정'!$C$69*MAX(0,D26-3)^2,0)</f>
        <v>1492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>
        <f>ROUND('밸런스 조정'!$E$3+'밸런스 조정'!$F$3*(D27-1)+'밸런스 조정'!$C$69*MAX(0,D27-3)^2,0)</f>
        <v>1630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>
        <f>ROUND('밸런스 조정'!$E$3+'밸런스 조정'!$F$3*(D28-1)+'밸런스 조정'!$C$69*MAX(0,D28-3)^2,0)</f>
        <v>1775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>
        <f>ROUND('밸런스 조정'!$E$3+'밸런스 조정'!$F$3*(D29-1)+'밸런스 조정'!$C$69*MAX(0,D29-3)^2,0)</f>
        <v>1926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>
        <f>ROUND('밸런스 조정'!$E$3+'밸런스 조정'!$F$3*(D30-1)+'밸런스 조정'!$C$69*MAX(0,D30-3)^2,0)</f>
        <v>2083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>
        <f>ROUND('밸런스 조정'!$E$3+'밸런스 조정'!$F$3*(D31-1)+'밸런스 조정'!$C$69*MAX(0,D31-3)^2,0)</f>
        <v>2246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>
        <f>ROUND('밸런스 조정'!$E$3+'밸런스 조정'!$F$3*(D32-1)+'밸런스 조정'!$C$69*MAX(0,D32-3)^2,0)</f>
        <v>2415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>
        <f>ROUND('밸런스 조정'!$E$3+'밸런스 조정'!$F$3*(D33-1)+'밸런스 조정'!$C$69*MAX(0,D33-3)^2,0)</f>
        <v>2590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>
        <f>ROUND('밸런스 조정'!$E$3+'밸런스 조정'!$F$3*(D34-1)+'밸런스 조정'!$C$69*MAX(0,D34-3)^2,0)</f>
        <v>2772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>
        <f>ROUND('밸런스 조정'!$E$3+'밸런스 조정'!$F$3*(D35-1)+'밸런스 조정'!$C$69*MAX(0,D35-3)^2,0)</f>
        <v>2960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>
        <f>ROUND('밸런스 조정'!$E$3+'밸런스 조정'!$F$3*(D36-1)+'밸런스 조정'!$C$69*MAX(0,D36-3)^2,0)</f>
        <v>3154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>
        <f>ROUND('밸런스 조정'!$E$3+'밸런스 조정'!$F$3*(D37-1)+'밸런스 조정'!$C$69*MAX(0,D37-3)^2,0)</f>
        <v>3354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>
        <f>ROUND('밸런스 조정'!$E$3+'밸런스 조정'!$F$3*(D38-1)+'밸런스 조정'!$C$69*MAX(0,D38-3)^2,0)</f>
        <v>3561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>
        <f>ROUND('밸런스 조정'!$E$3+'밸런스 조정'!$F$3*(D39-1)+'밸런스 조정'!$C$69*MAX(0,D39-3)^2,0)</f>
        <v>3774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>
        <f>ROUND('밸런스 조정'!$E$3+'밸런스 조정'!$F$3*(D40-1)+'밸런스 조정'!$C$69*MAX(0,D40-3)^2,0)</f>
        <v>3993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>
        <f>ROUND('밸런스 조정'!$E$3+'밸런스 조정'!$F$3*(D41-1)+'밸런스 조정'!$C$69*MAX(0,D41-3)^2,0)</f>
        <v>4218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>
        <f>ROUND('밸런스 조정'!$E$3+'밸런스 조정'!$F$3*(D42-1)+'밸런스 조정'!$C$69*MAX(0,D42-3)^2,0)</f>
        <v>4449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>
        <f>ROUND('밸런스 조정'!$E$3+'밸런스 조정'!$F$3*(D43-1)+'밸런스 조정'!$C$69*MAX(0,D43-3)^2,0)</f>
        <v>4686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>
        <f>ROUND('밸런스 조정'!$E$3+'밸런스 조정'!$F$3*(D44-1)+'밸런스 조정'!$C$69*MAX(0,D44-3)^2,0)</f>
        <v>4930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>
        <f>ROUND('밸런스 조정'!$E$3+'밸런스 조정'!$F$3*(D45-1)+'밸런스 조정'!$C$69*MAX(0,D45-3)^2,0)</f>
        <v>5180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>
        <f>ROUND('밸런스 조정'!$E$3+'밸런스 조정'!$F$3*(D46-1)+'밸런스 조정'!$C$69*MAX(0,D46-3)^2,0)</f>
        <v>5436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>
        <f>ROUND('밸런스 조정'!$E$3+'밸런스 조정'!$F$3*(D47-1)+'밸런스 조정'!$C$69*MAX(0,D47-3)^2,0)</f>
        <v>5698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>
        <f>ROUND('밸런스 조정'!$E$3+'밸런스 조정'!$F$3*(D48-1)+'밸런스 조정'!$C$69*MAX(0,D48-3)^2,0)</f>
        <v>5967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>
        <f>ROUND('밸런스 조정'!$E$3+'밸런스 조정'!$F$3*(D49-1)+'밸런스 조정'!$C$69*MAX(0,D49-3)^2,0)</f>
        <v>6242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>
        <f>ROUND('밸런스 조정'!$E$3+'밸런스 조정'!$F$3*(D50-1)+'밸런스 조정'!$C$69*MAX(0,D50-3)^2,0)</f>
        <v>6523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>
        <f>ROUND('밸런스 조정'!$E$3+'밸런스 조정'!$F$3*(D51-1)+'밸런스 조정'!$C$69*MAX(0,D51-3)^2,0)</f>
        <v>6810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>
        <f>ROUND('밸런스 조정'!$E$3+'밸런스 조정'!$F$3*(D52-1)+'밸런스 조정'!$C$69*MAX(0,D52-3)^2,0)</f>
        <v>7103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>
        <f>ROUND('밸런스 조정'!$E$3+'밸런스 조정'!$F$3*(D53-1)+'밸런스 조정'!$C$69*MAX(0,D53-3)^2,0)</f>
        <v>7402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>
        <f>ROUND('밸런스 조정'!$E$3+'밸런스 조정'!$F$3*(D54-1)+'밸런스 조정'!$C$69*MAX(0,D54-3)^2,0)</f>
        <v>7708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>
        <f>ROUND('밸런스 조정'!$E$3+'밸런스 조정'!$F$3*(D55-1)+'밸런스 조정'!$C$69*MAX(0,D55-3)^2,0)</f>
        <v>8020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>
        <f>ROUND('밸런스 조정'!$E$3+'밸런스 조정'!$F$3*(D56-1)+'밸런스 조정'!$C$69*MAX(0,D56-3)^2,0)</f>
        <v>8338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>
        <f>ROUND('밸런스 조정'!$E$3+'밸런스 조정'!$F$3*(D57-1)+'밸런스 조정'!$C$69*MAX(0,D57-3)^2,0)</f>
        <v>8662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>
        <f>ROUND('밸런스 조정'!$E$3+'밸런스 조정'!$F$3*(D58-1)+'밸런스 조정'!$C$69*MAX(0,D58-3)^2,0)</f>
        <v>8993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>
        <f>ROUND('밸런스 조정'!$E$3+'밸런스 조정'!$F$3*(D59-1)+'밸런스 조정'!$C$69*MAX(0,D59-3)^2,0)</f>
        <v>9330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>
        <f>ROUND('밸런스 조정'!$E$3+'밸런스 조정'!$F$3*(D60-1)+'밸런스 조정'!$C$69*MAX(0,D60-3)^2,0)</f>
        <v>9673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>
        <f>ROUND('밸런스 조정'!$E$3+'밸런스 조정'!$F$3*(D61-1)+'밸런스 조정'!$C$69*MAX(0,D61-3)^2,0)</f>
        <v>10022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>
        <f>ROUND('밸런스 조정'!$E$3+'밸런스 조정'!$F$3*(D62-1)+'밸런스 조정'!$C$69*MAX(0,D62-3)^2,0)</f>
        <v>10377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>
        <f>ROUND('밸런스 조정'!$E$4+'밸런스 조정'!$F$4*(D66-1)+'밸런스 조정'!$C$69*MAX(0,D66-3)^2,0)</f>
        <v>28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>
        <f>ROUND('밸런스 조정'!$E$4+'밸런스 조정'!$F$4*(D67-1)+'밸런스 조정'!$C$69*MAX(0,D67-3)^2,0)</f>
        <v>42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>
        <f>ROUND('밸런스 조정'!$E$4+'밸런스 조정'!$F$4*(D68-1)+'밸런스 조정'!$C$69*MAX(0,D68-3)^2,0)</f>
        <v>63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>
        <f>ROUND('밸런스 조정'!$E$4+'밸런스 조정'!$F$4*(D69-1)+'밸런스 조정'!$C$69*MAX(0,D69-3)^2,0)</f>
        <v>90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>
        <f>ROUND('밸런스 조정'!$E$4+'밸런스 조정'!$F$4*(D70-1)+'밸런스 조정'!$C$69*MAX(0,D70-3)^2,0)</f>
        <v>123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>
        <f>ROUND('밸런스 조정'!$E$4+'밸런스 조정'!$F$4*(D71-1)+'밸런스 조정'!$C$69*MAX(0,D71-3)^2,0)</f>
        <v>162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>
        <f>ROUND('밸런스 조정'!$E$4+'밸런스 조정'!$F$4*(D72-1)+'밸런스 조정'!$C$69*MAX(0,D72-3)^2,0)</f>
        <v>207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>
        <f>ROUND('밸런스 조정'!$E$4+'밸런스 조정'!$F$4*(D73-1)+'밸런스 조정'!$C$69*MAX(0,D73-3)^2,0)</f>
        <v>258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>
        <f>ROUND('밸런스 조정'!$E$4+'밸런스 조정'!$F$4*(D74-1)+'밸런스 조정'!$C$69*MAX(0,D74-3)^2,0)</f>
        <v>316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>
        <f>ROUND('밸런스 조정'!$E$4+'밸런스 조정'!$F$4*(D75-1)+'밸런스 조정'!$C$69*MAX(0,D75-3)^2,0)</f>
        <v>380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>
        <f>ROUND('밸런스 조정'!$E$4+'밸런스 조정'!$F$4*(D76-1)+'밸런스 조정'!$C$69*MAX(0,D76-3)^2,0)</f>
        <v>450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>
        <f>ROUND('밸런스 조정'!$E$4+'밸런스 조정'!$F$4*(D77-1)+'밸런스 조정'!$C$69*MAX(0,D77-3)^2,0)</f>
        <v>526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>
        <f>ROUND('밸런스 조정'!$E$4+'밸런스 조정'!$F$4*(D78-1)+'밸런스 조정'!$C$69*MAX(0,D78-3)^2,0)</f>
        <v>609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>
        <f>ROUND('밸런스 조정'!$E$4+'밸런스 조정'!$F$4*(D79-1)+'밸런스 조정'!$C$69*MAX(0,D79-3)^2,0)</f>
        <v>698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>
        <f>ROUND('밸런스 조정'!$E$4+'밸런스 조정'!$F$4*(D80-1)+'밸런스 조정'!$C$69*MAX(0,D80-3)^2,0)</f>
        <v>793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>
        <f>ROUND('밸런스 조정'!$E$4+'밸런스 조정'!$F$4*(D81-1)+'밸런스 조정'!$C$69*MAX(0,D81-3)^2,0)</f>
        <v>894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>
        <f>ROUND('밸런스 조정'!$E$4+'밸런스 조정'!$F$4*(D82-1)+'밸런스 조정'!$C$69*MAX(0,D82-3)^2,0)</f>
        <v>1001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>
        <f>ROUND('밸런스 조정'!$E$4+'밸런스 조정'!$F$4*(D83-1)+'밸런스 조정'!$C$69*MAX(0,D83-3)^2,0)</f>
        <v>1114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>
        <f>ROUND('밸런스 조정'!$E$4+'밸런스 조정'!$F$4*(D84-1)+'밸런스 조정'!$C$69*MAX(0,D84-3)^2,0)</f>
        <v>1234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>
        <f>ROUND('밸런스 조정'!$E$4+'밸런스 조정'!$F$4*(D85-1)+'밸런스 조정'!$C$69*MAX(0,D85-3)^2,0)</f>
        <v>1360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>
        <f>ROUND('밸런스 조정'!$E$4+'밸런스 조정'!$F$4*(D86-1)+'밸런스 조정'!$C$69*MAX(0,D86-3)^2,0)</f>
        <v>1492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>
        <f>ROUND('밸런스 조정'!$E$4+'밸런스 조정'!$F$4*(D87-1)+'밸런스 조정'!$C$69*MAX(0,D87-3)^2,0)</f>
        <v>1630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>
        <f>ROUND('밸런스 조정'!$E$4+'밸런스 조정'!$F$4*(D88-1)+'밸런스 조정'!$C$69*MAX(0,D88-3)^2,0)</f>
        <v>1775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>
        <f>ROUND('밸런스 조정'!$E$4+'밸런스 조정'!$F$4*(D89-1)+'밸런스 조정'!$C$69*MAX(0,D89-3)^2,0)</f>
        <v>1926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>
        <f>ROUND('밸런스 조정'!$E$4+'밸런스 조정'!$F$4*(D90-1)+'밸런스 조정'!$C$69*MAX(0,D90-3)^2,0)</f>
        <v>2083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>
        <f>ROUND('밸런스 조정'!$E$4+'밸런스 조정'!$F$4*(D91-1)+'밸런스 조정'!$C$69*MAX(0,D91-3)^2,0)</f>
        <v>2246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>
        <f>ROUND('밸런스 조정'!$E$4+'밸런스 조정'!$F$4*(D92-1)+'밸런스 조정'!$C$69*MAX(0,D92-3)^2,0)</f>
        <v>2415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>
        <f>ROUND('밸런스 조정'!$E$4+'밸런스 조정'!$F$4*(D93-1)+'밸런스 조정'!$C$69*MAX(0,D93-3)^2,0)</f>
        <v>2590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>
        <f>ROUND('밸런스 조정'!$E$4+'밸런스 조정'!$F$4*(D94-1)+'밸런스 조정'!$C$69*MAX(0,D94-3)^2,0)</f>
        <v>2772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>
        <f>ROUND('밸런스 조정'!$E$4+'밸런스 조정'!$F$4*(D95-1)+'밸런스 조정'!$C$69*MAX(0,D95-3)^2,0)</f>
        <v>2960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>
        <f>ROUND('밸런스 조정'!$E$4+'밸런스 조정'!$F$4*(D96-1)+'밸런스 조정'!$C$69*MAX(0,D96-3)^2,0)</f>
        <v>3154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>
        <f>ROUND('밸런스 조정'!$E$4+'밸런스 조정'!$F$4*(D97-1)+'밸런스 조정'!$C$69*MAX(0,D97-3)^2,0)</f>
        <v>3354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>
        <f>ROUND('밸런스 조정'!$E$4+'밸런스 조정'!$F$4*(D98-1)+'밸런스 조정'!$C$69*MAX(0,D98-3)^2,0)</f>
        <v>3561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>
        <f>ROUND('밸런스 조정'!$E$4+'밸런스 조정'!$F$4*(D99-1)+'밸런스 조정'!$C$69*MAX(0,D99-3)^2,0)</f>
        <v>3774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>
        <f>ROUND('밸런스 조정'!$E$4+'밸런스 조정'!$F$4*(D100-1)+'밸런스 조정'!$C$69*MAX(0,D100-3)^2,0)</f>
        <v>3993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>
        <f>ROUND('밸런스 조정'!$E$4+'밸런스 조정'!$F$4*(D101-1)+'밸런스 조정'!$C$69*MAX(0,D101-3)^2,0)</f>
        <v>4218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>
        <f>ROUND('밸런스 조정'!$E$4+'밸런스 조정'!$F$4*(D102-1)+'밸런스 조정'!$C$69*MAX(0,D102-3)^2,0)</f>
        <v>4449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>
        <f>ROUND('밸런스 조정'!$E$4+'밸런스 조정'!$F$4*(D103-1)+'밸런스 조정'!$C$69*MAX(0,D103-3)^2,0)</f>
        <v>4686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>
        <f>ROUND('밸런스 조정'!$E$4+'밸런스 조정'!$F$4*(D104-1)+'밸런스 조정'!$C$69*MAX(0,D104-3)^2,0)</f>
        <v>4930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>
        <f>ROUND('밸런스 조정'!$E$4+'밸런스 조정'!$F$4*(D105-1)+'밸런스 조정'!$C$69*MAX(0,D105-3)^2,0)</f>
        <v>5180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>
        <f>ROUND('밸런스 조정'!$E$4+'밸런스 조정'!$F$4*(D106-1)+'밸런스 조정'!$C$69*MAX(0,D106-3)^2,0)</f>
        <v>5436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>
        <f>ROUND('밸런스 조정'!$E$4+'밸런스 조정'!$F$4*(D107-1)+'밸런스 조정'!$C$69*MAX(0,D107-3)^2,0)</f>
        <v>5698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>
        <f>ROUND('밸런스 조정'!$E$4+'밸런스 조정'!$F$4*(D108-1)+'밸런스 조정'!$C$69*MAX(0,D108-3)^2,0)</f>
        <v>5967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>
        <f>ROUND('밸런스 조정'!$E$4+'밸런스 조정'!$F$4*(D109-1)+'밸런스 조정'!$C$69*MAX(0,D109-3)^2,0)</f>
        <v>6242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>
        <f>ROUND('밸런스 조정'!$E$4+'밸런스 조정'!$F$4*(D110-1)+'밸런스 조정'!$C$69*MAX(0,D110-3)^2,0)</f>
        <v>6523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>
        <f>ROUND('밸런스 조정'!$E$4+'밸런스 조정'!$F$4*(D111-1)+'밸런스 조정'!$C$69*MAX(0,D111-3)^2,0)</f>
        <v>6810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>
        <f>ROUND('밸런스 조정'!$E$4+'밸런스 조정'!$F$4*(D112-1)+'밸런스 조정'!$C$69*MAX(0,D112-3)^2,0)</f>
        <v>7103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>
        <f>ROUND('밸런스 조정'!$E$4+'밸런스 조정'!$F$4*(D113-1)+'밸런스 조정'!$C$69*MAX(0,D113-3)^2,0)</f>
        <v>7402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>
        <f>ROUND('밸런스 조정'!$E$4+'밸런스 조정'!$F$4*(D114-1)+'밸런스 조정'!$C$69*MAX(0,D114-3)^2,0)</f>
        <v>7708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>
        <f>ROUND('밸런스 조정'!$E$4+'밸런스 조정'!$F$4*(D115-1)+'밸런스 조정'!$C$69*MAX(0,D115-3)^2,0)</f>
        <v>8020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>
        <f>ROUND('밸런스 조정'!$E$4+'밸런스 조정'!$F$4*(D116-1)+'밸런스 조정'!$C$69*MAX(0,D116-3)^2,0)</f>
        <v>8338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>
        <f>ROUND('밸런스 조정'!$E$4+'밸런스 조정'!$F$4*(D117-1)+'밸런스 조정'!$C$69*MAX(0,D117-3)^2,0)</f>
        <v>8662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>
        <f>ROUND('밸런스 조정'!$E$4+'밸런스 조정'!$F$4*(D118-1)+'밸런스 조정'!$C$69*MAX(0,D118-3)^2,0)</f>
        <v>8993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>
        <f>ROUND('밸런스 조정'!$E$4+'밸런스 조정'!$F$4*(D119-1)+'밸런스 조정'!$C$69*MAX(0,D119-3)^2,0)</f>
        <v>9330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>
        <f>ROUND('밸런스 조정'!$E$4+'밸런스 조정'!$F$4*(D120-1)+'밸런스 조정'!$C$69*MAX(0,D120-3)^2,0)</f>
        <v>9673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>
        <f>ROUND('밸런스 조정'!$E$4+'밸런스 조정'!$F$4*(D121-1)+'밸런스 조정'!$C$69*MAX(0,D121-3)^2,0)</f>
        <v>10022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>
        <f>ROUND('밸런스 조정'!$E$4+'밸런스 조정'!$F$4*(D122-1)+'밸런스 조정'!$C$69*MAX(0,D122-3)^2,0)</f>
        <v>10377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>
        <f>'밸런스 조정'!C96</f>
        <v>150</v>
      </c>
    </row>
    <row r="15" spans="2:7">
      <c r="B15" t="s">
        <v>162</v>
      </c>
      <c r="C15" t="s">
        <v>150</v>
      </c>
      <c r="D15">
        <f>'밸런스 조정'!C97</f>
        <v>300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>
        <v>0.1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>
        <v>0.1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>
        <v>0.1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>
        <f>ROUND(O7*(1+P9),0)</f>
        <v>143</v>
      </c>
      <c r="P9" s="27">
        <v>0.1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>
        <f>ROUND(O9*(1+P10),0)</f>
        <v>164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>
        <f>ROUND(O9*(1+P11),0)</f>
        <v>157</v>
      </c>
      <c r="P11" s="27">
        <v>0.1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>
        <f>ROUND(O11*(1+P12),0)</f>
        <v>181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>
        <f>ROUND(O11*(1+P13),0)</f>
        <v>173</v>
      </c>
      <c r="P13" s="27">
        <v>0.1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>
        <f>ROUND(O13*3,0)</f>
        <v>519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>
        <f>ROUND(O13*(1+P15),0)</f>
        <v>190</v>
      </c>
      <c r="P15" s="27">
        <v>0.1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>
        <f>ROUND(O15*(1+P16),0)</f>
        <v>219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>
        <f>ROUND(O15*'밸런스 조정'!$C$20,0)</f>
        <v>342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>
        <f>ROUND(O17*(1+P18),0)</f>
        <v>393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>
        <f>ROUND(O15*(1+P19),0)</f>
        <v>209</v>
      </c>
      <c r="P19" s="27">
        <v>0.1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>
        <f>ROUND(O19*(1+P20),0)</f>
        <v>240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>
        <f>ROUND(O19*(1+P21),0)</f>
        <v>230</v>
      </c>
      <c r="P21" s="27">
        <v>0.1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>
        <f>ROUND(O21*(1+P22),0)</f>
        <v>265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>
        <f>ROUND(O21*(1+P23),0)</f>
        <v>253</v>
      </c>
      <c r="P23" s="27">
        <v>0.1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>
        <f>ROUND(O23*(1+P24),0)</f>
        <v>291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>
        <f>ROUND(O23*'밸런스 조정'!$C$20,0)</f>
        <v>455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>
        <f>ROUND(O25*(1+P26),0)</f>
        <v>523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>
        <f>ROUND(O23*(1+P27),0)</f>
        <v>278</v>
      </c>
      <c r="P27" s="27">
        <v>0.1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>
        <f>ROUND(O27*(1+P28),0)</f>
        <v>320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>
        <f>ROUND(O27*(1+P29),0)</f>
        <v>306</v>
      </c>
      <c r="P29" s="27">
        <v>0.1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>
        <f>ROUND(O29*(1+P30),0)</f>
        <v>352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>
        <f>ROUND(O29*(1+P31),0)</f>
        <v>337</v>
      </c>
      <c r="P31">
        <v>0.1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>
        <f>ROUND(O31*(1+P32),0)</f>
        <v>388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>
        <f>ROUND(O31*(1+P33),0)</f>
        <v>371</v>
      </c>
      <c r="P33">
        <v>0.1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>
        <f>ROUND(O33*(1+P34),0)</f>
        <v>427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>
        <f>ROUND(O33*(1+P35),0)</f>
        <v>408</v>
      </c>
      <c r="P35">
        <v>0.1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>
        <f>ROUND(O35*(1+P36),0)</f>
        <v>469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>
        <f>ROUND(O35*(1+P37),0)</f>
        <v>449</v>
      </c>
      <c r="P37">
        <v>0.1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>
        <f>ROUND(O37*(1+P38),0)</f>
        <v>516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>
        <f>ROUND(O37*(1+P39),0)</f>
        <v>494</v>
      </c>
      <c r="P39">
        <v>0.1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>
        <f>ROUND(O39*(1+P40),0)</f>
        <v>568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>
        <f>ROUND(O39*(1+P41),0)</f>
        <v>543</v>
      </c>
      <c r="P41">
        <v>0.1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>
        <f>ROUND(O41*(1+P42),0)</f>
        <v>624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>
        <f>ROUND(O41*(1+P43),0)</f>
        <v>597</v>
      </c>
      <c r="P43">
        <v>0.1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>
        <f>ROUND(O43*(1+P44),0)</f>
        <v>687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>
        <f>ROUND(O43*(1+P45),0)</f>
        <v>657</v>
      </c>
      <c r="P45">
        <v>0.1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>
        <f>ROUND(O45*(1+P46),0)</f>
        <v>756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>
        <f>ROUND(O45*(1+P47),0)</f>
        <v>723</v>
      </c>
      <c r="P47">
        <v>0.1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>
        <f>ROUND(O47*(1+P48),0)</f>
        <v>831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>
        <f>ROUND(O47*'밸런스 조정'!$C$20,0)</f>
        <v>1301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>
        <f>ROUND(O49*(1+P50),0)</f>
        <v>1496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>
        <f>ROUND((ROUND(O47*'밸런스 조정'!$C$22,0))*1.5,0)</f>
        <v>3687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>
        <f>ROUND(O51*(1+P52),0)</f>
        <v>4240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>
        <f>'밸런스 조정'!$C$91*IF(M53="Boss",5,IF(M53="Elite",2,1))</f>
        <v>150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>
        <f>'밸런스 조정'!$C$91*IF(M54="Boss",5,IF(M54="Elite",2,1))</f>
        <v>150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>
        <f>'밸런스 조정'!$C$91*IF(M55="Boss",5,IF(M55="Elite",2,1))</f>
        <v>150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>
        <f>'밸런스 조정'!$C$91*IF(M56="Boss",5,IF(M56="Elite",2,1))</f>
        <v>150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>
        <f>'밸런스 조정'!$C$91*IF(M57="Boss",5,IF(M57="Elite",2,1))</f>
        <v>300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>
        <f>'밸런스 조정'!$C$91*IF(M58="Boss",5,IF(M58="Elite",2,1))</f>
        <v>300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>
        <f>'밸런스 조정'!$C$91*IF(M59="Boss",5,IF(M59="Elite",2,1))</f>
        <v>300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>
        <f>'밸런스 조정'!$C$91*IF(M60="Boss",5,IF(M60="Elite",2,1))</f>
        <v>300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>
        <f>'밸런스 조정'!$C$91*IF(M61="Boss",5,IF(M61="Elite",2,1))</f>
        <v>150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>
        <f>'밸런스 조정'!$C$91*IF(M62="Boss",5,IF(M62="Elite",2,1))</f>
        <v>150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>
        <f>'밸런스 조정'!$C$91*IF(M63="Boss",5,IF(M63="Elite",2,1))</f>
        <v>150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>
        <f>'밸런스 조정'!$C$91*IF(M64="Boss",5,IF(M64="Elite",2,1))</f>
        <v>150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>
        <f>'밸런스 조정'!$C$91*IF(M65="Boss",5,IF(M65="Elite",2,1))</f>
        <v>150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>
        <f>'밸런스 조정'!$C$91*IF(M66="Boss",5,IF(M66="Elite",2,1))</f>
        <v>150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>
        <f>'밸런스 조정'!$C$91*IF(M67="Boss",5,IF(M67="Elite",2,1))</f>
        <v>150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>
        <f>'밸런스 조정'!$C$91*IF(M68="Boss",5,IF(M68="Elite",2,1))</f>
        <v>150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>
        <f>'밸런스 조정'!$C$91*IF(M69="Boss",5,IF(M69="Elite",2,1))</f>
        <v>300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>
        <f>'밸런스 조정'!$C$91*IF(M70="Boss",5,IF(M70="Elite",2,1))</f>
        <v>300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>
        <f>'밸런스 조정'!$C$91*IF(M71="Boss",5,IF(M71="Elite",2,1))</f>
        <v>300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>
        <f>'밸런스 조정'!$C$91*IF(M72="Boss",5,IF(M72="Elite",2,1))</f>
        <v>300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>
        <f>'밸런스 조정'!$C$91*IF(M73="Boss",5,IF(M73="Elite",2,1))</f>
        <v>150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>
        <f>'밸런스 조정'!$C$91*IF(M74="Boss",5,IF(M74="Elite",2,1))</f>
        <v>150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>
        <f>'밸런스 조정'!$C$91*IF(M75="Boss",5,IF(M75="Elite",2,1))</f>
        <v>150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>
        <f>'밸런스 조정'!$C$91*IF(M76="Boss",5,IF(M76="Elite",2,1))</f>
        <v>150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>
        <f>'밸런스 조정'!$C$91*IF(M77="Boss",5,IF(M77="Elite",2,1))</f>
        <v>150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>
        <f>'밸런스 조정'!$C$91*IF(M78="Boss",5,IF(M78="Elite",2,1))</f>
        <v>150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>
        <f>'밸런스 조정'!$C$91*IF(M79="Boss",5,IF(M79="Elite",2,1))</f>
        <v>150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>
        <f>'밸런스 조정'!$C$91*IF(M80="Boss",5,IF(M80="Elite",2,1))</f>
        <v>150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>
        <f>'밸런스 조정'!$C$91*IF(M81="Boss",5,IF(M81="Elite",2,1))</f>
        <v>300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>
        <f>'밸런스 조정'!$C$91*IF(M82="Boss",5,IF(M82="Elite",2,1))</f>
        <v>300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>
        <f>'밸런스 조정'!$C$91*IF(M83="Boss",5,IF(M83="Elite",2,1))</f>
        <v>300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>
        <f>'밸런스 조정'!$C$91*IF(M84="Boss",5,IF(M84="Elite",2,1))</f>
        <v>300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>
        <f>'밸런스 조정'!$C$91*IF(M85="Boss",5,IF(M85="Elite",2,1))</f>
        <v>150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>
        <f>'밸런스 조정'!$C$91*IF(M86="Boss",5,IF(M86="Elite",2,1))</f>
        <v>150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>
        <f>'밸런스 조정'!$C$91*IF(M87="Boss",5,IF(M87="Elite",2,1))</f>
        <v>150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>
        <f>'밸런스 조정'!$C$91*IF(M88="Boss",5,IF(M88="Elite",2,1))</f>
        <v>150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>
        <f>'밸런스 조정'!$C$91*IF(M89="Boss",5,IF(M89="Elite",2,1))</f>
        <v>150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>
        <f>'밸런스 조정'!$C$91*IF(M90="Boss",5,IF(M90="Elite",2,1))</f>
        <v>150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>
        <f>'밸런스 조정'!$C$91*IF(M91="Boss",5,IF(M91="Elite",2,1))</f>
        <v>150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>
        <f>'밸런스 조정'!$C$91*IF(M92="Boss",5,IF(M92="Elite",2,1))</f>
        <v>150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>
        <f>'밸런스 조정'!$C$91*IF(M93="Boss",5,IF(M93="Elite",2,1))</f>
        <v>300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>
        <f>'밸런스 조정'!$C$91*IF(M94="Boss",5,IF(M94="Elite",2,1))</f>
        <v>300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>
        <f>'밸런스 조정'!$C$91*IF(M95="Boss",5,IF(M95="Elite",2,1))</f>
        <v>300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>
        <f>'밸런스 조정'!$C$91*IF(M96="Boss",5,IF(M96="Elite",2,1))</f>
        <v>300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>
        <f>'밸런스 조정'!$C$91*IF(M97="Boss",5,IF(M97="Elite",2,1))</f>
        <v>150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>
        <f>'밸런스 조정'!$C$91*IF(M98="Boss",5,IF(M98="Elite",2,1))</f>
        <v>150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>
        <f>'밸런스 조정'!$C$91*IF(M99="Boss",5,IF(M99="Elite",2,1))</f>
        <v>150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>
        <f>'밸런스 조정'!$C$91*IF(M100="Boss",5,IF(M100="Elite",2,1))</f>
        <v>150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>
        <f>'밸런스 조정'!$C$91*IF(M101="Boss",5,IF(M101="Elite",2,1))</f>
        <v>750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>
        <f>'밸런스 조정'!$C$91*IF(M102="Boss",5,IF(M102="Elite",2,1))</f>
        <v>750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>
        <f>ROUND('밸런스 조정'!$C$73*(1+'밸런스 조정'!$C$75)^0*IF(M103="Boss",'밸런스 조정'!$C$79,IF(M103="Elite",'밸런스 조정'!$C$77,1)),0)</f>
        <v>2750</v>
      </c>
      <c r="P103">
        <f>'밸런스 조정'!$C$75</f>
        <v>0.06</v>
      </c>
      <c r="Q103">
        <f>'밸런스 조정'!$C$64</f>
        <v>0</v>
      </c>
      <c r="R103">
        <f>'밸런스 조정'!$C$90*IF(M103="Boss",5,IF(M103="Elite",2,1))</f>
        <v>300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>
        <f>ROUND(O103*(1+P104),0)</f>
        <v>3163</v>
      </c>
      <c r="P104">
        <v>0.15</v>
      </c>
      <c r="Q104">
        <f>'밸런스 조정'!$C$64</f>
        <v>0</v>
      </c>
      <c r="R104">
        <f>'밸런스 조정'!$C$90*IF(M104="Boss",5,IF(M104="Elite",2,1))</f>
        <v>300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>
        <f>ROUND('밸런스 조정'!$C$73*(1+'밸런스 조정'!$C$75)^1*IF(M105="Boss",'밸런스 조정'!$C$79,IF(M105="Elite",'밸런스 조정'!$C$77,1)),0)</f>
        <v>2915</v>
      </c>
      <c r="P105">
        <f>'밸런스 조정'!$C$75</f>
        <v>0.06</v>
      </c>
      <c r="Q105">
        <f>'밸런스 조정'!$C$64</f>
        <v>0</v>
      </c>
      <c r="R105">
        <f>'밸런스 조정'!$C$90*IF(M105="Boss",5,IF(M105="Elite",2,1))</f>
        <v>300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>
        <f>ROUND(O105*(1+P106),0)</f>
        <v>3352</v>
      </c>
      <c r="P106">
        <v>0.15</v>
      </c>
      <c r="Q106">
        <f>'밸런스 조정'!$C$64</f>
        <v>0</v>
      </c>
      <c r="R106">
        <f>'밸런스 조정'!$C$90*IF(M106="Boss",5,IF(M106="Elite",2,1))</f>
        <v>300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>
        <v>0.65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>
        <f>ROUND('밸런스 조정'!$C$73*(1+'밸런스 조정'!$C$75)^2*IF(M107="Boss",'밸런스 조정'!$C$79,IF(M107="Elite",'밸런스 조정'!$C$77,1)),0)</f>
        <v>3090</v>
      </c>
      <c r="P107">
        <f>'밸런스 조정'!$C$75</f>
        <v>0.06</v>
      </c>
      <c r="Q107">
        <f>'밸런스 조정'!$C$64</f>
        <v>0</v>
      </c>
      <c r="R107">
        <f>'밸런스 조정'!$C$90*IF(M107="Boss",5,IF(M107="Elite",2,1))</f>
        <v>300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>
        <v>0.9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>
        <f>ROUND(O107*(1+P108),0)</f>
        <v>3554</v>
      </c>
      <c r="P108">
        <v>0.15</v>
      </c>
      <c r="Q108">
        <f>'밸런스 조정'!$C$64</f>
        <v>0</v>
      </c>
      <c r="R108">
        <f>'밸런스 조정'!$C$90*IF(M108="Boss",5,IF(M108="Elite",2,1))</f>
        <v>300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>
        <f>ROUND('밸런스 조정'!$C$73*(1+'밸런스 조정'!$C$75)^3*IF(M109="Boss",'밸런스 조정'!$C$79,IF(M109="Elite",'밸런스 조정'!$C$77,1)),0)</f>
        <v>3275</v>
      </c>
      <c r="P109">
        <f>'밸런스 조정'!$C$75</f>
        <v>0.06</v>
      </c>
      <c r="Q109">
        <f>'밸런스 조정'!$C$64</f>
        <v>0</v>
      </c>
      <c r="R109">
        <f>'밸런스 조정'!$C$90*IF(M109="Boss",5,IF(M109="Elite",2,1))</f>
        <v>300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>
        <f>ROUND(O109*(1+P110),0)</f>
        <v>3766</v>
      </c>
      <c r="P110">
        <v>0.15</v>
      </c>
      <c r="Q110">
        <f>'밸런스 조정'!$C$64</f>
        <v>0</v>
      </c>
      <c r="R110">
        <f>'밸런스 조정'!$C$90*IF(M110="Boss",5,IF(M110="Elite",2,1))</f>
        <v>300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>
        <f>ROUND('밸런스 조정'!$C$73*(1+'밸런스 조정'!$C$75)^4*IF(M111="Boss",'밸런스 조정'!$C$79,IF(M111="Elite",'밸런스 조정'!$C$77,1)),0)</f>
        <v>5208</v>
      </c>
      <c r="P111">
        <f>'밸런스 조정'!$C$75</f>
        <v>0.06</v>
      </c>
      <c r="Q111">
        <f>'밸런스 조정'!$C$64</f>
        <v>0</v>
      </c>
      <c r="R111">
        <f>'밸런스 조정'!$C$90*IF(M111="Boss",5,IF(M111="Elite",2,1))</f>
        <v>600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>
        <f>ROUND(O111*(1+P112),0)</f>
        <v>5989</v>
      </c>
      <c r="P112">
        <v>0.15</v>
      </c>
      <c r="Q112">
        <f>'밸런스 조정'!$C$64</f>
        <v>0</v>
      </c>
      <c r="R112">
        <f>'밸런스 조정'!$C$90*IF(M112="Boss",5,IF(M112="Elite",2,1))</f>
        <v>600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>
        <f>ROUND('밸런스 조정'!$C$73*(1+'밸런스 조정'!$C$75)^5*IF(M113="Boss",'밸런스 조정'!$C$79,IF(M113="Elite",'밸런스 조정'!$C$77,1)),0)</f>
        <v>3680</v>
      </c>
      <c r="P113">
        <f>'밸런스 조정'!$C$75</f>
        <v>0.06</v>
      </c>
      <c r="Q113">
        <f>'밸런스 조정'!$C$64</f>
        <v>0</v>
      </c>
      <c r="R113">
        <f>'밸런스 조정'!$C$90*IF(M113="Boss",5,IF(M113="Elite",2,1))</f>
        <v>300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>
        <f>ROUND(O113*(1+P114),0)</f>
        <v>4232</v>
      </c>
      <c r="P114">
        <v>0.15</v>
      </c>
      <c r="Q114">
        <f>'밸런스 조정'!$C$64</f>
        <v>0</v>
      </c>
      <c r="R114">
        <f>'밸런스 조정'!$C$90*IF(M114="Boss",5,IF(M114="Elite",2,1))</f>
        <v>300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>
        <f>ROUND('밸런스 조정'!$C$73*(1+'밸런스 조정'!$C$75)^6*IF(M115="Boss",'밸런스 조정'!$C$79,IF(M115="Elite",'밸런스 조정'!$C$77,1)),0)</f>
        <v>3901</v>
      </c>
      <c r="P115">
        <f>'밸런스 조정'!$C$75</f>
        <v>0.06</v>
      </c>
      <c r="Q115">
        <f>'밸런스 조정'!$C$64</f>
        <v>0</v>
      </c>
      <c r="R115">
        <f>'밸런스 조정'!$C$90*IF(M115="Boss",5,IF(M115="Elite",2,1))</f>
        <v>300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>
        <f>ROUND(O115*(1+P116),0)</f>
        <v>4486</v>
      </c>
      <c r="P116">
        <v>0.15</v>
      </c>
      <c r="Q116">
        <f>'밸런스 조정'!$C$64</f>
        <v>0</v>
      </c>
      <c r="R116">
        <f>'밸런스 조정'!$C$90*IF(M116="Boss",5,IF(M116="Elite",2,1))</f>
        <v>300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>
        <v>0.65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>
        <f>ROUND('밸런스 조정'!$C$73*(1+'밸런스 조정'!$C$75)^7*IF(M117="Boss",'밸런스 조정'!$C$79,IF(M117="Elite",'밸런스 조정'!$C$77,1)),0)</f>
        <v>4135</v>
      </c>
      <c r="P117">
        <f>'밸런스 조정'!$C$75</f>
        <v>0.06</v>
      </c>
      <c r="Q117">
        <f>'밸런스 조정'!$C$64</f>
        <v>0</v>
      </c>
      <c r="R117">
        <f>'밸런스 조정'!$C$90*IF(M117="Boss",5,IF(M117="Elite",2,1))</f>
        <v>300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>
        <v>0.9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>
        <f>ROUND(O117*(1+P118),0)</f>
        <v>4755</v>
      </c>
      <c r="P118">
        <v>0.15</v>
      </c>
      <c r="Q118">
        <f>'밸런스 조정'!$C$64</f>
        <v>0</v>
      </c>
      <c r="R118">
        <f>'밸런스 조정'!$C$90*IF(M118="Boss",5,IF(M118="Elite",2,1))</f>
        <v>300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>
        <f>ROUND('밸런스 조정'!$C$73*(1+'밸런스 조정'!$C$75)^8*IF(M119="Boss",'밸런스 조정'!$C$79,IF(M119="Elite",'밸런스 조정'!$C$77,1)),0)</f>
        <v>4383</v>
      </c>
      <c r="P119">
        <f>'밸런스 조정'!$C$75</f>
        <v>0.06</v>
      </c>
      <c r="Q119">
        <f>'밸런스 조정'!$C$64</f>
        <v>0</v>
      </c>
      <c r="R119">
        <f>'밸런스 조정'!$C$90*IF(M119="Boss",5,IF(M119="Elite",2,1))</f>
        <v>300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>
        <f>ROUND(O119*(1+P120),0)</f>
        <v>5040</v>
      </c>
      <c r="P120">
        <v>0.15</v>
      </c>
      <c r="Q120">
        <f>'밸런스 조정'!$C$64</f>
        <v>0</v>
      </c>
      <c r="R120">
        <f>'밸런스 조정'!$C$90*IF(M120="Boss",5,IF(M120="Elite",2,1))</f>
        <v>300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>
        <f>ROUND('밸런스 조정'!$C$73*(1+'밸런스 조정'!$C$75)^9*IF(M121="Boss",'밸런스 조정'!$C$79,IF(M121="Elite",'밸런스 조정'!$C$77,1)),0)</f>
        <v>6969</v>
      </c>
      <c r="P121">
        <f>'밸런스 조정'!$C$75</f>
        <v>0.06</v>
      </c>
      <c r="Q121">
        <f>'밸런스 조정'!$C$64</f>
        <v>0</v>
      </c>
      <c r="R121">
        <f>'밸런스 조정'!$C$90*IF(M121="Boss",5,IF(M121="Elite",2,1))</f>
        <v>600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>
        <f>ROUND(O121*(1+P122),0)</f>
        <v>8014</v>
      </c>
      <c r="P122">
        <v>0.15</v>
      </c>
      <c r="Q122">
        <f>'밸런스 조정'!$C$64</f>
        <v>0</v>
      </c>
      <c r="R122">
        <f>'밸런스 조정'!$C$90*IF(M122="Boss",5,IF(M122="Elite",2,1))</f>
        <v>600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>
        <f>ROUND('밸런스 조정'!$C$73*(1+'밸런스 조정'!$C$75)^10*IF(M123="Boss",'밸런스 조정'!$C$79,IF(M123="Elite",'밸런스 조정'!$C$77,1)),0)</f>
        <v>4925</v>
      </c>
      <c r="P123">
        <f>'밸런스 조정'!$C$75</f>
        <v>0.06</v>
      </c>
      <c r="Q123">
        <f>'밸런스 조정'!$C$64</f>
        <v>0</v>
      </c>
      <c r="R123">
        <f>'밸런스 조정'!$C$90*IF(M123="Boss",5,IF(M123="Elite",2,1))</f>
        <v>300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>
        <f>ROUND(O123*(1+P124),0)</f>
        <v>5664</v>
      </c>
      <c r="P124">
        <v>0.15</v>
      </c>
      <c r="Q124">
        <f>'밸런스 조정'!$C$64</f>
        <v>0</v>
      </c>
      <c r="R124">
        <f>'밸런스 조정'!$C$90*IF(M124="Boss",5,IF(M124="Elite",2,1))</f>
        <v>300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>
        <f>ROUND('밸런스 조정'!$C$73*(1+'밸런스 조정'!$C$75)^11*IF(M125="Boss",'밸런스 조정'!$C$79,IF(M125="Elite",'밸런스 조정'!$C$77,1)),0)</f>
        <v>5220</v>
      </c>
      <c r="P125">
        <f>'밸런스 조정'!$C$75</f>
        <v>0.06</v>
      </c>
      <c r="Q125">
        <f>'밸런스 조정'!$C$64</f>
        <v>0</v>
      </c>
      <c r="R125">
        <f>'밸런스 조정'!$C$90*IF(M125="Boss",5,IF(M125="Elite",2,1))</f>
        <v>300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>
        <f>ROUND(O125*(1+P126),0)</f>
        <v>6003</v>
      </c>
      <c r="P126">
        <v>0.15</v>
      </c>
      <c r="Q126">
        <f>'밸런스 조정'!$C$64</f>
        <v>0</v>
      </c>
      <c r="R126">
        <f>'밸런스 조정'!$C$90*IF(M126="Boss",5,IF(M126="Elite",2,1))</f>
        <v>300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>
        <v>0.65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>
        <f>ROUND('밸런스 조정'!$C$73*(1+'밸런스 조정'!$C$75)^12*IF(M127="Boss",'밸런스 조정'!$C$79,IF(M127="Elite",'밸런스 조정'!$C$77,1)),0)</f>
        <v>5534</v>
      </c>
      <c r="P127">
        <f>'밸런스 조정'!$C$75</f>
        <v>0.06</v>
      </c>
      <c r="Q127">
        <f>'밸런스 조정'!$C$64</f>
        <v>0</v>
      </c>
      <c r="R127">
        <f>'밸런스 조정'!$C$90*IF(M127="Boss",5,IF(M127="Elite",2,1))</f>
        <v>300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>
        <v>0.9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>
        <f>ROUND(O127*(1+P128),0)</f>
        <v>6364</v>
      </c>
      <c r="P128">
        <v>0.15</v>
      </c>
      <c r="Q128">
        <f>'밸런스 조정'!$C$64</f>
        <v>0</v>
      </c>
      <c r="R128">
        <f>'밸런스 조정'!$C$90*IF(M128="Boss",5,IF(M128="Elite",2,1))</f>
        <v>300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>
        <f>ROUND('밸런스 조정'!$C$73*(1+'밸런스 조정'!$C$75)^13*IF(M129="Boss",'밸런스 조정'!$C$79,IF(M129="Elite",'밸런스 조정'!$C$77,1)),0)</f>
        <v>5866</v>
      </c>
      <c r="P129">
        <f>'밸런스 조정'!$C$75</f>
        <v>0.06</v>
      </c>
      <c r="Q129">
        <f>'밸런스 조정'!$C$64</f>
        <v>0</v>
      </c>
      <c r="R129">
        <f>'밸런스 조정'!$C$90*IF(M129="Boss",5,IF(M129="Elite",2,1))</f>
        <v>300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>
        <f>ROUND(O129*(1+P130),0)</f>
        <v>6746</v>
      </c>
      <c r="P130">
        <v>0.15</v>
      </c>
      <c r="Q130">
        <f>'밸런스 조정'!$C$64</f>
        <v>0</v>
      </c>
      <c r="R130">
        <f>'밸런스 조정'!$C$90*IF(M130="Boss",5,IF(M130="Elite",2,1))</f>
        <v>300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>
        <f>ROUND('밸런스 조정'!$C$73*(1+'밸런스 조정'!$C$75)^14*IF(M131="Boss",'밸런스 조정'!$C$79,IF(M131="Elite",'밸런스 조정'!$C$77,1)),0)</f>
        <v>9326</v>
      </c>
      <c r="P131">
        <f>'밸런스 조정'!$C$75</f>
        <v>0.06</v>
      </c>
      <c r="Q131">
        <f>'밸런스 조정'!$C$64</f>
        <v>0</v>
      </c>
      <c r="R131">
        <f>'밸런스 조정'!$C$90*IF(M131="Boss",5,IF(M131="Elite",2,1))</f>
        <v>600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>
        <f>ROUND(O131*(1+P132),0)</f>
        <v>10725</v>
      </c>
      <c r="P132">
        <v>0.15</v>
      </c>
      <c r="Q132">
        <f>'밸런스 조정'!$C$64</f>
        <v>0</v>
      </c>
      <c r="R132">
        <f>'밸런스 조정'!$C$90*IF(M132="Boss",5,IF(M132="Elite",2,1))</f>
        <v>600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>
        <f>ROUND('밸런스 조정'!$C$73*(1+'밸런스 조정'!$C$75)^15*IF(M133="Boss",'밸런스 조정'!$C$79,IF(M133="Elite",'밸런스 조정'!$C$77,1)),0)</f>
        <v>6591</v>
      </c>
      <c r="P133">
        <f>'밸런스 조정'!$C$75</f>
        <v>0.06</v>
      </c>
      <c r="Q133">
        <f>'밸런스 조정'!$C$64</f>
        <v>0</v>
      </c>
      <c r="R133">
        <f>'밸런스 조정'!$C$90*IF(M133="Boss",5,IF(M133="Elite",2,1))</f>
        <v>300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>
        <f>ROUND(O133*(1+P134),0)</f>
        <v>7580</v>
      </c>
      <c r="P134">
        <v>0.15</v>
      </c>
      <c r="Q134">
        <f>'밸런스 조정'!$C$64</f>
        <v>0</v>
      </c>
      <c r="R134">
        <f>'밸런스 조정'!$C$90*IF(M134="Boss",5,IF(M134="Elite",2,1))</f>
        <v>300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>
        <f>ROUND('밸런스 조정'!$C$73*(1+'밸런스 조정'!$C$75)^16*IF(M135="Boss",'밸런스 조정'!$C$79,IF(M135="Elite",'밸런스 조정'!$C$77,1)),0)</f>
        <v>6986</v>
      </c>
      <c r="P135">
        <f>'밸런스 조정'!$C$75</f>
        <v>0.06</v>
      </c>
      <c r="Q135">
        <f>'밸런스 조정'!$C$64</f>
        <v>0</v>
      </c>
      <c r="R135">
        <f>'밸런스 조정'!$C$90*IF(M135="Boss",5,IF(M135="Elite",2,1))</f>
        <v>300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>
        <f>ROUND(O135*(1+P136),0)</f>
        <v>8034</v>
      </c>
      <c r="P136">
        <v>0.15</v>
      </c>
      <c r="Q136">
        <f>'밸런스 조정'!$C$64</f>
        <v>0</v>
      </c>
      <c r="R136">
        <f>'밸런스 조정'!$C$90*IF(M136="Boss",5,IF(M136="Elite",2,1))</f>
        <v>300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>
        <v>0.65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>
        <f>ROUND('밸런스 조정'!$C$73*(1+'밸런스 조정'!$C$75)^17*IF(M137="Boss",'밸런스 조정'!$C$79,IF(M137="Elite",'밸런스 조정'!$C$77,1)),0)</f>
        <v>7405</v>
      </c>
      <c r="P137">
        <f>'밸런스 조정'!$C$75</f>
        <v>0.06</v>
      </c>
      <c r="Q137">
        <f>'밸런스 조정'!$C$64</f>
        <v>0</v>
      </c>
      <c r="R137">
        <f>'밸런스 조정'!$C$90*IF(M137="Boss",5,IF(M137="Elite",2,1))</f>
        <v>300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>
        <v>0.9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>
        <f>ROUND(O137*(1+P138),0)</f>
        <v>8516</v>
      </c>
      <c r="P138">
        <v>0.15</v>
      </c>
      <c r="Q138">
        <f>'밸런스 조정'!$C$64</f>
        <v>0</v>
      </c>
      <c r="R138">
        <f>'밸런스 조정'!$C$90*IF(M138="Boss",5,IF(M138="Elite",2,1))</f>
        <v>300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>
        <f>ROUND('밸런스 조정'!$C$73*(1+'밸런스 조정'!$C$75)^18*IF(M139="Boss",'밸런스 조정'!$C$79,IF(M139="Elite",'밸런스 조정'!$C$77,1)),0)</f>
        <v>7849</v>
      </c>
      <c r="P139">
        <f>'밸런스 조정'!$C$75</f>
        <v>0.06</v>
      </c>
      <c r="Q139">
        <f>'밸런스 조정'!$C$64</f>
        <v>0</v>
      </c>
      <c r="R139">
        <f>'밸런스 조정'!$C$90*IF(M139="Boss",5,IF(M139="Elite",2,1))</f>
        <v>300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>
        <f>ROUND(O139*(1+P140),0)</f>
        <v>9026</v>
      </c>
      <c r="P140">
        <v>0.15</v>
      </c>
      <c r="Q140">
        <f>'밸런스 조정'!$C$64</f>
        <v>0</v>
      </c>
      <c r="R140">
        <f>'밸런스 조정'!$C$90*IF(M140="Boss",5,IF(M140="Elite",2,1))</f>
        <v>300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>
        <f>ROUND('밸런스 조정'!$C$73*(1+'밸런스 조정'!$C$75)^19*IF(M141="Boss",'밸런스 조정'!$C$79,IF(M141="Elite",'밸런스 조정'!$C$77,1)),0)</f>
        <v>12481</v>
      </c>
      <c r="P141">
        <f>'밸런스 조정'!$C$75</f>
        <v>0.06</v>
      </c>
      <c r="Q141">
        <f>'밸런스 조정'!$C$64</f>
        <v>0</v>
      </c>
      <c r="R141">
        <f>'밸런스 조정'!$C$90*IF(M141="Boss",5,IF(M141="Elite",2,1))</f>
        <v>600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>
        <f>ROUND(O141*(1+P142),0)</f>
        <v>14353</v>
      </c>
      <c r="P142">
        <v>0.15</v>
      </c>
      <c r="Q142">
        <f>'밸런스 조정'!$C$64</f>
        <v>0</v>
      </c>
      <c r="R142">
        <f>'밸런스 조정'!$C$90*IF(M142="Boss",5,IF(M142="Elite",2,1))</f>
        <v>600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>
        <f>ROUND('밸런스 조정'!$C$73*(1+'밸런스 조정'!$C$75)^20*IF(M143="Boss",'밸런스 조정'!$C$79,IF(M143="Elite",'밸런스 조정'!$C$77,1)),0)</f>
        <v>8820</v>
      </c>
      <c r="P143">
        <f>'밸런스 조정'!$C$75</f>
        <v>0.06</v>
      </c>
      <c r="Q143">
        <f>'밸런스 조정'!$C$64</f>
        <v>0</v>
      </c>
      <c r="R143">
        <f>'밸런스 조정'!$C$90*IF(M143="Boss",5,IF(M143="Elite",2,1))</f>
        <v>300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>
        <f>ROUND(O143*(1+P144),0)</f>
        <v>10143</v>
      </c>
      <c r="P144">
        <v>0.15</v>
      </c>
      <c r="Q144">
        <f>'밸런스 조정'!$C$64</f>
        <v>0</v>
      </c>
      <c r="R144">
        <f>'밸런스 조정'!$C$90*IF(M144="Boss",5,IF(M144="Elite",2,1))</f>
        <v>300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>
        <f>ROUND('밸런스 조정'!$C$73*(1+'밸런스 조정'!$C$75)^21*IF(M145="Boss",'밸런스 조정'!$C$79,IF(M145="Elite",'밸런스 조정'!$C$77,1)),0)</f>
        <v>9349</v>
      </c>
      <c r="P145">
        <f>'밸런스 조정'!$C$75</f>
        <v>0.06</v>
      </c>
      <c r="Q145">
        <f>'밸런스 조정'!$C$64</f>
        <v>0</v>
      </c>
      <c r="R145">
        <f>'밸런스 조정'!$C$90*IF(M145="Boss",5,IF(M145="Elite",2,1))</f>
        <v>300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>
        <f>ROUND(O145*(1+P146),0)</f>
        <v>10751</v>
      </c>
      <c r="P146">
        <v>0.15</v>
      </c>
      <c r="Q146">
        <f>'밸런스 조정'!$C$64</f>
        <v>0</v>
      </c>
      <c r="R146">
        <f>'밸런스 조정'!$C$90*IF(M146="Boss",5,IF(M146="Elite",2,1))</f>
        <v>300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>
        <v>0.65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>
        <f>ROUND('밸런스 조정'!$C$73*(1+'밸런스 조정'!$C$75)^22*IF(M147="Boss",'밸런스 조정'!$C$79,IF(M147="Elite",'밸런스 조정'!$C$77,1)),0)</f>
        <v>9910</v>
      </c>
      <c r="P147">
        <f>'밸런스 조정'!$C$75</f>
        <v>0.06</v>
      </c>
      <c r="Q147">
        <f>'밸런스 조정'!$C$64</f>
        <v>0</v>
      </c>
      <c r="R147">
        <f>'밸런스 조정'!$C$90*IF(M147="Boss",5,IF(M147="Elite",2,1))</f>
        <v>300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>
        <v>0.9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>
        <f>ROUND(O147*(1+P148),0)</f>
        <v>11397</v>
      </c>
      <c r="P148">
        <v>0.15</v>
      </c>
      <c r="Q148">
        <f>'밸런스 조정'!$C$64</f>
        <v>0</v>
      </c>
      <c r="R148">
        <f>'밸런스 조정'!$C$90*IF(M148="Boss",5,IF(M148="Elite",2,1))</f>
        <v>300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>
        <f>ROUND('밸런스 조정'!$C$73*(1+'밸런스 조정'!$C$75)^23*IF(M149="Boss",'밸런스 조정'!$C$79,IF(M149="Elite",'밸런스 조정'!$C$77,1)),0)</f>
        <v>10504</v>
      </c>
      <c r="P149">
        <f>'밸런스 조정'!$C$75</f>
        <v>0.06</v>
      </c>
      <c r="Q149">
        <f>'밸런스 조정'!$C$64</f>
        <v>0</v>
      </c>
      <c r="R149">
        <f>'밸런스 조정'!$C$90*IF(M149="Boss",5,IF(M149="Elite",2,1))</f>
        <v>300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>
        <f>ROUND(O149*(1+P150),0)</f>
        <v>12080</v>
      </c>
      <c r="P150">
        <v>0.15</v>
      </c>
      <c r="Q150">
        <f>'밸런스 조정'!$C$64</f>
        <v>0</v>
      </c>
      <c r="R150">
        <f>'밸런스 조정'!$C$90*IF(M150="Boss",5,IF(M150="Elite",2,1))</f>
        <v>300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>
        <f>ROUND('밸런스 조정'!$C$73*(1+'밸런스 조정'!$C$75)^24*IF(M151="Boss",'밸런스 조정'!$C$79,IF(M151="Elite",'밸런스 조정'!$C$77,1)),0)</f>
        <v>28950</v>
      </c>
      <c r="P151">
        <f>'밸런스 조정'!$C$75</f>
        <v>0.06</v>
      </c>
      <c r="Q151">
        <f>'밸런스 조정'!$C$64</f>
        <v>0</v>
      </c>
      <c r="R151">
        <f>'밸런스 조정'!$C$90*IF(M151="Boss",5,IF(M151="Elite",2,1))</f>
        <v>1500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>
        <f>ROUND(O151*(1+P152),0)</f>
        <v>33293</v>
      </c>
      <c r="P152">
        <v>0.15</v>
      </c>
      <c r="Q152">
        <f>'밸런스 조정'!$C$64</f>
        <v>0</v>
      </c>
      <c r="R152">
        <f>'밸런스 조정'!$C$90*IF(M152="Boss",5,IF(M152="Elite",2,1))</f>
        <v>1500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>
        <v>0.1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>
        <v>3.4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>
        <v>15</v>
      </c>
      <c r="D55" s="44" t="s">
        <v>589</v>
      </c>
    </row>
    <row r="56" spans="2:4" ht="42" customHeight="1">
      <c r="B56" s="24" t="s">
        <v>590</v>
      </c>
      <c r="C56" s="42">
        <v>20</v>
      </c>
      <c r="D56" s="44" t="s">
        <v>591</v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>
        <v>3.1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>
        <v>2750</v>
      </c>
      <c r="D73" s="36" t="s">
        <v>626</v>
      </c>
      <c r="J73" s="31">
        <v>1</v>
      </c>
      <c r="K73" s="31" t="s">
        <v>627</v>
      </c>
      <c r="L73" s="31">
        <v>20</v>
      </c>
      <c r="M73" s="31">
        <f>L73</f>
        <v>20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>
        <f>M73+L74</f>
        <v>40</v>
      </c>
      <c r="N74" s="31">
        <v>24</v>
      </c>
      <c r="O74" s="31">
        <v>20</v>
      </c>
      <c r="P74" s="31">
        <f>C91</f>
        <v>150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>
        <v>0.06</v>
      </c>
      <c r="D75" s="36" t="s">
        <v>628</v>
      </c>
      <c r="J75" s="31">
        <v>3</v>
      </c>
      <c r="K75" s="31" t="s">
        <v>630</v>
      </c>
      <c r="L75" s="31">
        <v>20</v>
      </c>
      <c r="M75" s="31">
        <f>M74+L75</f>
        <v>60</v>
      </c>
      <c r="N75" s="31">
        <v>36</v>
      </c>
      <c r="O75" s="31">
        <v>30</v>
      </c>
      <c r="P75" s="31">
        <f>C90</f>
        <v>300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>
        <f>M75+L76</f>
        <v>80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>
        <f>M76+L77</f>
        <v>100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>
        <v>300</v>
      </c>
      <c r="D90" s="36" t="s">
        <v>651</v>
      </c>
    </row>
    <row r="91" spans="2:4" ht="32.1" customHeight="1">
      <c r="B91" s="31" t="s">
        <v>652</v>
      </c>
      <c r="C91" s="34">
        <v>150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>
        <v>150</v>
      </c>
      <c r="D96" s="36" t="s">
        <v>662</v>
      </c>
    </row>
    <row r="97" spans="2:4" ht="32.1" customHeight="1">
      <c r="B97" s="31" t="s">
        <v>663</v>
      </c>
      <c r="C97" s="34">
        <v>300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