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<sst xmlns="http://schemas.openxmlformats.org/spreadsheetml/2006/main" count="5031" uniqueCount="786">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</sst>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>
        <f>'밸런스 조정'!C96</f>
        <v>150</v>
      </c>
    </row>
    <row r="15" spans="2:7">
      <c r="B15" t="s">
        <v>162</v>
      </c>
      <c r="C15" t="s">
        <v>150</v>
      </c>
      <c r="D15">
        <f>'밸런스 조정'!C97</f>
        <v>300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700</v>
      </c>
    </row>
    <row r="32" spans="2:4">
      <c r="B32" t="s">
        <v>179</v>
      </c>
      <c r="C32" t="s">
        <v>150</v>
      </c>
      <c r="D32">
        <f>'밸런스 조정'!C116</f>
        <v>3.8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>
        <f>ROUND('밸런스 조정'!$C$31*(1+'밸런스 조정'!$C$33)^0*1,0)</f>
        <v>540</v>
      </c>
      <c r="P53">
        <v>4.4999999999999998E-2</v>
      </c>
      <c r="Q53" s="41">
        <f>'밸런스 조정'!$C$64</f>
        <v>0</v>
      </c>
      <c r="R53" s="41">
        <f>'밸런스 조정'!$C$91*IF(M53="Boss",5,IF(M53="Elite",2,1))</f>
        <v>150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>
        <f>ROUND(O53*(1+P54),0)</f>
        <v>621</v>
      </c>
      <c r="P54">
        <v>0.15</v>
      </c>
      <c r="Q54" s="41">
        <f>'밸런스 조정'!$C$64</f>
        <v>0</v>
      </c>
      <c r="R54" s="41">
        <f>'밸런스 조정'!$C$91*IF(M54="Boss",5,IF(M54="Elite",2,1))</f>
        <v>150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>
        <f>ROUND('밸런스 조정'!$C$31*(1+'밸런스 조정'!$C$33)^1*1,0)</f>
        <v>581</v>
      </c>
      <c r="P55">
        <v>4.4999999999999998E-2</v>
      </c>
      <c r="Q55" s="41">
        <f>'밸런스 조정'!$C$64</f>
        <v>0</v>
      </c>
      <c r="R55" s="41">
        <f>'밸런스 조정'!$C$91*IF(M55="Boss",5,IF(M55="Elite",2,1))</f>
        <v>150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>
        <f>ROUND(O55*(1+P56),0)</f>
        <v>668</v>
      </c>
      <c r="P56">
        <v>0.15</v>
      </c>
      <c r="Q56" s="41">
        <f>'밸런스 조정'!$C$64</f>
        <v>0</v>
      </c>
      <c r="R56" s="41">
        <f>'밸런스 조정'!$C$91*IF(M56="Boss",5,IF(M56="Elite",2,1))</f>
        <v>150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>
        <f>ROUND('밸런스 조정'!$C$31*(1+'밸런스 조정'!$C$33)^2*'밸런스 조정'!$C$35,0)</f>
        <v>936</v>
      </c>
      <c r="P57">
        <v>4.4999999999999998E-2</v>
      </c>
      <c r="Q57" s="41">
        <f>'밸런스 조정'!$C$64</f>
        <v>0</v>
      </c>
      <c r="R57" s="41">
        <f>'밸런스 조정'!$C$91*IF(M57="Boss",5,IF(M57="Elite",2,1))</f>
        <v>300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>
        <f>ROUND(O57*(1+P58),0)</f>
        <v>1076</v>
      </c>
      <c r="P58">
        <v>0.15</v>
      </c>
      <c r="Q58" s="41">
        <f>'밸런스 조정'!$C$64</f>
        <v>0</v>
      </c>
      <c r="R58" s="41">
        <f>'밸런스 조정'!$C$91*IF(M58="Boss",5,IF(M58="Elite",2,1))</f>
        <v>300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>
        <f>ROUND('밸런스 조정'!$C$31*(1+'밸런스 조정'!$C$33)^3*'밸런스 조정'!$C$35,0)</f>
        <v>1006</v>
      </c>
      <c r="P59">
        <v>4.4999999999999998E-2</v>
      </c>
      <c r="Q59" s="41">
        <f>'밸런스 조정'!$C$64</f>
        <v>0</v>
      </c>
      <c r="R59" s="41">
        <f>'밸런스 조정'!$C$91*IF(M59="Boss",5,IF(M59="Elite",2,1))</f>
        <v>300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>
        <f>ROUND(O59*(1+P60),0)</f>
        <v>1157</v>
      </c>
      <c r="P60">
        <v>0.15</v>
      </c>
      <c r="Q60" s="41">
        <f>'밸런스 조정'!$C$64</f>
        <v>0</v>
      </c>
      <c r="R60" s="41">
        <f>'밸런스 조정'!$C$91*IF(M60="Boss",5,IF(M60="Elite",2,1))</f>
        <v>300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>
        <f>ROUND('밸런스 조정'!$C$31*(1+'밸런스 조정'!$C$33)^4*1,0)</f>
        <v>721</v>
      </c>
      <c r="P61">
        <v>4.4999999999999998E-2</v>
      </c>
      <c r="Q61" s="41">
        <f>'밸런스 조정'!$C$64</f>
        <v>0</v>
      </c>
      <c r="R61" s="41">
        <f>'밸런스 조정'!$C$91*IF(M61="Boss",5,IF(M61="Elite",2,1))</f>
        <v>150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>
        <f>ROUND(O61*(1+P62),0)</f>
        <v>829</v>
      </c>
      <c r="P62">
        <v>0.15</v>
      </c>
      <c r="Q62" s="41">
        <f>'밸런스 조정'!$C$64</f>
        <v>0</v>
      </c>
      <c r="R62" s="41">
        <f>'밸런스 조정'!$C$91*IF(M62="Boss",5,IF(M62="Elite",2,1))</f>
        <v>150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>
        <f>ROUND('밸런스 조정'!$C$31*(1+'밸런스 조정'!$C$33)^5*1,0)</f>
        <v>775</v>
      </c>
      <c r="P63">
        <v>4.4999999999999998E-2</v>
      </c>
      <c r="Q63" s="41">
        <f>'밸런스 조정'!$C$64</f>
        <v>0</v>
      </c>
      <c r="R63" s="41">
        <f>'밸런스 조정'!$C$91*IF(M63="Boss",5,IF(M63="Elite",2,1))</f>
        <v>150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>
        <f>ROUND(O63*(1+P64),0)</f>
        <v>891</v>
      </c>
      <c r="P64">
        <v>0.15</v>
      </c>
      <c r="Q64" s="41">
        <f>'밸런스 조정'!$C$64</f>
        <v>0</v>
      </c>
      <c r="R64" s="41">
        <f>'밸런스 조정'!$C$91*IF(M64="Boss",5,IF(M64="Elite",2,1))</f>
        <v>150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>
        <f>ROUND('밸런스 조정'!$C$31*(1+'밸런스 조정'!$C$33)^6*1,0)</f>
        <v>833</v>
      </c>
      <c r="P65">
        <v>4.4999999999999998E-2</v>
      </c>
      <c r="Q65" s="41">
        <f>'밸런스 조정'!$C$64</f>
        <v>0</v>
      </c>
      <c r="R65" s="41">
        <f>'밸런스 조정'!$C$91*IF(M65="Boss",5,IF(M65="Elite",2,1))</f>
        <v>150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>
        <f>ROUND(O65*(1+P66),0)</f>
        <v>958</v>
      </c>
      <c r="P66">
        <v>0.15</v>
      </c>
      <c r="Q66" s="41">
        <f>'밸런스 조정'!$C$64</f>
        <v>0</v>
      </c>
      <c r="R66" s="41">
        <f>'밸런스 조정'!$C$91*IF(M66="Boss",5,IF(M66="Elite",2,1))</f>
        <v>150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>
        <f>ROUND('밸런스 조정'!$C$31*(1+'밸런스 조정'!$C$33)^7*1,0)</f>
        <v>896</v>
      </c>
      <c r="P67">
        <v>4.4999999999999998E-2</v>
      </c>
      <c r="Q67" s="41">
        <f>'밸런스 조정'!$C$64</f>
        <v>0</v>
      </c>
      <c r="R67" s="41">
        <f>'밸런스 조정'!$C$91*IF(M67="Boss",5,IF(M67="Elite",2,1))</f>
        <v>150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>
        <f>ROUND(O67*(1+P68),0)</f>
        <v>1030</v>
      </c>
      <c r="P68">
        <v>0.15</v>
      </c>
      <c r="Q68" s="41">
        <f>'밸런스 조정'!$C$64</f>
        <v>0</v>
      </c>
      <c r="R68" s="41">
        <f>'밸런스 조정'!$C$91*IF(M68="Boss",5,IF(M68="Elite",2,1))</f>
        <v>150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>
        <f>ROUND('밸런스 조정'!$C$31*(1+'밸런스 조정'!$C$33)^8*'밸런스 조정'!$C$35,0)</f>
        <v>1445</v>
      </c>
      <c r="P69">
        <v>4.4999999999999998E-2</v>
      </c>
      <c r="Q69" s="41">
        <f>'밸런스 조정'!$C$64</f>
        <v>0</v>
      </c>
      <c r="R69" s="41">
        <f>'밸런스 조정'!$C$91*IF(M69="Boss",5,IF(M69="Elite",2,1))</f>
        <v>300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>
        <f>ROUND(O69*(1+P70),0)</f>
        <v>1662</v>
      </c>
      <c r="P70">
        <v>0.15</v>
      </c>
      <c r="Q70" s="41">
        <f>'밸런스 조정'!$C$64</f>
        <v>0</v>
      </c>
      <c r="R70" s="41">
        <f>'밸런스 조정'!$C$91*IF(M70="Boss",5,IF(M70="Elite",2,1))</f>
        <v>300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>
        <f>ROUND('밸런스 조정'!$C$31*(1+'밸런스 조정'!$C$33)^9*'밸런스 조정'!$C$35,0)</f>
        <v>1553</v>
      </c>
      <c r="P71">
        <v>4.4999999999999998E-2</v>
      </c>
      <c r="Q71" s="41">
        <f>'밸런스 조정'!$C$64</f>
        <v>0</v>
      </c>
      <c r="R71" s="41">
        <f>'밸런스 조정'!$C$91*IF(M71="Boss",5,IF(M71="Elite",2,1))</f>
        <v>300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>
        <f>ROUND(O71*(1+P72),0)</f>
        <v>1786</v>
      </c>
      <c r="P72">
        <v>0.15</v>
      </c>
      <c r="Q72" s="41">
        <f>'밸런스 조정'!$C$64</f>
        <v>0</v>
      </c>
      <c r="R72" s="41">
        <f>'밸런스 조정'!$C$91*IF(M72="Boss",5,IF(M72="Elite",2,1))</f>
        <v>300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>
        <f>ROUND('밸런스 조정'!$C$31*(1+'밸런스 조정'!$C$33)^10*1,0)</f>
        <v>1113</v>
      </c>
      <c r="P73">
        <v>4.4999999999999998E-2</v>
      </c>
      <c r="Q73" s="41">
        <f>'밸런스 조정'!$C$64</f>
        <v>0</v>
      </c>
      <c r="R73" s="41">
        <f>'밸런스 조정'!$C$91*IF(M73="Boss",5,IF(M73="Elite",2,1))</f>
        <v>150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>
        <f>ROUND(O73*(1+P74),0)</f>
        <v>1280</v>
      </c>
      <c r="P74">
        <v>0.15</v>
      </c>
      <c r="Q74" s="41">
        <f>'밸런스 조정'!$C$64</f>
        <v>0</v>
      </c>
      <c r="R74" s="41">
        <f>'밸런스 조정'!$C$91*IF(M74="Boss",5,IF(M74="Elite",2,1))</f>
        <v>150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>
        <f>ROUND('밸런스 조정'!$C$31*(1+'밸런스 조정'!$C$33)^11*1,0)</f>
        <v>1196</v>
      </c>
      <c r="P75">
        <v>4.4999999999999998E-2</v>
      </c>
      <c r="Q75" s="41">
        <f>'밸런스 조정'!$C$64</f>
        <v>0</v>
      </c>
      <c r="R75" s="41">
        <f>'밸런스 조정'!$C$91*IF(M75="Boss",5,IF(M75="Elite",2,1))</f>
        <v>150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>
        <f>ROUND(O75*(1+P76),0)</f>
        <v>1375</v>
      </c>
      <c r="P76">
        <v>0.15</v>
      </c>
      <c r="Q76" s="41">
        <f>'밸런스 조정'!$C$64</f>
        <v>0</v>
      </c>
      <c r="R76" s="41">
        <f>'밸런스 조정'!$C$91*IF(M76="Boss",5,IF(M76="Elite",2,1))</f>
        <v>150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>
        <f>ROUND('밸런스 조정'!$C$31*(1+'밸런스 조정'!$C$33)^12*1,0)</f>
        <v>1286</v>
      </c>
      <c r="P77">
        <v>4.4999999999999998E-2</v>
      </c>
      <c r="Q77" s="41">
        <f>'밸런스 조정'!$C$64</f>
        <v>0</v>
      </c>
      <c r="R77" s="41">
        <f>'밸런스 조정'!$C$91*IF(M77="Boss",5,IF(M77="Elite",2,1))</f>
        <v>150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>
        <f>ROUND(O77*(1+P78),0)</f>
        <v>1479</v>
      </c>
      <c r="P78">
        <v>0.15</v>
      </c>
      <c r="Q78" s="41">
        <f>'밸런스 조정'!$C$64</f>
        <v>0</v>
      </c>
      <c r="R78" s="41">
        <f>'밸런스 조정'!$C$91*IF(M78="Boss",5,IF(M78="Elite",2,1))</f>
        <v>150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>
        <f>ROUND('밸런스 조정'!$C$31*(1+'밸런스 조정'!$C$33)^13*1,0)</f>
        <v>1383</v>
      </c>
      <c r="P79">
        <v>4.4999999999999998E-2</v>
      </c>
      <c r="Q79" s="41">
        <f>'밸런스 조정'!$C$64</f>
        <v>0</v>
      </c>
      <c r="R79" s="41">
        <f>'밸런스 조정'!$C$91*IF(M79="Boss",5,IF(M79="Elite",2,1))</f>
        <v>150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>
        <f>ROUND(O79*(1+P80),0)</f>
        <v>1590</v>
      </c>
      <c r="P80">
        <v>0.15</v>
      </c>
      <c r="Q80" s="41">
        <f>'밸런스 조정'!$C$64</f>
        <v>0</v>
      </c>
      <c r="R80" s="41">
        <f>'밸런스 조정'!$C$91*IF(M80="Boss",5,IF(M80="Elite",2,1))</f>
        <v>150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>
        <f>ROUND('밸런스 조정'!$C$31*(1+'밸런스 조정'!$C$33)^14*'밸런스 조정'!$C$35,0)</f>
        <v>2229</v>
      </c>
      <c r="P81">
        <v>4.4999999999999998E-2</v>
      </c>
      <c r="Q81" s="41">
        <f>'밸런스 조정'!$C$64</f>
        <v>0</v>
      </c>
      <c r="R81" s="41">
        <f>'밸런스 조정'!$C$91*IF(M81="Boss",5,IF(M81="Elite",2,1))</f>
        <v>300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>
        <f>ROUND(O81*(1+P82),0)</f>
        <v>2563</v>
      </c>
      <c r="P82">
        <v>0.15</v>
      </c>
      <c r="Q82" s="41">
        <f>'밸런스 조정'!$C$64</f>
        <v>0</v>
      </c>
      <c r="R82" s="41">
        <f>'밸런스 조정'!$C$91*IF(M82="Boss",5,IF(M82="Elite",2,1))</f>
        <v>300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>
        <f>ROUND('밸런스 조정'!$C$31*(1+'밸런스 조정'!$C$33)^15*'밸런스 조정'!$C$35,0)</f>
        <v>2397</v>
      </c>
      <c r="P83">
        <v>4.4999999999999998E-2</v>
      </c>
      <c r="Q83" s="41">
        <f>'밸런스 조정'!$C$64</f>
        <v>0</v>
      </c>
      <c r="R83" s="41">
        <f>'밸런스 조정'!$C$91*IF(M83="Boss",5,IF(M83="Elite",2,1))</f>
        <v>300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>
        <f>ROUND(O83*(1+P84),0)</f>
        <v>2757</v>
      </c>
      <c r="P84">
        <v>0.15</v>
      </c>
      <c r="Q84" s="41">
        <f>'밸런스 조정'!$C$64</f>
        <v>0</v>
      </c>
      <c r="R84" s="41">
        <f>'밸런스 조정'!$C$91*IF(M84="Boss",5,IF(M84="Elite",2,1))</f>
        <v>300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>
        <f>ROUND('밸런스 조정'!$C$31*(1+'밸런스 조정'!$C$33)^16*1,0)</f>
        <v>1718</v>
      </c>
      <c r="P85">
        <v>4.4999999999999998E-2</v>
      </c>
      <c r="Q85" s="41">
        <f>'밸런스 조정'!$C$64</f>
        <v>0</v>
      </c>
      <c r="R85" s="41">
        <f>'밸런스 조정'!$C$91*IF(M85="Boss",5,IF(M85="Elite",2,1))</f>
        <v>150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>
        <f>ROUND(O85*(1+P86),0)</f>
        <v>1976</v>
      </c>
      <c r="P86">
        <v>0.15</v>
      </c>
      <c r="Q86" s="41">
        <f>'밸런스 조정'!$C$64</f>
        <v>0</v>
      </c>
      <c r="R86" s="41">
        <f>'밸런스 조정'!$C$91*IF(M86="Boss",5,IF(M86="Elite",2,1))</f>
        <v>150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>
        <f>ROUND('밸런스 조정'!$C$31*(1+'밸런스 조정'!$C$33)^17*1,0)</f>
        <v>1846</v>
      </c>
      <c r="P87">
        <v>4.4999999999999998E-2</v>
      </c>
      <c r="Q87" s="41">
        <f>'밸런스 조정'!$C$64</f>
        <v>0</v>
      </c>
      <c r="R87" s="41">
        <f>'밸런스 조정'!$C$91*IF(M87="Boss",5,IF(M87="Elite",2,1))</f>
        <v>150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>
        <f>ROUND(O87*(1+P88),0)</f>
        <v>2123</v>
      </c>
      <c r="P88">
        <v>0.15</v>
      </c>
      <c r="Q88" s="41">
        <f>'밸런스 조정'!$C$64</f>
        <v>0</v>
      </c>
      <c r="R88" s="41">
        <f>'밸런스 조정'!$C$91*IF(M88="Boss",5,IF(M88="Elite",2,1))</f>
        <v>150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>
        <f>ROUND('밸런스 조정'!$C$31*(1+'밸런스 조정'!$C$33)^18*1,0)</f>
        <v>1985</v>
      </c>
      <c r="P89">
        <v>4.4999999999999998E-2</v>
      </c>
      <c r="Q89" s="41">
        <f>'밸런스 조정'!$C$64</f>
        <v>0</v>
      </c>
      <c r="R89" s="41">
        <f>'밸런스 조정'!$C$91*IF(M89="Boss",5,IF(M89="Elite",2,1))</f>
        <v>150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>
        <f>ROUND(O89*(1+P90),0)</f>
        <v>2283</v>
      </c>
      <c r="P90">
        <v>0.15</v>
      </c>
      <c r="Q90" s="41">
        <f>'밸런스 조정'!$C$64</f>
        <v>0</v>
      </c>
      <c r="R90" s="41">
        <f>'밸런스 조정'!$C$91*IF(M90="Boss",5,IF(M90="Elite",2,1))</f>
        <v>150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>
        <f>ROUND('밸런스 조정'!$C$31*(1+'밸런스 조정'!$C$33)^19*1,0)</f>
        <v>2134</v>
      </c>
      <c r="P91">
        <v>4.4999999999999998E-2</v>
      </c>
      <c r="Q91" s="41">
        <f>'밸런스 조정'!$C$64</f>
        <v>0</v>
      </c>
      <c r="R91" s="41">
        <f>'밸런스 조정'!$C$91*IF(M91="Boss",5,IF(M91="Elite",2,1))</f>
        <v>150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>
        <f>ROUND(O91*(1+P92),0)</f>
        <v>2454</v>
      </c>
      <c r="P92">
        <v>0.15</v>
      </c>
      <c r="Q92" s="41">
        <f>'밸런스 조정'!$C$64</f>
        <v>0</v>
      </c>
      <c r="R92" s="41">
        <f>'밸런스 조정'!$C$91*IF(M92="Boss",5,IF(M92="Elite",2,1))</f>
        <v>150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>
        <f>ROUND('밸런스 조정'!$C$31*(1+'밸런스 조정'!$C$33)^20*'밸런스 조정'!$C$35,0)</f>
        <v>3441</v>
      </c>
      <c r="P93">
        <v>4.4999999999999998E-2</v>
      </c>
      <c r="Q93" s="41">
        <f>'밸런스 조정'!$C$64</f>
        <v>0</v>
      </c>
      <c r="R93" s="41">
        <f>'밸런스 조정'!$C$91*IF(M93="Boss",5,IF(M93="Elite",2,1))</f>
        <v>300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>
        <f>ROUND(O93*(1+P94),0)</f>
        <v>3957</v>
      </c>
      <c r="P94">
        <v>0.15</v>
      </c>
      <c r="Q94" s="41">
        <f>'밸런스 조정'!$C$64</f>
        <v>0</v>
      </c>
      <c r="R94" s="41">
        <f>'밸런스 조정'!$C$91*IF(M94="Boss",5,IF(M94="Elite",2,1))</f>
        <v>300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>
        <f>ROUND('밸런스 조정'!$C$31*(1+'밸런스 조정'!$C$33)^21*'밸런스 조정'!$C$35,0)</f>
        <v>3699</v>
      </c>
      <c r="P95">
        <v>4.4999999999999998E-2</v>
      </c>
      <c r="Q95" s="41">
        <f>'밸런스 조정'!$C$64</f>
        <v>0</v>
      </c>
      <c r="R95" s="41">
        <f>'밸런스 조정'!$C$91*IF(M95="Boss",5,IF(M95="Elite",2,1))</f>
        <v>300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>
        <f>ROUND(O95*(1+P96),0)</f>
        <v>4254</v>
      </c>
      <c r="P96">
        <v>0.15</v>
      </c>
      <c r="Q96" s="41">
        <f>'밸런스 조정'!$C$64</f>
        <v>0</v>
      </c>
      <c r="R96" s="41">
        <f>'밸런스 조정'!$C$91*IF(M96="Boss",5,IF(M96="Elite",2,1))</f>
        <v>300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>
        <f>ROUND('밸런스 조정'!$C$31*(1+'밸런스 조정'!$C$33)^22*1,0)</f>
        <v>2651</v>
      </c>
      <c r="P97">
        <v>4.4999999999999998E-2</v>
      </c>
      <c r="Q97" s="41">
        <f>'밸런스 조정'!$C$64</f>
        <v>0</v>
      </c>
      <c r="R97" s="41">
        <f>'밸런스 조정'!$C$91*IF(M97="Boss",5,IF(M97="Elite",2,1))</f>
        <v>150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>
        <f>ROUND(O97*(1+P98),0)</f>
        <v>3049</v>
      </c>
      <c r="P98">
        <v>0.15</v>
      </c>
      <c r="Q98" s="41">
        <f>'밸런스 조정'!$C$64</f>
        <v>0</v>
      </c>
      <c r="R98" s="41">
        <f>'밸런스 조정'!$C$91*IF(M98="Boss",5,IF(M98="Elite",2,1))</f>
        <v>150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>
        <f>ROUND('밸런스 조정'!$C$31*(1+'밸런스 조정'!$C$33)^23*1,0)</f>
        <v>2850</v>
      </c>
      <c r="P99">
        <v>4.4999999999999998E-2</v>
      </c>
      <c r="Q99" s="41">
        <f>'밸런스 조정'!$C$64</f>
        <v>0</v>
      </c>
      <c r="R99" s="41">
        <f>'밸런스 조정'!$C$91*IF(M99="Boss",5,IF(M99="Elite",2,1))</f>
        <v>150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>
        <f>ROUND(O99*(1+P100),0)</f>
        <v>3278</v>
      </c>
      <c r="P100">
        <v>0.15</v>
      </c>
      <c r="Q100" s="41">
        <f>'밸런스 조정'!$C$64</f>
        <v>0</v>
      </c>
      <c r="R100" s="41">
        <f>'밸런스 조정'!$C$91*IF(M100="Boss",5,IF(M100="Elite",2,1))</f>
        <v>150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>
        <f>ROUND('밸런스 조정'!$C$31*(1+'밸런스 조정'!$C$33)^24*'밸런스 조정'!$C$37,0)</f>
        <v>7965</v>
      </c>
      <c r="P101">
        <v>4.4999999999999998E-2</v>
      </c>
      <c r="Q101" s="41">
        <f>'밸런스 조정'!$C$64</f>
        <v>0</v>
      </c>
      <c r="R101" s="41">
        <f>'밸런스 조정'!$C$91*IF(M101="Boss",5,IF(M101="Elite",2,1))</f>
        <v>750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>
        <f>ROUND(O101*(1+P102),0)</f>
        <v>9160</v>
      </c>
      <c r="P102">
        <v>0.15</v>
      </c>
      <c r="Q102" s="41">
        <f>'밸런스 조정'!$C$64</f>
        <v>0</v>
      </c>
      <c r="R102" s="41">
        <f>'밸런스 조정'!$C$91*IF(M102="Boss",5,IF(M102="Elite",2,1))</f>
        <v>750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조정'!$C$74)^0*IF(M103="Boss",'밸런스 조정'!$C$78,IF(M103="Elite",'밸런스 조정'!$C$76,1)),0)</f>
        <v>650</v>
      </c>
      <c r="O103">
        <f>ROUND('밸런스 조정'!$C$73*(1+'밸런스 조정'!$C$75)^0*IF(M103="Boss",'밸런스 조정'!$C$79,IF(M103="Elite",'밸런스 조정'!$C$77,1)),0)</f>
        <v>2750</v>
      </c>
      <c r="P103">
        <f>'밸런스 조정'!$C$75</f>
        <v>0.06</v>
      </c>
      <c r="Q103">
        <f>'밸런스 조정'!$C$64</f>
        <v>0</v>
      </c>
      <c r="R103">
        <f>'밸런스 조정'!$C$90*IF(M103="Boss",5,IF(M103="Elite",2,1))</f>
        <v>300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조정'!$C$74)^0*IF(M104="Boss",'밸런스 조정'!$C$78,IF(M104="Elite",'밸런스 조정'!$C$76,1)),0)</f>
        <v>650</v>
      </c>
      <c r="O104">
        <f>ROUND(O103*(1+P104),0)</f>
        <v>3163</v>
      </c>
      <c r="P104">
        <v>0.15</v>
      </c>
      <c r="Q104">
        <f>'밸런스 조정'!$C$64</f>
        <v>0</v>
      </c>
      <c r="R104">
        <f>'밸런스 조정'!$C$90*IF(M104="Boss",5,IF(M104="Elite",2,1))</f>
        <v>300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조정'!$C$74)^1*IF(M105="Boss",'밸런스 조정'!$C$78,IF(M105="Elite",'밸런스 조정'!$C$76,1)),0)</f>
        <v>673</v>
      </c>
      <c r="O105">
        <f>ROUND('밸런스 조정'!$C$73*(1+'밸런스 조정'!$C$75)^1*IF(M105="Boss",'밸런스 조정'!$C$79,IF(M105="Elite",'밸런스 조정'!$C$77,1)),0)</f>
        <v>2915</v>
      </c>
      <c r="P105">
        <f>'밸런스 조정'!$C$75</f>
        <v>0.06</v>
      </c>
      <c r="Q105">
        <f>'밸런스 조정'!$C$64</f>
        <v>0</v>
      </c>
      <c r="R105">
        <f>'밸런스 조정'!$C$90*IF(M105="Boss",5,IF(M105="Elite",2,1))</f>
        <v>300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조정'!$C$74)^1*IF(M106="Boss",'밸런스 조정'!$C$78,IF(M106="Elite",'밸런스 조정'!$C$76,1)),0)</f>
        <v>673</v>
      </c>
      <c r="O106">
        <f>ROUND(O105*(1+P106),0)</f>
        <v>3352</v>
      </c>
      <c r="P106">
        <v>0.15</v>
      </c>
      <c r="Q106">
        <f>'밸런스 조정'!$C$64</f>
        <v>0</v>
      </c>
      <c r="R106">
        <f>'밸런스 조정'!$C$90*IF(M106="Boss",5,IF(M106="Elite",2,1))</f>
        <v>300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>
        <v>0.65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조정'!$C$74)^2*IF(M107="Boss",'밸런스 조정'!$C$78,IF(M107="Elite",'밸런스 조정'!$C$76,1)),0))*0.45</f>
        <v>313.2</v>
      </c>
      <c r="O107">
        <f>ROUND('밸런스 조정'!$C$73*(1+'밸런스 조정'!$C$75)^2*IF(M107="Boss",'밸런스 조정'!$C$79,IF(M107="Elite",'밸런스 조정'!$C$77,1)),0)</f>
        <v>3090</v>
      </c>
      <c r="P107">
        <f>'밸런스 조정'!$C$75</f>
        <v>0.06</v>
      </c>
      <c r="Q107">
        <f>'밸런스 조정'!$C$64</f>
        <v>0</v>
      </c>
      <c r="R107">
        <f>'밸런스 조정'!$C$90*IF(M107="Boss",5,IF(M107="Elite",2,1))</f>
        <v>300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>
        <v>0.9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조정'!$C$74)^2*IF(M108="Boss",'밸런스 조정'!$C$78,IF(M108="Elite",'밸런스 조정'!$C$76,1)),0))*0.45</f>
        <v>313.2</v>
      </c>
      <c r="O108">
        <f>ROUND(O107*(1+P108),0)</f>
        <v>3554</v>
      </c>
      <c r="P108">
        <v>0.15</v>
      </c>
      <c r="Q108">
        <f>'밸런스 조정'!$C$64</f>
        <v>0</v>
      </c>
      <c r="R108">
        <f>'밸런스 조정'!$C$90*IF(M108="Boss",5,IF(M108="Elite",2,1))</f>
        <v>300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조정'!$C$74)^3*IF(M109="Boss",'밸런스 조정'!$C$78,IF(M109="Elite",'밸런스 조정'!$C$76,1)),0))*0.45</f>
        <v>324.45</v>
      </c>
      <c r="O109">
        <f>ROUND('밸런스 조정'!$C$73*(1+'밸런스 조정'!$C$75)^3*IF(M109="Boss",'밸런스 조정'!$C$79,IF(M109="Elite",'밸런스 조정'!$C$77,1)),0)</f>
        <v>3275</v>
      </c>
      <c r="P109">
        <f>'밸런스 조정'!$C$75</f>
        <v>0.06</v>
      </c>
      <c r="Q109">
        <f>'밸런스 조정'!$C$64</f>
        <v>0</v>
      </c>
      <c r="R109">
        <f>'밸런스 조정'!$C$90*IF(M109="Boss",5,IF(M109="Elite",2,1))</f>
        <v>300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조정'!$C$74)^3*IF(M110="Boss",'밸런스 조정'!$C$78,IF(M110="Elite",'밸런스 조정'!$C$76,1)),0))*0.45</f>
        <v>324.45</v>
      </c>
      <c r="O110">
        <f>ROUND(O109*(1+P110),0)</f>
        <v>3766</v>
      </c>
      <c r="P110">
        <v>0.15</v>
      </c>
      <c r="Q110">
        <f>'밸런스 조정'!$C$64</f>
        <v>0</v>
      </c>
      <c r="R110">
        <f>'밸런스 조정'!$C$90*IF(M110="Boss",5,IF(M110="Elite",2,1))</f>
        <v>300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조정'!$C$74)^4*IF(M111="Boss",'밸런스 조정'!$C$78,IF(M111="Elite",'밸런스 조정'!$C$76,1)),0))*0.45</f>
        <v>419.40000000000003</v>
      </c>
      <c r="O111">
        <f>ROUND('밸런스 조정'!$C$73*(1+'밸런스 조정'!$C$75)^4*IF(M111="Boss",'밸런스 조정'!$C$79,IF(M111="Elite",'밸런스 조정'!$C$77,1)),0)</f>
        <v>5208</v>
      </c>
      <c r="P111">
        <f>'밸런스 조정'!$C$75</f>
        <v>0.06</v>
      </c>
      <c r="Q111">
        <f>'밸런스 조정'!$C$64</f>
        <v>0</v>
      </c>
      <c r="R111">
        <f>'밸런스 조정'!$C$90*IF(M111="Boss",5,IF(M111="Elite",2,1))</f>
        <v>600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조정'!$C$74)^4*IF(M112="Boss",'밸런스 조정'!$C$78,IF(M112="Elite",'밸런스 조정'!$C$76,1)),0))*0.45</f>
        <v>419.40000000000003</v>
      </c>
      <c r="O112">
        <f>ROUND(O111*(1+P112),0)</f>
        <v>5989</v>
      </c>
      <c r="P112">
        <v>0.15</v>
      </c>
      <c r="Q112">
        <f>'밸런스 조정'!$C$64</f>
        <v>0</v>
      </c>
      <c r="R112">
        <f>'밸런스 조정'!$C$90*IF(M112="Boss",5,IF(M112="Elite",2,1))</f>
        <v>600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조정'!$C$74)^5*IF(M113="Boss",'밸런스 조정'!$C$78,IF(M113="Elite",'밸런스 조정'!$C$76,1)),0)</f>
        <v>772</v>
      </c>
      <c r="O113">
        <f>ROUND('밸런스 조정'!$C$73*(1+'밸런스 조정'!$C$75)^5*IF(M113="Boss",'밸런스 조정'!$C$79,IF(M113="Elite",'밸런스 조정'!$C$77,1)),0)</f>
        <v>3680</v>
      </c>
      <c r="P113">
        <f>'밸런스 조정'!$C$75</f>
        <v>0.06</v>
      </c>
      <c r="Q113">
        <f>'밸런스 조정'!$C$64</f>
        <v>0</v>
      </c>
      <c r="R113">
        <f>'밸런스 조정'!$C$90*IF(M113="Boss",5,IF(M113="Elite",2,1))</f>
        <v>300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조정'!$C$74)^5*IF(M114="Boss",'밸런스 조정'!$C$78,IF(M114="Elite",'밸런스 조정'!$C$76,1)),0)</f>
        <v>772</v>
      </c>
      <c r="O114">
        <f>ROUND(O113*(1+P114),0)</f>
        <v>4232</v>
      </c>
      <c r="P114">
        <v>0.15</v>
      </c>
      <c r="Q114">
        <f>'밸런스 조정'!$C$64</f>
        <v>0</v>
      </c>
      <c r="R114">
        <f>'밸런스 조정'!$C$90*IF(M114="Boss",5,IF(M114="Elite",2,1))</f>
        <v>300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조정'!$C$74)^6*IF(M115="Boss",'밸런스 조정'!$C$78,IF(M115="Elite",'밸런스 조정'!$C$76,1)),0)</f>
        <v>799</v>
      </c>
      <c r="O115">
        <f>ROUND('밸런스 조정'!$C$73*(1+'밸런스 조정'!$C$75)^6*IF(M115="Boss",'밸런스 조정'!$C$79,IF(M115="Elite",'밸런스 조정'!$C$77,1)),0)</f>
        <v>3901</v>
      </c>
      <c r="P115">
        <f>'밸런스 조정'!$C$75</f>
        <v>0.06</v>
      </c>
      <c r="Q115">
        <f>'밸런스 조정'!$C$64</f>
        <v>0</v>
      </c>
      <c r="R115">
        <f>'밸런스 조정'!$C$90*IF(M115="Boss",5,IF(M115="Elite",2,1))</f>
        <v>300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조정'!$C$74)^6*IF(M116="Boss",'밸런스 조정'!$C$78,IF(M116="Elite",'밸런스 조정'!$C$76,1)),0)</f>
        <v>799</v>
      </c>
      <c r="O116">
        <f>ROUND(O115*(1+P116),0)</f>
        <v>4486</v>
      </c>
      <c r="P116">
        <v>0.15</v>
      </c>
      <c r="Q116">
        <f>'밸런스 조정'!$C$64</f>
        <v>0</v>
      </c>
      <c r="R116">
        <f>'밸런스 조정'!$C$90*IF(M116="Boss",5,IF(M116="Elite",2,1))</f>
        <v>300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>
        <v>0.65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조정'!$C$74)^7*IF(M117="Boss",'밸런스 조정'!$C$78,IF(M117="Elite",'밸런스 조정'!$C$76,1)),0))*0.45</f>
        <v>372.15000000000003</v>
      </c>
      <c r="O117">
        <f>ROUND('밸런스 조정'!$C$73*(1+'밸런스 조정'!$C$75)^7*IF(M117="Boss",'밸런스 조정'!$C$79,IF(M117="Elite",'밸런스 조정'!$C$77,1)),0)</f>
        <v>4135</v>
      </c>
      <c r="P117">
        <f>'밸런스 조정'!$C$75</f>
        <v>0.06</v>
      </c>
      <c r="Q117">
        <f>'밸런스 조정'!$C$64</f>
        <v>0</v>
      </c>
      <c r="R117">
        <f>'밸런스 조정'!$C$90*IF(M117="Boss",5,IF(M117="Elite",2,1))</f>
        <v>300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>
        <v>0.9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조정'!$C$74)^7*IF(M118="Boss",'밸런스 조정'!$C$78,IF(M118="Elite",'밸런스 조정'!$C$76,1)),0))*0.45</f>
        <v>372.15000000000003</v>
      </c>
      <c r="O118">
        <f>ROUND(O117*(1+P118),0)</f>
        <v>4755</v>
      </c>
      <c r="P118">
        <v>0.15</v>
      </c>
      <c r="Q118">
        <f>'밸런스 조정'!$C$64</f>
        <v>0</v>
      </c>
      <c r="R118">
        <f>'밸런스 조정'!$C$90*IF(M118="Boss",5,IF(M118="Elite",2,1))</f>
        <v>300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조정'!$C$74)^8*IF(M119="Boss",'밸런스 조정'!$C$78,IF(M119="Elite",'밸런스 조정'!$C$76,1)),0))*0.45</f>
        <v>385.2</v>
      </c>
      <c r="O119">
        <f>ROUND('밸런스 조정'!$C$73*(1+'밸런스 조정'!$C$75)^8*IF(M119="Boss",'밸런스 조정'!$C$79,IF(M119="Elite",'밸런스 조정'!$C$77,1)),0)</f>
        <v>4383</v>
      </c>
      <c r="P119">
        <f>'밸런스 조정'!$C$75</f>
        <v>0.06</v>
      </c>
      <c r="Q119">
        <f>'밸런스 조정'!$C$64</f>
        <v>0</v>
      </c>
      <c r="R119">
        <f>'밸런스 조정'!$C$90*IF(M119="Boss",5,IF(M119="Elite",2,1))</f>
        <v>300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조정'!$C$74)^8*IF(M120="Boss",'밸런스 조정'!$C$78,IF(M120="Elite",'밸런스 조정'!$C$76,1)),0))*0.45</f>
        <v>385.2</v>
      </c>
      <c r="O120">
        <f>ROUND(O119*(1+P120),0)</f>
        <v>5040</v>
      </c>
      <c r="P120">
        <v>0.15</v>
      </c>
      <c r="Q120">
        <f>'밸런스 조정'!$C$64</f>
        <v>0</v>
      </c>
      <c r="R120">
        <f>'밸런스 조정'!$C$90*IF(M120="Boss",5,IF(M120="Elite",2,1))</f>
        <v>300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조정'!$C$74)^9*IF(M121="Boss",'밸런스 조정'!$C$78,IF(M121="Elite",'밸런스 조정'!$C$76,1)),0))*0.45</f>
        <v>498.15000000000003</v>
      </c>
      <c r="O121">
        <f>ROUND('밸런스 조정'!$C$73*(1+'밸런스 조정'!$C$75)^9*IF(M121="Boss",'밸런스 조정'!$C$79,IF(M121="Elite",'밸런스 조정'!$C$77,1)),0)</f>
        <v>6969</v>
      </c>
      <c r="P121">
        <f>'밸런스 조정'!$C$75</f>
        <v>0.06</v>
      </c>
      <c r="Q121">
        <f>'밸런스 조정'!$C$64</f>
        <v>0</v>
      </c>
      <c r="R121">
        <f>'밸런스 조정'!$C$90*IF(M121="Boss",5,IF(M121="Elite",2,1))</f>
        <v>600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조정'!$C$74)^9*IF(M122="Boss",'밸런스 조정'!$C$78,IF(M122="Elite",'밸런스 조정'!$C$76,1)),0))*0.45</f>
        <v>498.15000000000003</v>
      </c>
      <c r="O122">
        <f>ROUND(O121*(1+P122),0)</f>
        <v>8014</v>
      </c>
      <c r="P122">
        <v>0.15</v>
      </c>
      <c r="Q122">
        <f>'밸런스 조정'!$C$64</f>
        <v>0</v>
      </c>
      <c r="R122">
        <f>'밸런스 조정'!$C$90*IF(M122="Boss",5,IF(M122="Elite",2,1))</f>
        <v>600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조정'!$C$74)^10*IF(M123="Boss",'밸런스 조정'!$C$78,IF(M123="Elite",'밸런스 조정'!$C$76,1)),0)</f>
        <v>917</v>
      </c>
      <c r="O123">
        <f>ROUND('밸런스 조정'!$C$73*(1+'밸런스 조정'!$C$75)^10*IF(M123="Boss",'밸런스 조정'!$C$79,IF(M123="Elite",'밸런스 조정'!$C$77,1)),0)</f>
        <v>4925</v>
      </c>
      <c r="P123">
        <f>'밸런스 조정'!$C$75</f>
        <v>0.06</v>
      </c>
      <c r="Q123">
        <f>'밸런스 조정'!$C$64</f>
        <v>0</v>
      </c>
      <c r="R123">
        <f>'밸런스 조정'!$C$90*IF(M123="Boss",5,IF(M123="Elite",2,1))</f>
        <v>300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조정'!$C$74)^10*IF(M124="Boss",'밸런스 조정'!$C$78,IF(M124="Elite",'밸런스 조정'!$C$76,1)),0)</f>
        <v>917</v>
      </c>
      <c r="O124">
        <f>ROUND(O123*(1+P124),0)</f>
        <v>5664</v>
      </c>
      <c r="P124">
        <v>0.15</v>
      </c>
      <c r="Q124">
        <f>'밸런스 조정'!$C$64</f>
        <v>0</v>
      </c>
      <c r="R124">
        <f>'밸런스 조정'!$C$90*IF(M124="Boss",5,IF(M124="Elite",2,1))</f>
        <v>300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조정'!$C$74)^11*IF(M125="Boss",'밸런스 조정'!$C$78,IF(M125="Elite",'밸런스 조정'!$C$76,1)),0)</f>
        <v>949</v>
      </c>
      <c r="O125">
        <f>ROUND('밸런스 조정'!$C$73*(1+'밸런스 조정'!$C$75)^11*IF(M125="Boss",'밸런스 조정'!$C$79,IF(M125="Elite",'밸런스 조정'!$C$77,1)),0)</f>
        <v>5220</v>
      </c>
      <c r="P125">
        <f>'밸런스 조정'!$C$75</f>
        <v>0.06</v>
      </c>
      <c r="Q125">
        <f>'밸런스 조정'!$C$64</f>
        <v>0</v>
      </c>
      <c r="R125">
        <f>'밸런스 조정'!$C$90*IF(M125="Boss",5,IF(M125="Elite",2,1))</f>
        <v>300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조정'!$C$74)^11*IF(M126="Boss",'밸런스 조정'!$C$78,IF(M126="Elite",'밸런스 조정'!$C$76,1)),0)</f>
        <v>949</v>
      </c>
      <c r="O126">
        <f>ROUND(O125*(1+P126),0)</f>
        <v>6003</v>
      </c>
      <c r="P126">
        <v>0.15</v>
      </c>
      <c r="Q126">
        <f>'밸런스 조정'!$C$64</f>
        <v>0</v>
      </c>
      <c r="R126">
        <f>'밸런스 조정'!$C$90*IF(M126="Boss",5,IF(M126="Elite",2,1))</f>
        <v>300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>
        <v>0.65</v>
      </c>
      <c r="K127">
        <v>10.199999999999999</v>
      </c>
      <c r="L127" t="s">
        <v>309</v>
      </c>
      <c r="M127" t="s">
        <v>43</v>
      </c>
      <c r="N127">
        <f>(ROUND('밸런스 조정'!$C$72*(1+'밸런스 조정'!$C$74)^12*IF(M127="Boss",'밸런스 조정'!$C$78,IF(M127="Elite",'밸런스 조정'!$C$76,1)),0))*0.45</f>
        <v>441.90000000000003</v>
      </c>
      <c r="O127">
        <f>ROUND('밸런스 조정'!$C$73*(1+'밸런스 조정'!$C$75)^12*IF(M127="Boss",'밸런스 조정'!$C$79,IF(M127="Elite",'밸런스 조정'!$C$77,1)),0)</f>
        <v>5534</v>
      </c>
      <c r="P127">
        <f>'밸런스 조정'!$C$75</f>
        <v>0.06</v>
      </c>
      <c r="Q127">
        <f>'밸런스 조정'!$C$64</f>
        <v>0</v>
      </c>
      <c r="R127">
        <f>'밸런스 조정'!$C$90*IF(M127="Boss",5,IF(M127="Elite",2,1))</f>
        <v>300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>
        <v>0.9</v>
      </c>
      <c r="K128">
        <v>10.199999999999999</v>
      </c>
      <c r="L128" t="s">
        <v>203</v>
      </c>
      <c r="M128" t="s">
        <v>43</v>
      </c>
      <c r="N128">
        <f>(ROUND('밸런스 조정'!$C$72*(1+'밸런스 조정'!$C$74)^12*IF(M128="Boss",'밸런스 조정'!$C$78,IF(M128="Elite",'밸런스 조정'!$C$76,1)),0))*0.45</f>
        <v>441.90000000000003</v>
      </c>
      <c r="O128">
        <f>ROUND(O127*(1+P128),0)</f>
        <v>6364</v>
      </c>
      <c r="P128">
        <v>0.15</v>
      </c>
      <c r="Q128">
        <f>'밸런스 조정'!$C$64</f>
        <v>0</v>
      </c>
      <c r="R128">
        <f>'밸런스 조정'!$C$90*IF(M128="Boss",5,IF(M128="Elite",2,1))</f>
        <v>300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>
        <f>(ROUND('밸런스 조정'!$C$72*(1+'밸런스 조정'!$C$74)^13*IF(M129="Boss",'밸런스 조정'!$C$78,IF(M129="Elite",'밸런스 조정'!$C$76,1)),0))*0.45</f>
        <v>457.65000000000003</v>
      </c>
      <c r="O129">
        <f>ROUND('밸런스 조정'!$C$73*(1+'밸런스 조정'!$C$75)^13*IF(M129="Boss",'밸런스 조정'!$C$79,IF(M129="Elite",'밸런스 조정'!$C$77,1)),0)</f>
        <v>5866</v>
      </c>
      <c r="P129">
        <f>'밸런스 조정'!$C$75</f>
        <v>0.06</v>
      </c>
      <c r="Q129">
        <f>'밸런스 조정'!$C$64</f>
        <v>0</v>
      </c>
      <c r="R129">
        <f>'밸런스 조정'!$C$90*IF(M129="Boss",5,IF(M129="Elite",2,1))</f>
        <v>300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>
        <f>(ROUND('밸런스 조정'!$C$72*(1+'밸런스 조정'!$C$74)^13*IF(M130="Boss",'밸런스 조정'!$C$78,IF(M130="Elite",'밸런스 조정'!$C$76,1)),0))*0.45</f>
        <v>457.65000000000003</v>
      </c>
      <c r="O130">
        <f>ROUND(O129*(1+P130),0)</f>
        <v>6746</v>
      </c>
      <c r="P130">
        <v>0.15</v>
      </c>
      <c r="Q130">
        <f>'밸런스 조정'!$C$64</f>
        <v>0</v>
      </c>
      <c r="R130">
        <f>'밸런스 조정'!$C$90*IF(M130="Boss",5,IF(M130="Elite",2,1))</f>
        <v>300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>
        <f>(ROUND('밸런스 조정'!$C$72*(1+'밸런스 조정'!$C$74)^14*IF(M131="Boss",'밸런스 조정'!$C$78,IF(M131="Elite",'밸런스 조정'!$C$76,1)),0))*0.45</f>
        <v>591.75</v>
      </c>
      <c r="O131">
        <f>ROUND('밸런스 조정'!$C$73*(1+'밸런스 조정'!$C$75)^14*IF(M131="Boss",'밸런스 조정'!$C$79,IF(M131="Elite",'밸런스 조정'!$C$77,1)),0)</f>
        <v>9326</v>
      </c>
      <c r="P131">
        <f>'밸런스 조정'!$C$75</f>
        <v>0.06</v>
      </c>
      <c r="Q131">
        <f>'밸런스 조정'!$C$64</f>
        <v>0</v>
      </c>
      <c r="R131">
        <f>'밸런스 조정'!$C$90*IF(M131="Boss",5,IF(M131="Elite",2,1))</f>
        <v>600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>
        <f>(ROUND('밸런스 조정'!$C$72*(1+'밸런스 조정'!$C$74)^14*IF(M132="Boss",'밸런스 조정'!$C$78,IF(M132="Elite",'밸런스 조정'!$C$76,1)),0))*0.45</f>
        <v>591.75</v>
      </c>
      <c r="O132">
        <f>ROUND(O131*(1+P132),0)</f>
        <v>10725</v>
      </c>
      <c r="P132">
        <v>0.15</v>
      </c>
      <c r="Q132">
        <f>'밸런스 조정'!$C$64</f>
        <v>0</v>
      </c>
      <c r="R132">
        <f>'밸런스 조정'!$C$90*IF(M132="Boss",5,IF(M132="Elite",2,1))</f>
        <v>600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>
        <f>ROUND('밸런스 조정'!$C$72*(1+'밸런스 조정'!$C$74)^15*IF(M133="Boss",'밸런스 조정'!$C$78,IF(M133="Elite",'밸런스 조정'!$C$76,1)),0)</f>
        <v>1089</v>
      </c>
      <c r="O133">
        <f>ROUND('밸런스 조정'!$C$73*(1+'밸런스 조정'!$C$75)^15*IF(M133="Boss",'밸런스 조정'!$C$79,IF(M133="Elite",'밸런스 조정'!$C$77,1)),0)</f>
        <v>6591</v>
      </c>
      <c r="P133">
        <f>'밸런스 조정'!$C$75</f>
        <v>0.06</v>
      </c>
      <c r="Q133">
        <f>'밸런스 조정'!$C$64</f>
        <v>0</v>
      </c>
      <c r="R133">
        <f>'밸런스 조정'!$C$90*IF(M133="Boss",5,IF(M133="Elite",2,1))</f>
        <v>300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>
        <f>ROUND('밸런스 조정'!$C$72*(1+'밸런스 조정'!$C$74)^15*IF(M134="Boss",'밸런스 조정'!$C$78,IF(M134="Elite",'밸런스 조정'!$C$76,1)),0)</f>
        <v>1089</v>
      </c>
      <c r="O134">
        <f>ROUND(O133*(1+P134),0)</f>
        <v>7580</v>
      </c>
      <c r="P134">
        <v>0.15</v>
      </c>
      <c r="Q134">
        <f>'밸런스 조정'!$C$64</f>
        <v>0</v>
      </c>
      <c r="R134">
        <f>'밸런스 조정'!$C$90*IF(M134="Boss",5,IF(M134="Elite",2,1))</f>
        <v>300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>
        <f>ROUND('밸런스 조정'!$C$72*(1+'밸런스 조정'!$C$74)^16*IF(M135="Boss",'밸런스 조정'!$C$78,IF(M135="Elite",'밸런스 조정'!$C$76,1)),0)</f>
        <v>1127</v>
      </c>
      <c r="O135">
        <f>ROUND('밸런스 조정'!$C$73*(1+'밸런스 조정'!$C$75)^16*IF(M135="Boss",'밸런스 조정'!$C$79,IF(M135="Elite",'밸런스 조정'!$C$77,1)),0)</f>
        <v>6986</v>
      </c>
      <c r="P135">
        <f>'밸런스 조정'!$C$75</f>
        <v>0.06</v>
      </c>
      <c r="Q135">
        <f>'밸런스 조정'!$C$64</f>
        <v>0</v>
      </c>
      <c r="R135">
        <f>'밸런스 조정'!$C$90*IF(M135="Boss",5,IF(M135="Elite",2,1))</f>
        <v>300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>
        <f>ROUND('밸런스 조정'!$C$72*(1+'밸런스 조정'!$C$74)^16*IF(M136="Boss",'밸런스 조정'!$C$78,IF(M136="Elite",'밸런스 조정'!$C$76,1)),0)</f>
        <v>1127</v>
      </c>
      <c r="O136">
        <f>ROUND(O135*(1+P136),0)</f>
        <v>8034</v>
      </c>
      <c r="P136">
        <v>0.15</v>
      </c>
      <c r="Q136">
        <f>'밸런스 조정'!$C$64</f>
        <v>0</v>
      </c>
      <c r="R136">
        <f>'밸런스 조정'!$C$90*IF(M136="Boss",5,IF(M136="Elite",2,1))</f>
        <v>300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>
        <v>0.65</v>
      </c>
      <c r="K137">
        <v>10.199999999999999</v>
      </c>
      <c r="L137" t="s">
        <v>309</v>
      </c>
      <c r="M137" t="s">
        <v>43</v>
      </c>
      <c r="N137">
        <f>(ROUND('밸런스 조정'!$C$72*(1+'밸런스 조정'!$C$74)^17*IF(M137="Boss",'밸런스 조정'!$C$78,IF(M137="Elite",'밸런스 조정'!$C$76,1)),0))*0.45</f>
        <v>525.15</v>
      </c>
      <c r="O137">
        <f>ROUND('밸런스 조정'!$C$73*(1+'밸런스 조정'!$C$75)^17*IF(M137="Boss",'밸런스 조정'!$C$79,IF(M137="Elite",'밸런스 조정'!$C$77,1)),0)</f>
        <v>7405</v>
      </c>
      <c r="P137">
        <f>'밸런스 조정'!$C$75</f>
        <v>0.06</v>
      </c>
      <c r="Q137">
        <f>'밸런스 조정'!$C$64</f>
        <v>0</v>
      </c>
      <c r="R137">
        <f>'밸런스 조정'!$C$90*IF(M137="Boss",5,IF(M137="Elite",2,1))</f>
        <v>300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>
        <v>0.9</v>
      </c>
      <c r="K138">
        <v>10.199999999999999</v>
      </c>
      <c r="L138" t="s">
        <v>203</v>
      </c>
      <c r="M138" t="s">
        <v>43</v>
      </c>
      <c r="N138">
        <f>(ROUND('밸런스 조정'!$C$72*(1+'밸런스 조정'!$C$74)^17*IF(M138="Boss",'밸런스 조정'!$C$78,IF(M138="Elite",'밸런스 조정'!$C$76,1)),0))*0.45</f>
        <v>525.15</v>
      </c>
      <c r="O138">
        <f>ROUND(O137*(1+P138),0)</f>
        <v>8516</v>
      </c>
      <c r="P138">
        <v>0.15</v>
      </c>
      <c r="Q138">
        <f>'밸런스 조정'!$C$64</f>
        <v>0</v>
      </c>
      <c r="R138">
        <f>'밸런스 조정'!$C$90*IF(M138="Boss",5,IF(M138="Elite",2,1))</f>
        <v>300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>
        <f>(ROUND('밸런스 조정'!$C$72*(1+'밸런스 조정'!$C$74)^18*IF(M139="Boss",'밸런스 조정'!$C$78,IF(M139="Elite",'밸런스 조정'!$C$76,1)),0))*0.45</f>
        <v>543.15</v>
      </c>
      <c r="O139">
        <f>ROUND('밸런스 조정'!$C$73*(1+'밸런스 조정'!$C$75)^18*IF(M139="Boss",'밸런스 조정'!$C$79,IF(M139="Elite",'밸런스 조정'!$C$77,1)),0)</f>
        <v>7849</v>
      </c>
      <c r="P139">
        <f>'밸런스 조정'!$C$75</f>
        <v>0.06</v>
      </c>
      <c r="Q139">
        <f>'밸런스 조정'!$C$64</f>
        <v>0</v>
      </c>
      <c r="R139">
        <f>'밸런스 조정'!$C$90*IF(M139="Boss",5,IF(M139="Elite",2,1))</f>
        <v>300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>
        <f>(ROUND('밸런스 조정'!$C$72*(1+'밸런스 조정'!$C$74)^18*IF(M140="Boss",'밸런스 조정'!$C$78,IF(M140="Elite",'밸런스 조정'!$C$76,1)),0))*0.45</f>
        <v>543.15</v>
      </c>
      <c r="O140">
        <f>ROUND(O139*(1+P140),0)</f>
        <v>9026</v>
      </c>
      <c r="P140">
        <v>0.15</v>
      </c>
      <c r="Q140">
        <f>'밸런스 조정'!$C$64</f>
        <v>0</v>
      </c>
      <c r="R140">
        <f>'밸런스 조정'!$C$90*IF(M140="Boss",5,IF(M140="Elite",2,1))</f>
        <v>300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>
        <f>(ROUND('밸런스 조정'!$C$72*(1+'밸런스 조정'!$C$74)^19*IF(M141="Boss",'밸런스 조정'!$C$78,IF(M141="Elite",'밸런스 조정'!$C$76,1)),0))*0.45</f>
        <v>702.9</v>
      </c>
      <c r="O141">
        <f>ROUND('밸런스 조정'!$C$73*(1+'밸런스 조정'!$C$75)^19*IF(M141="Boss",'밸런스 조정'!$C$79,IF(M141="Elite",'밸런스 조정'!$C$77,1)),0)</f>
        <v>12481</v>
      </c>
      <c r="P141">
        <f>'밸런스 조정'!$C$75</f>
        <v>0.06</v>
      </c>
      <c r="Q141">
        <f>'밸런스 조정'!$C$64</f>
        <v>0</v>
      </c>
      <c r="R141">
        <f>'밸런스 조정'!$C$90*IF(M141="Boss",5,IF(M141="Elite",2,1))</f>
        <v>600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>
        <f>(ROUND('밸런스 조정'!$C$72*(1+'밸런스 조정'!$C$74)^19*IF(M142="Boss",'밸런스 조정'!$C$78,IF(M142="Elite",'밸런스 조정'!$C$76,1)),0))*0.45</f>
        <v>702.9</v>
      </c>
      <c r="O142">
        <f>ROUND(O141*(1+P142),0)</f>
        <v>14353</v>
      </c>
      <c r="P142">
        <v>0.15</v>
      </c>
      <c r="Q142">
        <f>'밸런스 조정'!$C$64</f>
        <v>0</v>
      </c>
      <c r="R142">
        <f>'밸런스 조정'!$C$90*IF(M142="Boss",5,IF(M142="Elite",2,1))</f>
        <v>600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>
        <f>ROUND('밸런스 조정'!$C$72*(1+'밸런스 조정'!$C$74)^20*IF(M143="Boss",'밸런스 조정'!$C$78,IF(M143="Elite",'밸런스 조정'!$C$76,1)),0)</f>
        <v>1293</v>
      </c>
      <c r="O143">
        <f>ROUND('밸런스 조정'!$C$73*(1+'밸런스 조정'!$C$75)^20*IF(M143="Boss",'밸런스 조정'!$C$79,IF(M143="Elite",'밸런스 조정'!$C$77,1)),0)</f>
        <v>8820</v>
      </c>
      <c r="P143">
        <f>'밸런스 조정'!$C$75</f>
        <v>0.06</v>
      </c>
      <c r="Q143">
        <f>'밸런스 조정'!$C$64</f>
        <v>0</v>
      </c>
      <c r="R143">
        <f>'밸런스 조정'!$C$90*IF(M143="Boss",5,IF(M143="Elite",2,1))</f>
        <v>300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>
        <f>ROUND('밸런스 조정'!$C$72*(1+'밸런스 조정'!$C$74)^20*IF(M144="Boss",'밸런스 조정'!$C$78,IF(M144="Elite",'밸런스 조정'!$C$76,1)),0)</f>
        <v>1293</v>
      </c>
      <c r="O144">
        <f>ROUND(O143*(1+P144),0)</f>
        <v>10143</v>
      </c>
      <c r="P144">
        <v>0.15</v>
      </c>
      <c r="Q144">
        <f>'밸런스 조정'!$C$64</f>
        <v>0</v>
      </c>
      <c r="R144">
        <f>'밸런스 조정'!$C$90*IF(M144="Boss",5,IF(M144="Elite",2,1))</f>
        <v>300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>
        <f>ROUND('밸런스 조정'!$C$72*(1+'밸런스 조정'!$C$74)^21*IF(M145="Boss",'밸런스 조정'!$C$78,IF(M145="Elite",'밸런스 조정'!$C$76,1)),0)</f>
        <v>1339</v>
      </c>
      <c r="O145">
        <f>ROUND('밸런스 조정'!$C$73*(1+'밸런스 조정'!$C$75)^21*IF(M145="Boss",'밸런스 조정'!$C$79,IF(M145="Elite",'밸런스 조정'!$C$77,1)),0)</f>
        <v>9349</v>
      </c>
      <c r="P145">
        <f>'밸런스 조정'!$C$75</f>
        <v>0.06</v>
      </c>
      <c r="Q145">
        <f>'밸런스 조정'!$C$64</f>
        <v>0</v>
      </c>
      <c r="R145">
        <f>'밸런스 조정'!$C$90*IF(M145="Boss",5,IF(M145="Elite",2,1))</f>
        <v>300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>
        <f>ROUND('밸런스 조정'!$C$72*(1+'밸런스 조정'!$C$74)^21*IF(M146="Boss",'밸런스 조정'!$C$78,IF(M146="Elite",'밸런스 조정'!$C$76,1)),0)</f>
        <v>1339</v>
      </c>
      <c r="O146">
        <f>ROUND(O145*(1+P146),0)</f>
        <v>10751</v>
      </c>
      <c r="P146">
        <v>0.15</v>
      </c>
      <c r="Q146">
        <f>'밸런스 조정'!$C$64</f>
        <v>0</v>
      </c>
      <c r="R146">
        <f>'밸런스 조정'!$C$90*IF(M146="Boss",5,IF(M146="Elite",2,1))</f>
        <v>300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>
        <v>0.65</v>
      </c>
      <c r="K147">
        <v>10.199999999999999</v>
      </c>
      <c r="L147" t="s">
        <v>309</v>
      </c>
      <c r="M147" t="s">
        <v>43</v>
      </c>
      <c r="N147">
        <f>(ROUND('밸런스 조정'!$C$72*(1+'밸런스 조정'!$C$74)^22*IF(M147="Boss",'밸런스 조정'!$C$78,IF(M147="Elite",'밸런스 조정'!$C$76,1)),0))*0.45</f>
        <v>623.25</v>
      </c>
      <c r="O147">
        <f>ROUND('밸런스 조정'!$C$73*(1+'밸런스 조정'!$C$75)^22*IF(M147="Boss",'밸런스 조정'!$C$79,IF(M147="Elite",'밸런스 조정'!$C$77,1)),0)</f>
        <v>9910</v>
      </c>
      <c r="P147">
        <f>'밸런스 조정'!$C$75</f>
        <v>0.06</v>
      </c>
      <c r="Q147">
        <f>'밸런스 조정'!$C$64</f>
        <v>0</v>
      </c>
      <c r="R147">
        <f>'밸런스 조정'!$C$90*IF(M147="Boss",5,IF(M147="Elite",2,1))</f>
        <v>300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>
        <v>0.9</v>
      </c>
      <c r="K148">
        <v>10.199999999999999</v>
      </c>
      <c r="L148" t="s">
        <v>203</v>
      </c>
      <c r="M148" t="s">
        <v>43</v>
      </c>
      <c r="N148">
        <f>(ROUND('밸런스 조정'!$C$72*(1+'밸런스 조정'!$C$74)^22*IF(M148="Boss",'밸런스 조정'!$C$78,IF(M148="Elite",'밸런스 조정'!$C$76,1)),0))*0.45</f>
        <v>623.25</v>
      </c>
      <c r="O148">
        <f>ROUND(O147*(1+P148),0)</f>
        <v>11397</v>
      </c>
      <c r="P148">
        <v>0.15</v>
      </c>
      <c r="Q148">
        <f>'밸런스 조정'!$C$64</f>
        <v>0</v>
      </c>
      <c r="R148">
        <f>'밸런스 조정'!$C$90*IF(M148="Boss",5,IF(M148="Elite",2,1))</f>
        <v>300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>
        <f>(ROUND('밸런스 조정'!$C$72*(1+'밸런스 조정'!$C$74)^23*IF(M149="Boss",'밸런스 조정'!$C$78,IF(M149="Elite",'밸런스 조정'!$C$76,1)),0))*0.45</f>
        <v>645.30000000000007</v>
      </c>
      <c r="O149">
        <f>ROUND('밸런스 조정'!$C$73*(1+'밸런스 조정'!$C$75)^23*IF(M149="Boss",'밸런스 조정'!$C$79,IF(M149="Elite",'밸런스 조정'!$C$77,1)),0)</f>
        <v>10504</v>
      </c>
      <c r="P149">
        <f>'밸런스 조정'!$C$75</f>
        <v>0.06</v>
      </c>
      <c r="Q149">
        <f>'밸런스 조정'!$C$64</f>
        <v>0</v>
      </c>
      <c r="R149">
        <f>'밸런스 조정'!$C$90*IF(M149="Boss",5,IF(M149="Elite",2,1))</f>
        <v>300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>
        <f>(ROUND('밸런스 조정'!$C$72*(1+'밸런스 조정'!$C$74)^23*IF(M150="Boss",'밸런스 조정'!$C$78,IF(M150="Elite",'밸런스 조정'!$C$76,1)),0))*0.45</f>
        <v>645.30000000000007</v>
      </c>
      <c r="O150">
        <f>ROUND(O149*(1+P150),0)</f>
        <v>12080</v>
      </c>
      <c r="P150">
        <v>0.15</v>
      </c>
      <c r="Q150">
        <f>'밸런스 조정'!$C$64</f>
        <v>0</v>
      </c>
      <c r="R150">
        <f>'밸런스 조정'!$C$90*IF(M150="Boss",5,IF(M150="Elite",2,1))</f>
        <v>300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>
        <f>(ROUND('밸런스 조정'!$C$72*(1+'밸런스 조정'!$C$74)^24*IF(M151="Boss",'밸런스 조정'!$C$78,IF(M151="Elite",'밸런스 조정'!$C$76,1)),0))*0.45</f>
        <v>1201.95</v>
      </c>
      <c r="O151">
        <f>ROUND('밸런스 조정'!$C$73*(1+'밸런스 조정'!$C$75)^24*IF(M151="Boss",'밸런스 조정'!$C$79,IF(M151="Elite",'밸런스 조정'!$C$77,1)),0)</f>
        <v>28950</v>
      </c>
      <c r="P151">
        <f>'밸런스 조정'!$C$75</f>
        <v>0.06</v>
      </c>
      <c r="Q151">
        <f>'밸런스 조정'!$C$64</f>
        <v>0</v>
      </c>
      <c r="R151">
        <f>'밸런스 조정'!$C$90*IF(M151="Boss",5,IF(M151="Elite",2,1))</f>
        <v>1500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>
        <f>(ROUND('밸런스 조정'!$C$72*(1+'밸런스 조정'!$C$74)^24*IF(M152="Boss",'밸런스 조정'!$C$78,IF(M152="Elite",'밸런스 조정'!$C$76,1)),0))*0.45</f>
        <v>1201.95</v>
      </c>
      <c r="O152">
        <f>ROUND(O151*(1+P152),0)</f>
        <v>33293</v>
      </c>
      <c r="P152">
        <v>0.15</v>
      </c>
      <c r="Q152">
        <f>'밸런스 조정'!$C$64</f>
        <v>0</v>
      </c>
      <c r="R152">
        <f>'밸런스 조정'!$C$90*IF(M152="Boss",5,IF(M152="Elite",2,1))</f>
        <v>1500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>
        <v>540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>
        <v>2.6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>
        <v>2750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>
        <f>C91</f>
        <v>150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>
        <v>0.06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>
        <f>C90</f>
        <v>300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>
        <v>300</v>
      </c>
      <c r="D90" s="36" t="s">
        <v>651</v>
      </c>
    </row>
    <row r="91" spans="2:4" ht="32.1" customHeight="1">
      <c r="B91" s="31" t="s">
        <v>652</v>
      </c>
      <c r="C91" s="34">
        <v>150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>
        <v>150</v>
      </c>
      <c r="D96" s="36" t="s">
        <v>662</v>
      </c>
    </row>
    <row r="97" spans="2:4" ht="32.1" customHeight="1">
      <c r="B97" s="31" t="s">
        <v>663</v>
      </c>
      <c r="C97" s="34">
        <v>300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700</v>
      </c>
      <c r="D115" s="36" t="s">
        <v>695</v>
      </c>
    </row>
    <row r="116" spans="2:4" ht="44.1" customHeight="1">
      <c r="B116" s="31" t="s">
        <v>696</v>
      </c>
      <c r="C116" s="34">
        <v>3.8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