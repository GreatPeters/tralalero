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<sst xmlns="http://schemas.openxmlformats.org/spreadsheetml/2006/main" count="5031" uniqueCount="786">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</sst>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58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 t="n">
        <f>ROUND('밸런스 조정'!$C$31*(1+'밸런스 조정'!$C$33)^0*1,0)</f>
        <v>500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58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 t="n">
        <f>ROUND(O53*(1+P54),0)</f>
        <v>575</v>
      </c>
      <c r="P54">
        <v>0.15</v>
      </c>
      <c r="Q54" s="41">
        <f>'밸런스 조정'!$C$64</f>
        <v>0</v>
      </c>
      <c r="R54" s="41" t="n">
        <f>'밸런스 조정'!$C$91*IF(M54="Boss",5,IF(M54="Elite",2,1))</f>
        <v>58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 t="n">
        <f>ROUND('밸런스 조정'!$C$31*(1+'밸런스 조정'!$C$33)^1*1,0)</f>
        <v>538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58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 t="n">
        <f>ROUND(O55*(1+P56),0)</f>
        <v>619</v>
      </c>
      <c r="P56">
        <v>0.15</v>
      </c>
      <c r="Q56" s="41">
        <f>'밸런스 조정'!$C$64</f>
        <v>0</v>
      </c>
      <c r="R56" s="41" t="n">
        <f>'밸런스 조정'!$C$91*IF(M56="Boss",5,IF(M56="Elite",2,1))</f>
        <v>58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 t="n">
        <f>ROUND('밸런스 조정'!$C$31*(1+'밸런스 조정'!$C$33)^2*'밸런스 조정'!$C$35,0)</f>
        <v>867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116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 t="n">
        <f>ROUND(O57*(1+P58),0)</f>
        <v>997</v>
      </c>
      <c r="P58">
        <v>0.15</v>
      </c>
      <c r="Q58" s="41">
        <f>'밸런스 조정'!$C$64</f>
        <v>0</v>
      </c>
      <c r="R58" s="41" t="n">
        <f>'밸런스 조정'!$C$91*IF(M58="Boss",5,IF(M58="Elite",2,1))</f>
        <v>116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 t="n">
        <f>ROUND('밸런스 조정'!$C$31*(1+'밸런스 조정'!$C$33)^3*'밸런스 조정'!$C$35,0)</f>
        <v>932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116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 t="n">
        <f>ROUND(O59*(1+P60),0)</f>
        <v>1072</v>
      </c>
      <c r="P60">
        <v>0.15</v>
      </c>
      <c r="Q60" s="41">
        <f>'밸런스 조정'!$C$64</f>
        <v>0</v>
      </c>
      <c r="R60" s="41" t="n">
        <f>'밸런스 조정'!$C$91*IF(M60="Boss",5,IF(M60="Elite",2,1))</f>
        <v>116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 t="n">
        <f>ROUND('밸런스 조정'!$C$31*(1+'밸런스 조정'!$C$33)^4*1,0)</f>
        <v>668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58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 t="n">
        <f>ROUND(O61*(1+P62),0)</f>
        <v>768</v>
      </c>
      <c r="P62">
        <v>0.15</v>
      </c>
      <c r="Q62" s="41">
        <f>'밸런스 조정'!$C$64</f>
        <v>0</v>
      </c>
      <c r="R62" s="41" t="n">
        <f>'밸런스 조정'!$C$91*IF(M62="Boss",5,IF(M62="Elite",2,1))</f>
        <v>58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 t="n">
        <f>ROUND('밸런스 조정'!$C$31*(1+'밸런스 조정'!$C$33)^5*1,0)</f>
        <v>718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58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 t="n">
        <f>ROUND(O63*(1+P64),0)</f>
        <v>826</v>
      </c>
      <c r="P64">
        <v>0.15</v>
      </c>
      <c r="Q64" s="41">
        <f>'밸런스 조정'!$C$64</f>
        <v>0</v>
      </c>
      <c r="R64" s="41" t="n">
        <f>'밸런스 조정'!$C$91*IF(M64="Boss",5,IF(M64="Elite",2,1))</f>
        <v>58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 t="n">
        <f>ROUND('밸런스 조정'!$C$31*(1+'밸런스 조정'!$C$33)^6*1,0)</f>
        <v>772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58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 t="n">
        <f>ROUND(O65*(1+P66),0)</f>
        <v>888</v>
      </c>
      <c r="P66">
        <v>0.15</v>
      </c>
      <c r="Q66" s="41">
        <f>'밸런스 조정'!$C$64</f>
        <v>0</v>
      </c>
      <c r="R66" s="41" t="n">
        <f>'밸런스 조정'!$C$91*IF(M66="Boss",5,IF(M66="Elite",2,1))</f>
        <v>58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 t="n">
        <f>ROUND('밸런스 조정'!$C$31*(1+'밸런스 조정'!$C$33)^7*1,0)</f>
        <v>830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58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 t="n">
        <f>ROUND(O67*(1+P68),0)</f>
        <v>954</v>
      </c>
      <c r="P68">
        <v>0.15</v>
      </c>
      <c r="Q68" s="41">
        <f>'밸런스 조정'!$C$64</f>
        <v>0</v>
      </c>
      <c r="R68" s="41" t="n">
        <f>'밸런스 조정'!$C$91*IF(M68="Boss",5,IF(M68="Elite",2,1))</f>
        <v>58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 t="n">
        <f>ROUND('밸런스 조정'!$C$31*(1+'밸런스 조정'!$C$33)^8*'밸런스 조정'!$C$35,0)</f>
        <v>1338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116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 t="n">
        <f>ROUND(O69*(1+P70),0)</f>
        <v>1539</v>
      </c>
      <c r="P70">
        <v>0.15</v>
      </c>
      <c r="Q70" s="41">
        <f>'밸런스 조정'!$C$64</f>
        <v>0</v>
      </c>
      <c r="R70" s="41" t="n">
        <f>'밸런스 조정'!$C$91*IF(M70="Boss",5,IF(M70="Elite",2,1))</f>
        <v>116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 t="n">
        <f>ROUND('밸런스 조정'!$C$31*(1+'밸런스 조정'!$C$33)^9*'밸런스 조정'!$C$35,0)</f>
        <v>1438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116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 t="n">
        <f>ROUND(O71*(1+P72),0)</f>
        <v>1654</v>
      </c>
      <c r="P72">
        <v>0.15</v>
      </c>
      <c r="Q72" s="41">
        <f>'밸런스 조정'!$C$64</f>
        <v>0</v>
      </c>
      <c r="R72" s="41" t="n">
        <f>'밸런스 조정'!$C$91*IF(M72="Boss",5,IF(M72="Elite",2,1))</f>
        <v>116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 t="n">
        <f>ROUND('밸런스 조정'!$C$31*(1+'밸런스 조정'!$C$33)^10*1,0)</f>
        <v>1031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58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 t="n">
        <f>ROUND(O73*(1+P74),0)</f>
        <v>1186</v>
      </c>
      <c r="P74">
        <v>0.15</v>
      </c>
      <c r="Q74" s="41">
        <f>'밸런스 조정'!$C$64</f>
        <v>0</v>
      </c>
      <c r="R74" s="41" t="n">
        <f>'밸런스 조정'!$C$91*IF(M74="Boss",5,IF(M74="Elite",2,1))</f>
        <v>58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 t="n">
        <f>ROUND('밸런스 조정'!$C$31*(1+'밸런스 조정'!$C$33)^11*1,0)</f>
        <v>1108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58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 t="n">
        <f>ROUND(O75*(1+P76),0)</f>
        <v>1274</v>
      </c>
      <c r="P76">
        <v>0.15</v>
      </c>
      <c r="Q76" s="41">
        <f>'밸런스 조정'!$C$64</f>
        <v>0</v>
      </c>
      <c r="R76" s="41" t="n">
        <f>'밸런스 조정'!$C$91*IF(M76="Boss",5,IF(M76="Elite",2,1))</f>
        <v>58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 t="n">
        <f>ROUND('밸런스 조정'!$C$31*(1+'밸런스 조정'!$C$33)^12*1,0)</f>
        <v>1191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58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 t="n">
        <f>ROUND(O77*(1+P78),0)</f>
        <v>1370</v>
      </c>
      <c r="P78">
        <v>0.15</v>
      </c>
      <c r="Q78" s="41">
        <f>'밸런스 조정'!$C$64</f>
        <v>0</v>
      </c>
      <c r="R78" s="41" t="n">
        <f>'밸런스 조정'!$C$91*IF(M78="Boss",5,IF(M78="Elite",2,1))</f>
        <v>58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 t="n">
        <f>ROUND('밸런스 조정'!$C$31*(1+'밸런스 조정'!$C$33)^13*1,0)</f>
        <v>1280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58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 t="n">
        <f>ROUND(O79*(1+P80),0)</f>
        <v>1472</v>
      </c>
      <c r="P80">
        <v>0.15</v>
      </c>
      <c r="Q80" s="41">
        <f>'밸런스 조정'!$C$64</f>
        <v>0</v>
      </c>
      <c r="R80" s="41" t="n">
        <f>'밸런스 조정'!$C$91*IF(M80="Boss",5,IF(M80="Elite",2,1))</f>
        <v>58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 t="n">
        <f>ROUND('밸런스 조정'!$C$31*(1+'밸런스 조정'!$C$33)^14*'밸런스 조정'!$C$35,0)</f>
        <v>2064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116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 t="n">
        <f>ROUND(O81*(1+P82),0)</f>
        <v>2374</v>
      </c>
      <c r="P82">
        <v>0.15</v>
      </c>
      <c r="Q82" s="41">
        <f>'밸런스 조정'!$C$64</f>
        <v>0</v>
      </c>
      <c r="R82" s="41" t="n">
        <f>'밸런스 조정'!$C$91*IF(M82="Boss",5,IF(M82="Elite",2,1))</f>
        <v>116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 t="n">
        <f>ROUND('밸런스 조정'!$C$31*(1+'밸런스 조정'!$C$33)^15*'밸런스 조정'!$C$35,0)</f>
        <v>2219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116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 t="n">
        <f>ROUND(O83*(1+P84),0)</f>
        <v>2552</v>
      </c>
      <c r="P84">
        <v>0.15</v>
      </c>
      <c r="Q84" s="41">
        <f>'밸런스 조정'!$C$64</f>
        <v>0</v>
      </c>
      <c r="R84" s="41" t="n">
        <f>'밸런스 조정'!$C$91*IF(M84="Boss",5,IF(M84="Elite",2,1))</f>
        <v>116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 t="n">
        <f>ROUND('밸런스 조정'!$C$31*(1+'밸런스 조정'!$C$33)^16*1,0)</f>
        <v>1590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58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 t="n">
        <f>ROUND(O85*(1+P86),0)</f>
        <v>1828</v>
      </c>
      <c r="P86">
        <v>0.15</v>
      </c>
      <c r="Q86" s="41">
        <f>'밸런스 조정'!$C$64</f>
        <v>0</v>
      </c>
      <c r="R86" s="41" t="n">
        <f>'밸런스 조정'!$C$91*IF(M86="Boss",5,IF(M86="Elite",2,1))</f>
        <v>58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 t="n">
        <f>ROUND('밸런스 조정'!$C$31*(1+'밸런스 조정'!$C$33)^17*1,0)</f>
        <v>1710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58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 t="n">
        <f>ROUND(O87*(1+P88),0)</f>
        <v>1966</v>
      </c>
      <c r="P88">
        <v>0.15</v>
      </c>
      <c r="Q88" s="41">
        <f>'밸런스 조정'!$C$64</f>
        <v>0</v>
      </c>
      <c r="R88" s="41" t="n">
        <f>'밸런스 조정'!$C$91*IF(M88="Boss",5,IF(M88="Elite",2,1))</f>
        <v>58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 t="n">
        <f>ROUND('밸런스 조정'!$C$31*(1+'밸런스 조정'!$C$33)^18*1,0)</f>
        <v>1838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58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 t="n">
        <f>ROUND(O89*(1+P90),0)</f>
        <v>2114</v>
      </c>
      <c r="P90">
        <v>0.15</v>
      </c>
      <c r="Q90" s="41">
        <f>'밸런스 조정'!$C$64</f>
        <v>0</v>
      </c>
      <c r="R90" s="41" t="n">
        <f>'밸런스 조정'!$C$91*IF(M90="Boss",5,IF(M90="Elite",2,1))</f>
        <v>58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 t="n">
        <f>ROUND('밸런스 조정'!$C$31*(1+'밸런스 조정'!$C$33)^19*1,0)</f>
        <v>1976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58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 t="n">
        <f>ROUND(O91*(1+P92),0)</f>
        <v>2272</v>
      </c>
      <c r="P92">
        <v>0.15</v>
      </c>
      <c r="Q92" s="41">
        <f>'밸런스 조정'!$C$64</f>
        <v>0</v>
      </c>
      <c r="R92" s="41" t="n">
        <f>'밸런스 조정'!$C$91*IF(M92="Boss",5,IF(M92="Elite",2,1))</f>
        <v>58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 t="n">
        <f>ROUND('밸런스 조정'!$C$31*(1+'밸런스 조정'!$C$33)^20*'밸런스 조정'!$C$35,0)</f>
        <v>3186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116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 t="n">
        <f>ROUND(O93*(1+P94),0)</f>
        <v>3664</v>
      </c>
      <c r="P94">
        <v>0.15</v>
      </c>
      <c r="Q94" s="41">
        <f>'밸런스 조정'!$C$64</f>
        <v>0</v>
      </c>
      <c r="R94" s="41" t="n">
        <f>'밸런스 조정'!$C$91*IF(M94="Boss",5,IF(M94="Elite",2,1))</f>
        <v>116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 t="n">
        <f>ROUND('밸런스 조정'!$C$31*(1+'밸런스 조정'!$C$33)^21*'밸런스 조정'!$C$35,0)</f>
        <v>3425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116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 t="n">
        <f>ROUND(O95*(1+P96),0)</f>
        <v>3939</v>
      </c>
      <c r="P96">
        <v>0.15</v>
      </c>
      <c r="Q96" s="41">
        <f>'밸런스 조정'!$C$64</f>
        <v>0</v>
      </c>
      <c r="R96" s="41" t="n">
        <f>'밸런스 조정'!$C$91*IF(M96="Boss",5,IF(M96="Elite",2,1))</f>
        <v>116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 t="n">
        <f>ROUND('밸런스 조정'!$C$31*(1+'밸런스 조정'!$C$33)^22*1,0)</f>
        <v>2454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58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 t="n">
        <f>ROUND(O97*(1+P98),0)</f>
        <v>2822</v>
      </c>
      <c r="P98">
        <v>0.15</v>
      </c>
      <c r="Q98" s="41">
        <f>'밸런스 조정'!$C$64</f>
        <v>0</v>
      </c>
      <c r="R98" s="41" t="n">
        <f>'밸런스 조정'!$C$91*IF(M98="Boss",5,IF(M98="Elite",2,1))</f>
        <v>58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 t="n">
        <f>ROUND('밸런스 조정'!$C$31*(1+'밸런스 조정'!$C$33)^23*1,0)</f>
        <v>2639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58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 t="n">
        <f>ROUND(O99*(1+P100),0)</f>
        <v>3035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58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 t="n">
        <f>ROUND('밸런스 조정'!$C$31*(1+'밸런스 조정'!$C$33)^24*'밸런스 조정'!$C$37,0)</f>
        <v>5673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290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 t="n">
        <f>ROUND(O101*(1+P102),0)</f>
        <v>6524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290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 t="n">
        <f>ROUND('밸런스 조정'!$C$73*(1+'밸런스 조정'!$C$75)^0*IF(M103="Boss",'밸런스 조정'!$C$79,IF(M103="Elite",'밸런스 조정'!$C$77,1)),0)</f>
        <v>2000</v>
      </c>
      <c r="P103" t="n">
        <f>'밸런스 조정'!$C$75</f>
        <v>0.05</v>
      </c>
      <c r="Q103">
        <f>'밸런스 조정'!$C$64</f>
        <v>0</v>
      </c>
      <c r="R103" t="n">
        <f>'밸런스 조정'!$C$90*IF(M103="Boss",5,IF(M103="Elite",2,1))</f>
        <v>350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 t="n">
        <f>ROUND(O103*(1+P104),0)</f>
        <v>2300</v>
      </c>
      <c r="P104">
        <v>0.15</v>
      </c>
      <c r="Q104">
        <f>'밸런스 조정'!$C$64</f>
        <v>0</v>
      </c>
      <c r="R104" t="n">
        <f>'밸런스 조정'!$C$90*IF(M104="Boss",5,IF(M104="Elite",2,1))</f>
        <v>350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 t="n">
        <f>ROUND('밸런스 조정'!$C$73*(1+'밸런스 조정'!$C$75)^1*IF(M105="Boss",'밸런스 조정'!$C$79,IF(M105="Elite",'밸런스 조정'!$C$77,1)),0)</f>
        <v>2100</v>
      </c>
      <c r="P105" t="n">
        <f>'밸런스 조정'!$C$75</f>
        <v>0.05</v>
      </c>
      <c r="Q105">
        <f>'밸런스 조정'!$C$64</f>
        <v>0</v>
      </c>
      <c r="R105" t="n">
        <f>'밸런스 조정'!$C$90*IF(M105="Boss",5,IF(M105="Elite",2,1))</f>
        <v>350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 t="n">
        <f>ROUND(O105*(1+P106),0)</f>
        <v>2415</v>
      </c>
      <c r="P106">
        <v>0.15</v>
      </c>
      <c r="Q106">
        <f>'밸런스 조정'!$C$64</f>
        <v>0</v>
      </c>
      <c r="R106" t="n">
        <f>'밸런스 조정'!$C$90*IF(M106="Boss",5,IF(M106="Elite",2,1))</f>
        <v>350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 t="n">
        <f>ROUND('밸런스 조정'!$C$73*(1+'밸런스 조정'!$C$75)^2*IF(M107="Boss",'밸런스 조정'!$C$79,IF(M107="Elite",'밸런스 조정'!$C$77,1)),0)</f>
        <v>2205</v>
      </c>
      <c r="P107" t="n">
        <f>'밸런스 조정'!$C$75</f>
        <v>0.05</v>
      </c>
      <c r="Q107">
        <f>'밸런스 조정'!$C$64</f>
        <v>0</v>
      </c>
      <c r="R107" t="n">
        <f>'밸런스 조정'!$C$90*IF(M107="Boss",5,IF(M107="Elite",2,1))</f>
        <v>350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 t="n">
        <f>ROUND(O107*(1+P108),0)</f>
        <v>2536</v>
      </c>
      <c r="P108">
        <v>0.15</v>
      </c>
      <c r="Q108">
        <f>'밸런스 조정'!$C$64</f>
        <v>0</v>
      </c>
      <c r="R108" t="n">
        <f>'밸런스 조정'!$C$90*IF(M108="Boss",5,IF(M108="Elite",2,1))</f>
        <v>350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 t="n">
        <f>ROUND('밸런스 조정'!$C$73*(1+'밸런스 조정'!$C$75)^3*IF(M109="Boss",'밸런스 조정'!$C$79,IF(M109="Elite",'밸런스 조정'!$C$77,1)),0)</f>
        <v>2315</v>
      </c>
      <c r="P109" t="n">
        <f>'밸런스 조정'!$C$75</f>
        <v>0.05</v>
      </c>
      <c r="Q109">
        <f>'밸런스 조정'!$C$64</f>
        <v>0</v>
      </c>
      <c r="R109" t="n">
        <f>'밸런스 조정'!$C$90*IF(M109="Boss",5,IF(M109="Elite",2,1))</f>
        <v>350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 t="n">
        <f>ROUND(O109*(1+P110),0)</f>
        <v>2662</v>
      </c>
      <c r="P110">
        <v>0.15</v>
      </c>
      <c r="Q110">
        <f>'밸런스 조정'!$C$64</f>
        <v>0</v>
      </c>
      <c r="R110" t="n">
        <f>'밸런스 조정'!$C$90*IF(M110="Boss",5,IF(M110="Elite",2,1))</f>
        <v>350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 t="n">
        <f>ROUND('밸런스 조정'!$C$73*(1+'밸런스 조정'!$C$75)^4*IF(M111="Boss",'밸런스 조정'!$C$79,IF(M111="Elite",'밸런스 조정'!$C$77,1)),0)</f>
        <v>3647</v>
      </c>
      <c r="P111" t="n">
        <f>'밸런스 조정'!$C$75</f>
        <v>0.05</v>
      </c>
      <c r="Q111">
        <f>'밸런스 조정'!$C$64</f>
        <v>0</v>
      </c>
      <c r="R111" t="n">
        <f>'밸런스 조정'!$C$90*IF(M111="Boss",5,IF(M111="Elite",2,1))</f>
        <v>700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 t="n">
        <f>ROUND(O111*(1+P112),0)</f>
        <v>4194</v>
      </c>
      <c r="P112">
        <v>0.15</v>
      </c>
      <c r="Q112">
        <f>'밸런스 조정'!$C$64</f>
        <v>0</v>
      </c>
      <c r="R112" t="n">
        <f>'밸런스 조정'!$C$90*IF(M112="Boss",5,IF(M112="Elite",2,1))</f>
        <v>700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 t="n">
        <f>ROUND('밸런스 조정'!$C$73*(1+'밸런스 조정'!$C$75)^5*IF(M113="Boss",'밸런스 조정'!$C$79,IF(M113="Elite",'밸런스 조정'!$C$77,1)),0)</f>
        <v>2553</v>
      </c>
      <c r="P113" t="n">
        <f>'밸런스 조정'!$C$75</f>
        <v>0.05</v>
      </c>
      <c r="Q113">
        <f>'밸런스 조정'!$C$64</f>
        <v>0</v>
      </c>
      <c r="R113" t="n">
        <f>'밸런스 조정'!$C$90*IF(M113="Boss",5,IF(M113="Elite",2,1))</f>
        <v>350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 t="n">
        <f>ROUND(O113*(1+P114),0)</f>
        <v>2936</v>
      </c>
      <c r="P114">
        <v>0.15</v>
      </c>
      <c r="Q114">
        <f>'밸런스 조정'!$C$64</f>
        <v>0</v>
      </c>
      <c r="R114" t="n">
        <f>'밸런스 조정'!$C$90*IF(M114="Boss",5,IF(M114="Elite",2,1))</f>
        <v>350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 t="n">
        <f>ROUND('밸런스 조정'!$C$73*(1+'밸런스 조정'!$C$75)^6*IF(M115="Boss",'밸런스 조정'!$C$79,IF(M115="Elite",'밸런스 조정'!$C$77,1)),0)</f>
        <v>2680</v>
      </c>
      <c r="P115" t="n">
        <f>'밸런스 조정'!$C$75</f>
        <v>0.05</v>
      </c>
      <c r="Q115">
        <f>'밸런스 조정'!$C$64</f>
        <v>0</v>
      </c>
      <c r="R115" t="n">
        <f>'밸런스 조정'!$C$90*IF(M115="Boss",5,IF(M115="Elite",2,1))</f>
        <v>350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 t="n">
        <f>ROUND(O115*(1+P116),0)</f>
        <v>3082</v>
      </c>
      <c r="P116">
        <v>0.15</v>
      </c>
      <c r="Q116">
        <f>'밸런스 조정'!$C$64</f>
        <v>0</v>
      </c>
      <c r="R116" t="n">
        <f>'밸런스 조정'!$C$90*IF(M116="Boss",5,IF(M116="Elite",2,1))</f>
        <v>350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 t="n">
        <f>ROUND('밸런스 조정'!$C$73*(1+'밸런스 조정'!$C$75)^7*IF(M117="Boss",'밸런스 조정'!$C$79,IF(M117="Elite",'밸런스 조정'!$C$77,1)),0)</f>
        <v>2814</v>
      </c>
      <c r="P117" t="n">
        <f>'밸런스 조정'!$C$75</f>
        <v>0.05</v>
      </c>
      <c r="Q117">
        <f>'밸런스 조정'!$C$64</f>
        <v>0</v>
      </c>
      <c r="R117" t="n">
        <f>'밸런스 조정'!$C$90*IF(M117="Boss",5,IF(M117="Elite",2,1))</f>
        <v>350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 t="n">
        <f>ROUND(O117*(1+P118),0)</f>
        <v>3236</v>
      </c>
      <c r="P118">
        <v>0.15</v>
      </c>
      <c r="Q118">
        <f>'밸런스 조정'!$C$64</f>
        <v>0</v>
      </c>
      <c r="R118" t="n">
        <f>'밸런스 조정'!$C$90*IF(M118="Boss",5,IF(M118="Elite",2,1))</f>
        <v>350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 t="n">
        <f>ROUND('밸런스 조정'!$C$73*(1+'밸런스 조정'!$C$75)^8*IF(M119="Boss",'밸런스 조정'!$C$79,IF(M119="Elite",'밸런스 조정'!$C$77,1)),0)</f>
        <v>2955</v>
      </c>
      <c r="P119" t="n">
        <f>'밸런스 조정'!$C$75</f>
        <v>0.05</v>
      </c>
      <c r="Q119">
        <f>'밸런스 조정'!$C$64</f>
        <v>0</v>
      </c>
      <c r="R119" t="n">
        <f>'밸런스 조정'!$C$90*IF(M119="Boss",5,IF(M119="Elite",2,1))</f>
        <v>350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 t="n">
        <f>ROUND(O119*(1+P120),0)</f>
        <v>3398</v>
      </c>
      <c r="P120">
        <v>0.15</v>
      </c>
      <c r="Q120">
        <f>'밸런스 조정'!$C$64</f>
        <v>0</v>
      </c>
      <c r="R120" t="n">
        <f>'밸런스 조정'!$C$90*IF(M120="Boss",5,IF(M120="Elite",2,1))</f>
        <v>350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 t="n">
        <f>ROUND('밸런스 조정'!$C$73*(1+'밸런스 조정'!$C$75)^9*IF(M121="Boss",'밸런스 조정'!$C$79,IF(M121="Elite",'밸런스 조정'!$C$77,1)),0)</f>
        <v>4654</v>
      </c>
      <c r="P121" t="n">
        <f>'밸런스 조정'!$C$75</f>
        <v>0.05</v>
      </c>
      <c r="Q121">
        <f>'밸런스 조정'!$C$64</f>
        <v>0</v>
      </c>
      <c r="R121" t="n">
        <f>'밸런스 조정'!$C$90*IF(M121="Boss",5,IF(M121="Elite",2,1))</f>
        <v>700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 t="n">
        <f>ROUND(O121*(1+P122),0)</f>
        <v>5352</v>
      </c>
      <c r="P122">
        <v>0.15</v>
      </c>
      <c r="Q122">
        <f>'밸런스 조정'!$C$64</f>
        <v>0</v>
      </c>
      <c r="R122" t="n">
        <f>'밸런스 조정'!$C$90*IF(M122="Boss",5,IF(M122="Elite",2,1))</f>
        <v>700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 t="n">
        <f>ROUND('밸런스 조정'!$C$73*(1+'밸런스 조정'!$C$75)^10*IF(M123="Boss",'밸런스 조정'!$C$79,IF(M123="Elite",'밸런스 조정'!$C$77,1)),0)</f>
        <v>3258</v>
      </c>
      <c r="P123" t="n">
        <f>'밸런스 조정'!$C$75</f>
        <v>0.05</v>
      </c>
      <c r="Q123">
        <f>'밸런스 조정'!$C$64</f>
        <v>0</v>
      </c>
      <c r="R123" t="n">
        <f>'밸런스 조정'!$C$90*IF(M123="Boss",5,IF(M123="Elite",2,1))</f>
        <v>350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 t="n">
        <f>ROUND(O123*(1+P124),0)</f>
        <v>3747</v>
      </c>
      <c r="P124">
        <v>0.15</v>
      </c>
      <c r="Q124">
        <f>'밸런스 조정'!$C$64</f>
        <v>0</v>
      </c>
      <c r="R124" t="n">
        <f>'밸런스 조정'!$C$90*IF(M124="Boss",5,IF(M124="Elite",2,1))</f>
        <v>350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 t="n">
        <f>ROUND('밸런스 조정'!$C$73*(1+'밸런스 조정'!$C$75)^11*IF(M125="Boss",'밸런스 조정'!$C$79,IF(M125="Elite",'밸런스 조정'!$C$77,1)),0)</f>
        <v>3421</v>
      </c>
      <c r="P125" t="n">
        <f>'밸런스 조정'!$C$75</f>
        <v>0.05</v>
      </c>
      <c r="Q125">
        <f>'밸런스 조정'!$C$64</f>
        <v>0</v>
      </c>
      <c r="R125" t="n">
        <f>'밸런스 조정'!$C$90*IF(M125="Boss",5,IF(M125="Elite",2,1))</f>
        <v>350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 t="n">
        <f>ROUND(O125*(1+P126),0)</f>
        <v>3934</v>
      </c>
      <c r="P126">
        <v>0.15</v>
      </c>
      <c r="Q126">
        <f>'밸런스 조정'!$C$64</f>
        <v>0</v>
      </c>
      <c r="R126" t="n">
        <f>'밸런스 조정'!$C$90*IF(M126="Boss",5,IF(M126="Elite",2,1))</f>
        <v>350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 t="n">
        <f>ROUND('밸런스 조정'!$C$73*(1+'밸런스 조정'!$C$75)^12*IF(M127="Boss",'밸런스 조정'!$C$79,IF(M127="Elite",'밸런스 조정'!$C$77,1)),0)</f>
        <v>3592</v>
      </c>
      <c r="P127" t="n">
        <f>'밸런스 조정'!$C$75</f>
        <v>0.05</v>
      </c>
      <c r="Q127">
        <f>'밸런스 조정'!$C$64</f>
        <v>0</v>
      </c>
      <c r="R127" t="n">
        <f>'밸런스 조정'!$C$90*IF(M127="Boss",5,IF(M127="Elite",2,1))</f>
        <v>350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 t="n">
        <f>ROUND(O127*(1+P128),0)</f>
        <v>4131</v>
      </c>
      <c r="P128">
        <v>0.15</v>
      </c>
      <c r="Q128">
        <f>'밸런스 조정'!$C$64</f>
        <v>0</v>
      </c>
      <c r="R128" t="n">
        <f>'밸런스 조정'!$C$90*IF(M128="Boss",5,IF(M128="Elite",2,1))</f>
        <v>350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 t="n">
        <f>ROUND('밸런스 조정'!$C$73*(1+'밸런스 조정'!$C$75)^13*IF(M129="Boss",'밸런스 조정'!$C$79,IF(M129="Elite",'밸런스 조정'!$C$77,1)),0)</f>
        <v>3771</v>
      </c>
      <c r="P129" t="n">
        <f>'밸런스 조정'!$C$75</f>
        <v>0.05</v>
      </c>
      <c r="Q129">
        <f>'밸런스 조정'!$C$64</f>
        <v>0</v>
      </c>
      <c r="R129" t="n">
        <f>'밸런스 조정'!$C$90*IF(M129="Boss",5,IF(M129="Elite",2,1))</f>
        <v>350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 t="n">
        <f>ROUND(O129*(1+P130),0)</f>
        <v>4337</v>
      </c>
      <c r="P130">
        <v>0.15</v>
      </c>
      <c r="Q130">
        <f>'밸런스 조정'!$C$64</f>
        <v>0</v>
      </c>
      <c r="R130" t="n">
        <f>'밸런스 조정'!$C$90*IF(M130="Boss",5,IF(M130="Elite",2,1))</f>
        <v>350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 t="n">
        <f>ROUND('밸런스 조정'!$C$73*(1+'밸런스 조정'!$C$75)^14*IF(M131="Boss",'밸런스 조정'!$C$79,IF(M131="Elite",'밸런스 조정'!$C$77,1)),0)</f>
        <v>5940</v>
      </c>
      <c r="P131" t="n">
        <f>'밸런스 조정'!$C$75</f>
        <v>0.05</v>
      </c>
      <c r="Q131">
        <f>'밸런스 조정'!$C$64</f>
        <v>0</v>
      </c>
      <c r="R131" t="n">
        <f>'밸런스 조정'!$C$90*IF(M131="Boss",5,IF(M131="Elite",2,1))</f>
        <v>700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 t="n">
        <f>ROUND(O131*(1+P132),0)</f>
        <v>6831</v>
      </c>
      <c r="P132">
        <v>0.15</v>
      </c>
      <c r="Q132">
        <f>'밸런스 조정'!$C$64</f>
        <v>0</v>
      </c>
      <c r="R132" t="n">
        <f>'밸런스 조정'!$C$90*IF(M132="Boss",5,IF(M132="Elite",2,1))</f>
        <v>700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 t="n">
        <f>ROUND('밸런스 조정'!$C$73*(1+'밸런스 조정'!$C$75)^15*IF(M133="Boss",'밸런스 조정'!$C$79,IF(M133="Elite",'밸런스 조정'!$C$77,1)),0)</f>
        <v>4158</v>
      </c>
      <c r="P133" t="n">
        <f>'밸런스 조정'!$C$75</f>
        <v>0.05</v>
      </c>
      <c r="Q133">
        <f>'밸런스 조정'!$C$64</f>
        <v>0</v>
      </c>
      <c r="R133" t="n">
        <f>'밸런스 조정'!$C$90*IF(M133="Boss",5,IF(M133="Elite",2,1))</f>
        <v>350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 t="n">
        <f>ROUND(O133*(1+P134),0)</f>
        <v>4782</v>
      </c>
      <c r="P134">
        <v>0.15</v>
      </c>
      <c r="Q134">
        <f>'밸런스 조정'!$C$64</f>
        <v>0</v>
      </c>
      <c r="R134" t="n">
        <f>'밸런스 조정'!$C$90*IF(M134="Boss",5,IF(M134="Elite",2,1))</f>
        <v>350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 t="n">
        <f>ROUND('밸런스 조정'!$C$73*(1+'밸런스 조정'!$C$75)^16*IF(M135="Boss",'밸런스 조정'!$C$79,IF(M135="Elite",'밸런스 조정'!$C$77,1)),0)</f>
        <v>4366</v>
      </c>
      <c r="P135" t="n">
        <f>'밸런스 조정'!$C$75</f>
        <v>0.05</v>
      </c>
      <c r="Q135">
        <f>'밸런스 조정'!$C$64</f>
        <v>0</v>
      </c>
      <c r="R135" t="n">
        <f>'밸런스 조정'!$C$90*IF(M135="Boss",5,IF(M135="Elite",2,1))</f>
        <v>350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 t="n">
        <f>ROUND(O135*(1+P136),0)</f>
        <v>5021</v>
      </c>
      <c r="P136">
        <v>0.15</v>
      </c>
      <c r="Q136">
        <f>'밸런스 조정'!$C$64</f>
        <v>0</v>
      </c>
      <c r="R136" t="n">
        <f>'밸런스 조정'!$C$90*IF(M136="Boss",5,IF(M136="Elite",2,1))</f>
        <v>350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 t="n">
        <f>ROUND('밸런스 조정'!$C$73*(1+'밸런스 조정'!$C$75)^17*IF(M137="Boss",'밸런스 조정'!$C$79,IF(M137="Elite",'밸런스 조정'!$C$77,1)),0)</f>
        <v>4584</v>
      </c>
      <c r="P137" t="n">
        <f>'밸런스 조정'!$C$75</f>
        <v>0.05</v>
      </c>
      <c r="Q137">
        <f>'밸런스 조정'!$C$64</f>
        <v>0</v>
      </c>
      <c r="R137" t="n">
        <f>'밸런스 조정'!$C$90*IF(M137="Boss",5,IF(M137="Elite",2,1))</f>
        <v>350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 t="n">
        <f>ROUND(O137*(1+P138),0)</f>
        <v>5272</v>
      </c>
      <c r="P138">
        <v>0.15</v>
      </c>
      <c r="Q138">
        <f>'밸런스 조정'!$C$64</f>
        <v>0</v>
      </c>
      <c r="R138" t="n">
        <f>'밸런스 조정'!$C$90*IF(M138="Boss",5,IF(M138="Elite",2,1))</f>
        <v>350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 t="n">
        <f>ROUND('밸런스 조정'!$C$73*(1+'밸런스 조정'!$C$75)^18*IF(M139="Boss",'밸런스 조정'!$C$79,IF(M139="Elite",'밸런스 조정'!$C$77,1)),0)</f>
        <v>4813</v>
      </c>
      <c r="P139" t="n">
        <f>'밸런스 조정'!$C$75</f>
        <v>0.05</v>
      </c>
      <c r="Q139">
        <f>'밸런스 조정'!$C$64</f>
        <v>0</v>
      </c>
      <c r="R139" t="n">
        <f>'밸런스 조정'!$C$90*IF(M139="Boss",5,IF(M139="Elite",2,1))</f>
        <v>350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 t="n">
        <f>ROUND(O139*(1+P140),0)</f>
        <v>5535</v>
      </c>
      <c r="P140">
        <v>0.15</v>
      </c>
      <c r="Q140">
        <f>'밸런스 조정'!$C$64</f>
        <v>0</v>
      </c>
      <c r="R140" t="n">
        <f>'밸런스 조정'!$C$90*IF(M140="Boss",5,IF(M140="Elite",2,1))</f>
        <v>350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 t="n">
        <f>ROUND('밸런스 조정'!$C$73*(1+'밸런스 조정'!$C$75)^19*IF(M141="Boss",'밸런스 조정'!$C$79,IF(M141="Elite",'밸런스 조정'!$C$77,1)),0)</f>
        <v>7581</v>
      </c>
      <c r="P141" t="n">
        <f>'밸런스 조정'!$C$75</f>
        <v>0.05</v>
      </c>
      <c r="Q141">
        <f>'밸런스 조정'!$C$64</f>
        <v>0</v>
      </c>
      <c r="R141" t="n">
        <f>'밸런스 조정'!$C$90*IF(M141="Boss",5,IF(M141="Elite",2,1))</f>
        <v>700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 t="n">
        <f>ROUND(O141*(1+P142),0)</f>
        <v>8718</v>
      </c>
      <c r="P142">
        <v>0.15</v>
      </c>
      <c r="Q142">
        <f>'밸런스 조정'!$C$64</f>
        <v>0</v>
      </c>
      <c r="R142" t="n">
        <f>'밸런스 조정'!$C$90*IF(M142="Boss",5,IF(M142="Elite",2,1))</f>
        <v>700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 t="n">
        <f>ROUND('밸런스 조정'!$C$73*(1+'밸런스 조정'!$C$75)^20*IF(M143="Boss",'밸런스 조정'!$C$79,IF(M143="Elite",'밸런스 조정'!$C$77,1)),0)</f>
        <v>5307</v>
      </c>
      <c r="P143" t="n">
        <f>'밸런스 조정'!$C$75</f>
        <v>0.05</v>
      </c>
      <c r="Q143">
        <f>'밸런스 조정'!$C$64</f>
        <v>0</v>
      </c>
      <c r="R143" t="n">
        <f>'밸런스 조정'!$C$90*IF(M143="Boss",5,IF(M143="Elite",2,1))</f>
        <v>350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 t="n">
        <f>ROUND(O143*(1+P144),0)</f>
        <v>6103</v>
      </c>
      <c r="P144">
        <v>0.15</v>
      </c>
      <c r="Q144">
        <f>'밸런스 조정'!$C$64</f>
        <v>0</v>
      </c>
      <c r="R144" t="n">
        <f>'밸런스 조정'!$C$90*IF(M144="Boss",5,IF(M144="Elite",2,1))</f>
        <v>350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 t="n">
        <f>ROUND('밸런스 조정'!$C$73*(1+'밸런스 조정'!$C$75)^21*IF(M145="Boss",'밸런스 조정'!$C$79,IF(M145="Elite",'밸런스 조정'!$C$77,1)),0)</f>
        <v>5572</v>
      </c>
      <c r="P145" t="n">
        <f>'밸런스 조정'!$C$75</f>
        <v>0.05</v>
      </c>
      <c r="Q145">
        <f>'밸런스 조정'!$C$64</f>
        <v>0</v>
      </c>
      <c r="R145" t="n">
        <f>'밸런스 조정'!$C$90*IF(M145="Boss",5,IF(M145="Elite",2,1))</f>
        <v>350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 t="n">
        <f>ROUND(O145*(1+P146),0)</f>
        <v>6408</v>
      </c>
      <c r="P146">
        <v>0.15</v>
      </c>
      <c r="Q146">
        <f>'밸런스 조정'!$C$64</f>
        <v>0</v>
      </c>
      <c r="R146" t="n">
        <f>'밸런스 조정'!$C$90*IF(M146="Boss",5,IF(M146="Elite",2,1))</f>
        <v>350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 t="n">
        <f>ROUND('밸런스 조정'!$C$73*(1+'밸런스 조정'!$C$75)^22*IF(M147="Boss",'밸런스 조정'!$C$79,IF(M147="Elite",'밸런스 조정'!$C$77,1)),0)</f>
        <v>5851</v>
      </c>
      <c r="P147" t="n">
        <f>'밸런스 조정'!$C$75</f>
        <v>0.05</v>
      </c>
      <c r="Q147">
        <f>'밸런스 조정'!$C$64</f>
        <v>0</v>
      </c>
      <c r="R147" t="n">
        <f>'밸런스 조정'!$C$90*IF(M147="Boss",5,IF(M147="Elite",2,1))</f>
        <v>350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 t="n">
        <f>ROUND(O147*(1+P148),0)</f>
        <v>6729</v>
      </c>
      <c r="P148">
        <v>0.15</v>
      </c>
      <c r="Q148">
        <f>'밸런스 조정'!$C$64</f>
        <v>0</v>
      </c>
      <c r="R148" t="n">
        <f>'밸런스 조정'!$C$90*IF(M148="Boss",5,IF(M148="Elite",2,1))</f>
        <v>350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 t="n">
        <f>ROUND('밸런스 조정'!$C$73*(1+'밸런스 조정'!$C$75)^23*IF(M149="Boss",'밸런스 조정'!$C$79,IF(M149="Elite",'밸런스 조정'!$C$77,1)),0)</f>
        <v>6143</v>
      </c>
      <c r="P149" t="n">
        <f>'밸런스 조정'!$C$75</f>
        <v>0.05</v>
      </c>
      <c r="Q149">
        <f>'밸런스 조정'!$C$64</f>
        <v>0</v>
      </c>
      <c r="R149" t="n">
        <f>'밸런스 조정'!$C$90*IF(M149="Boss",5,IF(M149="Elite",2,1))</f>
        <v>350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 t="n">
        <f>ROUND(O149*(1+P150),0)</f>
        <v>7064</v>
      </c>
      <c r="P150">
        <v>0.15</v>
      </c>
      <c r="Q150">
        <f>'밸런스 조정'!$C$64</f>
        <v>0</v>
      </c>
      <c r="R150" t="n">
        <f>'밸런스 조정'!$C$90*IF(M150="Boss",5,IF(M150="Elite",2,1))</f>
        <v>350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 t="n">
        <f>ROUND('밸런스 조정'!$C$73*(1+'밸런스 조정'!$C$75)^24*IF(M151="Boss",'밸런스 조정'!$C$79,IF(M151="Elite",'밸런스 조정'!$C$77,1)),0)</f>
        <v>16771</v>
      </c>
      <c r="P151" t="n">
        <f>'밸런스 조정'!$C$75</f>
        <v>0.05</v>
      </c>
      <c r="Q151">
        <f>'밸런스 조정'!$C$64</f>
        <v>0</v>
      </c>
      <c r="R151" t="n">
        <f>'밸런스 조정'!$C$90*IF(M151="Boss",5,IF(M151="Elite",2,1))</f>
        <v>1750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 t="n">
        <f>ROUND(O151*(1+P152),0)</f>
        <v>19287</v>
      </c>
      <c r="P152">
        <v>0.15</v>
      </c>
      <c r="Q152">
        <f>'밸런스 조정'!$C$64</f>
        <v>0</v>
      </c>
      <c r="R152" t="n">
        <f>'밸런스 조정'!$C$90*IF(M152="Boss",5,IF(M152="Elite",2,1))</f>
        <v>1750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 t="n">
        <v>500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 t="n">
        <v>2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58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58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58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