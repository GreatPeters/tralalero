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40d6c92c3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c6e24ae893324156"/>
    <x:sheet xmlns:r="http://schemas.openxmlformats.org/officeDocument/2006/relationships" name="스킨" sheetId="2" r:id="R22baf122dbf74647"/>
    <x:sheet xmlns:r="http://schemas.openxmlformats.org/officeDocument/2006/relationships" name="보너스" sheetId="3" r:id="R969edc48f7894249"/>
    <x:sheet xmlns:r="http://schemas.openxmlformats.org/officeDocument/2006/relationships" name="몬스터" sheetId="4" r:id="Rdd39bb9f8ea04578"/>
    <x:sheet xmlns:r="http://schemas.openxmlformats.org/officeDocument/2006/relationships" name="패턴" sheetId="5" r:id="R384b974ebfe34c19"/>
    <x:sheet xmlns:r="http://schemas.openxmlformats.org/officeDocument/2006/relationships" name="패턴목록" sheetId="6" r:id="R21d1f98443a64dfd"/>
    <x:sheet xmlns:r="http://schemas.openxmlformats.org/officeDocument/2006/relationships" name="환경 변수" sheetId="7" r:id="R6eca12d2530d4e03"/>
    <x:sheet xmlns:r="http://schemas.openxmlformats.org/officeDocument/2006/relationships" name="몬스터 성장" sheetId="8" r:id="Rf178dff8b0054514"/>
    <x:sheet xmlns:r="http://schemas.openxmlformats.org/officeDocument/2006/relationships" name="적 배치" sheetId="9" r:id="Re7ea2688045b4a4c"/>
    <x:sheet xmlns:r="http://schemas.openxmlformats.org/officeDocument/2006/relationships" name="보너스 배치" sheetId="10" r:id="R0589c9c3f595475e"/>
    <x:sheet xmlns:r="http://schemas.openxmlformats.org/officeDocument/2006/relationships" name="기믹 배치" sheetId="11" r:id="R23f7468c98e548e4"/>
    <x:sheet xmlns:r="http://schemas.openxmlformats.org/officeDocument/2006/relationships" name="밸런스 조정" sheetId="12" r:id="R6fcdb6b7d3f6431d"/>
    <x:sheet xmlns:r="http://schemas.openxmlformats.org/officeDocument/2006/relationships" name="커스터마이징" sheetId="13" r:id="Rc7c8ee0366624030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<x:sst xmlns:x="http://schemas.openxmlformats.org/spreadsheetml/2006/main">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</x:sst>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02fd4979c4a34" /><Relationship Type="http://schemas.openxmlformats.org/officeDocument/2006/relationships/theme" Target="/xl/theme/theme1.xml" Id="R12ce391735f64dbd" /><Relationship Type="http://schemas.openxmlformats.org/officeDocument/2006/relationships/sharedStrings" Target="/xl/sharedStrings.xml" Id="R8334d7b88c114e96" /><Relationship Type="http://schemas.openxmlformats.org/officeDocument/2006/relationships/worksheet" Target="/xl/worksheets/sheet1.xml" Id="Rc6e24ae893324156" /><Relationship Type="http://schemas.openxmlformats.org/officeDocument/2006/relationships/worksheet" Target="/xl/worksheets/sheet2.xml" Id="R22baf122dbf74647" /><Relationship Type="http://schemas.openxmlformats.org/officeDocument/2006/relationships/worksheet" Target="/xl/worksheets/sheet3.xml" Id="R969edc48f7894249" /><Relationship Type="http://schemas.openxmlformats.org/officeDocument/2006/relationships/worksheet" Target="/xl/worksheets/sheet4.xml" Id="Rdd39bb9f8ea04578" /><Relationship Type="http://schemas.openxmlformats.org/officeDocument/2006/relationships/worksheet" Target="/xl/worksheets/sheet5.xml" Id="R384b974ebfe34c19" /><Relationship Type="http://schemas.openxmlformats.org/officeDocument/2006/relationships/worksheet" Target="/xl/worksheets/sheet6.xml" Id="R21d1f98443a64dfd" /><Relationship Type="http://schemas.openxmlformats.org/officeDocument/2006/relationships/worksheet" Target="/xl/worksheets/sheet7.xml" Id="R6eca12d2530d4e03" /><Relationship Type="http://schemas.openxmlformats.org/officeDocument/2006/relationships/worksheet" Target="/xl/worksheets/sheet8.xml" Id="Rf178dff8b0054514" /><Relationship Type="http://schemas.openxmlformats.org/officeDocument/2006/relationships/worksheet" Target="/xl/worksheets/sheet9.xml" Id="Re7ea2688045b4a4c" /><Relationship Type="http://schemas.openxmlformats.org/officeDocument/2006/relationships/worksheet" Target="/xl/worksheets/sheet10.xml" Id="R0589c9c3f595475e" /><Relationship Type="http://schemas.openxmlformats.org/officeDocument/2006/relationships/worksheet" Target="/xl/worksheets/sheet11.xml" Id="R23f7468c98e548e4" /><Relationship Type="http://schemas.openxmlformats.org/officeDocument/2006/relationships/worksheet" Target="/xl/worksheets/sheet12.xml" Id="R6fcdb6b7d3f6431d" /><Relationship Type="http://schemas.openxmlformats.org/officeDocument/2006/relationships/worksheet" Target="/xl/worksheets/sheet13.xml" Id="Rc7c8ee03666240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62</x:v>
      </x:c>
    </x:row>
    <x:row r="15">
      <x:c r="B15" t="s">
        <x:v>155</x:v>
      </x:c>
      <x:c r="C15" t="s">
        <x:v>143</x:v>
      </x:c>
      <x:c r="D15" t="n">
        <x:f>'밸런스 조정'!C97</x:f>
        <x:v>350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500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62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575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62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538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62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619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62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867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124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997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124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932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124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1072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124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668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62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768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62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718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62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826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62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772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62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888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62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830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62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954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62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1338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124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1539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124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1438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124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1654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124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1031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62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1186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62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1108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62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1274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62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1191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62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1370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62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1280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62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1472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62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2064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124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2374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124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2219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124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2552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124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1590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62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1828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62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1710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62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1966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62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1838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62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2114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62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1976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62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2272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62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3186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124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3664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124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3425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124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3939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124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2454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62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2822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62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2639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62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3035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62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5673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310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6524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310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2000</x:v>
      </x:c>
      <x:c r="P103" t="n">
        <x:f>'밸런스 조정'!$C$75</x:f>
        <x:v>0.05</x:v>
      </x:c>
      <x:c r="Q103" t="n">
        <x:f>'밸런스 조정'!$C$64</x:f>
        <x:v>0</x:v>
      </x:c>
      <x:c r="R103" t="n">
        <x:f>'밸런스 조정'!$C$90*IF(M103="Boss",5,IF(M103="Elite",2,1))</x:f>
        <x:v>350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2300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350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2100</x:v>
      </x:c>
      <x:c r="P105" t="n">
        <x:f>'밸런스 조정'!$C$75</x:f>
        <x:v>0.05</x:v>
      </x:c>
      <x:c r="Q105" t="n">
        <x:f>'밸런스 조정'!$C$64</x:f>
        <x:v>0</x:v>
      </x:c>
      <x:c r="R105" t="n">
        <x:f>'밸런스 조정'!$C$90*IF(M105="Boss",5,IF(M105="Elite",2,1))</x:f>
        <x:v>350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2415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350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2205</x:v>
      </x:c>
      <x:c r="P107" t="n">
        <x:f>'밸런스 조정'!$C$75</x:f>
        <x:v>0.05</x:v>
      </x:c>
      <x:c r="Q107" t="n">
        <x:f>'밸런스 조정'!$C$64</x:f>
        <x:v>0</x:v>
      </x:c>
      <x:c r="R107" t="n">
        <x:f>'밸런스 조정'!$C$90*IF(M107="Boss",5,IF(M107="Elite",2,1))</x:f>
        <x:v>350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2536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350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2315</x:v>
      </x:c>
      <x:c r="P109" t="n">
        <x:f>'밸런스 조정'!$C$75</x:f>
        <x:v>0.05</x:v>
      </x:c>
      <x:c r="Q109" t="n">
        <x:f>'밸런스 조정'!$C$64</x:f>
        <x:v>0</x:v>
      </x:c>
      <x:c r="R109" t="n">
        <x:f>'밸런스 조정'!$C$90*IF(M109="Boss",5,IF(M109="Elite",2,1))</x:f>
        <x:v>350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2662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350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3647</x:v>
      </x:c>
      <x:c r="P111" t="n">
        <x:f>'밸런스 조정'!$C$75</x:f>
        <x:v>0.05</x:v>
      </x:c>
      <x:c r="Q111" t="n">
        <x:f>'밸런스 조정'!$C$64</x:f>
        <x:v>0</x:v>
      </x:c>
      <x:c r="R111" t="n">
        <x:f>'밸런스 조정'!$C$90*IF(M111="Boss",5,IF(M111="Elite",2,1))</x:f>
        <x:v>700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4194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700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2553</x:v>
      </x:c>
      <x:c r="P113" t="n">
        <x:f>'밸런스 조정'!$C$75</x:f>
        <x:v>0.05</x:v>
      </x:c>
      <x:c r="Q113" t="n">
        <x:f>'밸런스 조정'!$C$64</x:f>
        <x:v>0</x:v>
      </x:c>
      <x:c r="R113" t="n">
        <x:f>'밸런스 조정'!$C$90*IF(M113="Boss",5,IF(M113="Elite",2,1))</x:f>
        <x:v>350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2936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350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2680</x:v>
      </x:c>
      <x:c r="P115" t="n">
        <x:f>'밸런스 조정'!$C$75</x:f>
        <x:v>0.05</x:v>
      </x:c>
      <x:c r="Q115" t="n">
        <x:f>'밸런스 조정'!$C$64</x:f>
        <x:v>0</x:v>
      </x:c>
      <x:c r="R115" t="n">
        <x:f>'밸런스 조정'!$C$90*IF(M115="Boss",5,IF(M115="Elite",2,1))</x:f>
        <x:v>350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3082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350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2814</x:v>
      </x:c>
      <x:c r="P117" t="n">
        <x:f>'밸런스 조정'!$C$75</x:f>
        <x:v>0.05</x:v>
      </x:c>
      <x:c r="Q117" t="n">
        <x:f>'밸런스 조정'!$C$64</x:f>
        <x:v>0</x:v>
      </x:c>
      <x:c r="R117" t="n">
        <x:f>'밸런스 조정'!$C$90*IF(M117="Boss",5,IF(M117="Elite",2,1))</x:f>
        <x:v>350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3236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350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2955</x:v>
      </x:c>
      <x:c r="P119" t="n">
        <x:f>'밸런스 조정'!$C$75</x:f>
        <x:v>0.05</x:v>
      </x:c>
      <x:c r="Q119" t="n">
        <x:f>'밸런스 조정'!$C$64</x:f>
        <x:v>0</x:v>
      </x:c>
      <x:c r="R119" t="n">
        <x:f>'밸런스 조정'!$C$90*IF(M119="Boss",5,IF(M119="Elite",2,1))</x:f>
        <x:v>350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3398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350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4654</x:v>
      </x:c>
      <x:c r="P121" t="n">
        <x:f>'밸런스 조정'!$C$75</x:f>
        <x:v>0.05</x:v>
      </x:c>
      <x:c r="Q121" t="n">
        <x:f>'밸런스 조정'!$C$64</x:f>
        <x:v>0</x:v>
      </x:c>
      <x:c r="R121" t="n">
        <x:f>'밸런스 조정'!$C$90*IF(M121="Boss",5,IF(M121="Elite",2,1))</x:f>
        <x:v>700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5352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700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3258</x:v>
      </x:c>
      <x:c r="P123" t="n">
        <x:f>'밸런스 조정'!$C$75</x:f>
        <x:v>0.05</x:v>
      </x:c>
      <x:c r="Q123" t="n">
        <x:f>'밸런스 조정'!$C$64</x:f>
        <x:v>0</x:v>
      </x:c>
      <x:c r="R123" t="n">
        <x:f>'밸런스 조정'!$C$90*IF(M123="Boss",5,IF(M123="Elite",2,1))</x:f>
        <x:v>350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3747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350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3421</x:v>
      </x:c>
      <x:c r="P125" t="n">
        <x:f>'밸런스 조정'!$C$75</x:f>
        <x:v>0.05</x:v>
      </x:c>
      <x:c r="Q125" t="n">
        <x:f>'밸런스 조정'!$C$64</x:f>
        <x:v>0</x:v>
      </x:c>
      <x:c r="R125" t="n">
        <x:f>'밸런스 조정'!$C$90*IF(M125="Boss",5,IF(M125="Elite",2,1))</x:f>
        <x:v>350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3934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350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3592</x:v>
      </x:c>
      <x:c r="P127" t="n">
        <x:f>'밸런스 조정'!$C$75</x:f>
        <x:v>0.05</x:v>
      </x:c>
      <x:c r="Q127" t="n">
        <x:f>'밸런스 조정'!$C$64</x:f>
        <x:v>0</x:v>
      </x:c>
      <x:c r="R127" t="n">
        <x:f>'밸런스 조정'!$C$90*IF(M127="Boss",5,IF(M127="Elite",2,1))</x:f>
        <x:v>350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4131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350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3771</x:v>
      </x:c>
      <x:c r="P129" t="n">
        <x:f>'밸런스 조정'!$C$75</x:f>
        <x:v>0.05</x:v>
      </x:c>
      <x:c r="Q129" t="n">
        <x:f>'밸런스 조정'!$C$64</x:f>
        <x:v>0</x:v>
      </x:c>
      <x:c r="R129" t="n">
        <x:f>'밸런스 조정'!$C$90*IF(M129="Boss",5,IF(M129="Elite",2,1))</x:f>
        <x:v>350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4337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350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5940</x:v>
      </x:c>
      <x:c r="P131" t="n">
        <x:f>'밸런스 조정'!$C$75</x:f>
        <x:v>0.05</x:v>
      </x:c>
      <x:c r="Q131" t="n">
        <x:f>'밸런스 조정'!$C$64</x:f>
        <x:v>0</x:v>
      </x:c>
      <x:c r="R131" t="n">
        <x:f>'밸런스 조정'!$C$90*IF(M131="Boss",5,IF(M131="Elite",2,1))</x:f>
        <x:v>700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6831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700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4158</x:v>
      </x:c>
      <x:c r="P133" t="n">
        <x:f>'밸런스 조정'!$C$75</x:f>
        <x:v>0.05</x:v>
      </x:c>
      <x:c r="Q133" t="n">
        <x:f>'밸런스 조정'!$C$64</x:f>
        <x:v>0</x:v>
      </x:c>
      <x:c r="R133" t="n">
        <x:f>'밸런스 조정'!$C$90*IF(M133="Boss",5,IF(M133="Elite",2,1))</x:f>
        <x:v>350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4782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350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4366</x:v>
      </x:c>
      <x:c r="P135" t="n">
        <x:f>'밸런스 조정'!$C$75</x:f>
        <x:v>0.05</x:v>
      </x:c>
      <x:c r="Q135" t="n">
        <x:f>'밸런스 조정'!$C$64</x:f>
        <x:v>0</x:v>
      </x:c>
      <x:c r="R135" t="n">
        <x:f>'밸런스 조정'!$C$90*IF(M135="Boss",5,IF(M135="Elite",2,1))</x:f>
        <x:v>350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5021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350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4584</x:v>
      </x:c>
      <x:c r="P137" t="n">
        <x:f>'밸런스 조정'!$C$75</x:f>
        <x:v>0.05</x:v>
      </x:c>
      <x:c r="Q137" t="n">
        <x:f>'밸런스 조정'!$C$64</x:f>
        <x:v>0</x:v>
      </x:c>
      <x:c r="R137" t="n">
        <x:f>'밸런스 조정'!$C$90*IF(M137="Boss",5,IF(M137="Elite",2,1))</x:f>
        <x:v>350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5272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350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4813</x:v>
      </x:c>
      <x:c r="P139" t="n">
        <x:f>'밸런스 조정'!$C$75</x:f>
        <x:v>0.05</x:v>
      </x:c>
      <x:c r="Q139" t="n">
        <x:f>'밸런스 조정'!$C$64</x:f>
        <x:v>0</x:v>
      </x:c>
      <x:c r="R139" t="n">
        <x:f>'밸런스 조정'!$C$90*IF(M139="Boss",5,IF(M139="Elite",2,1))</x:f>
        <x:v>350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5535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350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7581</x:v>
      </x:c>
      <x:c r="P141" t="n">
        <x:f>'밸런스 조정'!$C$75</x:f>
        <x:v>0.05</x:v>
      </x:c>
      <x:c r="Q141" t="n">
        <x:f>'밸런스 조정'!$C$64</x:f>
        <x:v>0</x:v>
      </x:c>
      <x:c r="R141" t="n">
        <x:f>'밸런스 조정'!$C$90*IF(M141="Boss",5,IF(M141="Elite",2,1))</x:f>
        <x:v>700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8718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700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5307</x:v>
      </x:c>
      <x:c r="P143" t="n">
        <x:f>'밸런스 조정'!$C$75</x:f>
        <x:v>0.05</x:v>
      </x:c>
      <x:c r="Q143" t="n">
        <x:f>'밸런스 조정'!$C$64</x:f>
        <x:v>0</x:v>
      </x:c>
      <x:c r="R143" t="n">
        <x:f>'밸런스 조정'!$C$90*IF(M143="Boss",5,IF(M143="Elite",2,1))</x:f>
        <x:v>350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6103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350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5572</x:v>
      </x:c>
      <x:c r="P145" t="n">
        <x:f>'밸런스 조정'!$C$75</x:f>
        <x:v>0.05</x:v>
      </x:c>
      <x:c r="Q145" t="n">
        <x:f>'밸런스 조정'!$C$64</x:f>
        <x:v>0</x:v>
      </x:c>
      <x:c r="R145" t="n">
        <x:f>'밸런스 조정'!$C$90*IF(M145="Boss",5,IF(M145="Elite",2,1))</x:f>
        <x:v>350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6408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350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5851</x:v>
      </x:c>
      <x:c r="P147" t="n">
        <x:f>'밸런스 조정'!$C$75</x:f>
        <x:v>0.05</x:v>
      </x:c>
      <x:c r="Q147" t="n">
        <x:f>'밸런스 조정'!$C$64</x:f>
        <x:v>0</x:v>
      </x:c>
      <x:c r="R147" t="n">
        <x:f>'밸런스 조정'!$C$90*IF(M147="Boss",5,IF(M147="Elite",2,1))</x:f>
        <x:v>350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6729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350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6143</x:v>
      </x:c>
      <x:c r="P149" t="n">
        <x:f>'밸런스 조정'!$C$75</x:f>
        <x:v>0.05</x:v>
      </x:c>
      <x:c r="Q149" t="n">
        <x:f>'밸런스 조정'!$C$64</x:f>
        <x:v>0</x:v>
      </x:c>
      <x:c r="R149" t="n">
        <x:f>'밸런스 조정'!$C$90*IF(M149="Boss",5,IF(M149="Elite",2,1))</x:f>
        <x:v>350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7064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350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16771</x:v>
      </x:c>
      <x:c r="P151" t="n">
        <x:f>'밸런스 조정'!$C$75</x:f>
        <x:v>0.05</x:v>
      </x:c>
      <x:c r="Q151" t="n">
        <x:f>'밸런스 조정'!$C$64</x:f>
        <x:v>0</x:v>
      </x:c>
      <x:c r="R151" t="n">
        <x:f>'밸런스 조정'!$C$90*IF(M151="Boss",5,IF(M151="Elite",2,1))</x:f>
        <x:v>1750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19287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1750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 t="n">
        <x:v>500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 t="n">
        <x:v>2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2000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62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350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350</x:v>
      </x:c>
      <x:c r="D90" s="36" t="s">
        <x:v>648</x:v>
      </x:c>
    </x:row>
    <x:row r="91" ht="32.099998474121094" customHeight="1">
      <x:c r="B91" s="31" t="s">
        <x:v>649</x:v>
      </x:c>
      <x:c r="C91" s="34" t="n">
        <x:v>62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62</x:v>
      </x:c>
      <x:c r="D96" s="36" t="s">
        <x:v>659</x:v>
      </x:c>
    </x:row>
    <x:row r="97" ht="32.099998474121094" customHeight="1">
      <x:c r="B97" s="31" t="s">
        <x:v>660</x:v>
      </x:c>
      <x:c r="C97" s="34" t="n">
        <x:v>350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