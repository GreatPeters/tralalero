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<sst xmlns="http://schemas.openxmlformats.org/spreadsheetml/2006/main" count="5031" uniqueCount="786">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</sst>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100</v>
      </c>
    </row>
    <row r="15" spans="2:7">
      <c r="B15" t="s">
        <v>162</v>
      </c>
      <c r="C15" t="s">
        <v>150</v>
      </c>
      <c r="D15" t="n">
        <f>'밸런스 조정'!C97</f>
        <v>450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100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100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100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100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200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200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200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200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100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100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100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100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100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100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100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100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200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200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200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200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100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100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100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100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100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100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100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100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200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200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200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200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100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100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100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100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100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100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100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100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200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200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200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200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100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100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100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100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500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500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0.075</v>
      </c>
      <c r="Q103">
        <f>'밸런스 조정'!$C$64</f>
        <v>0</v>
      </c>
      <c r="R103" t="n">
        <f>'밸런스 조정'!$C$90*IF(M103="Boss",5,IF(M103="Elite",2,1))</f>
        <v>450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450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2150</v>
      </c>
      <c r="P105" t="n">
        <f>'밸런스 조정'!$C$75</f>
        <v>0.075</v>
      </c>
      <c r="Q105">
        <f>'밸런스 조정'!$C$64</f>
        <v>0</v>
      </c>
      <c r="R105" t="n">
        <f>'밸런스 조정'!$C$90*IF(M105="Boss",5,IF(M105="Elite",2,1))</f>
        <v>450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2473</v>
      </c>
      <c r="P106">
        <v>0.15</v>
      </c>
      <c r="Q106">
        <f>'밸런스 조정'!$C$64</f>
        <v>0</v>
      </c>
      <c r="R106" t="n">
        <f>'밸런스 조정'!$C$90*IF(M106="Boss",5,IF(M106="Elite",2,1))</f>
        <v>450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2311</v>
      </c>
      <c r="P107" t="n">
        <f>'밸런스 조정'!$C$75</f>
        <v>0.075</v>
      </c>
      <c r="Q107">
        <f>'밸런스 조정'!$C$64</f>
        <v>0</v>
      </c>
      <c r="R107" t="n">
        <f>'밸런스 조정'!$C$90*IF(M107="Boss",5,IF(M107="Elite",2,1))</f>
        <v>450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2658</v>
      </c>
      <c r="P108">
        <v>0.15</v>
      </c>
      <c r="Q108">
        <f>'밸런스 조정'!$C$64</f>
        <v>0</v>
      </c>
      <c r="R108" t="n">
        <f>'밸런스 조정'!$C$90*IF(M108="Boss",5,IF(M108="Elite",2,1))</f>
        <v>450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2485</v>
      </c>
      <c r="P109" t="n">
        <f>'밸런스 조정'!$C$75</f>
        <v>0.075</v>
      </c>
      <c r="Q109">
        <f>'밸런스 조정'!$C$64</f>
        <v>0</v>
      </c>
      <c r="R109" t="n">
        <f>'밸런스 조정'!$C$90*IF(M109="Boss",5,IF(M109="Elite",2,1))</f>
        <v>450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2858</v>
      </c>
      <c r="P110">
        <v>0.15</v>
      </c>
      <c r="Q110">
        <f>'밸런스 조정'!$C$64</f>
        <v>0</v>
      </c>
      <c r="R110" t="n">
        <f>'밸런스 조정'!$C$90*IF(M110="Boss",5,IF(M110="Elite",2,1))</f>
        <v>450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4006</v>
      </c>
      <c r="P111" t="n">
        <f>'밸런스 조정'!$C$75</f>
        <v>0.075</v>
      </c>
      <c r="Q111">
        <f>'밸런스 조정'!$C$64</f>
        <v>0</v>
      </c>
      <c r="R111" t="n">
        <f>'밸런스 조정'!$C$90*IF(M111="Boss",5,IF(M111="Elite",2,1))</f>
        <v>900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4607</v>
      </c>
      <c r="P112">
        <v>0.15</v>
      </c>
      <c r="Q112">
        <f>'밸런스 조정'!$C$64</f>
        <v>0</v>
      </c>
      <c r="R112" t="n">
        <f>'밸런스 조정'!$C$90*IF(M112="Boss",5,IF(M112="Elite",2,1))</f>
        <v>900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2871</v>
      </c>
      <c r="P113" t="n">
        <f>'밸런스 조정'!$C$75</f>
        <v>0.075</v>
      </c>
      <c r="Q113">
        <f>'밸런스 조정'!$C$64</f>
        <v>0</v>
      </c>
      <c r="R113" t="n">
        <f>'밸런스 조정'!$C$90*IF(M113="Boss",5,IF(M113="Elite",2,1))</f>
        <v>450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3302</v>
      </c>
      <c r="P114">
        <v>0.15</v>
      </c>
      <c r="Q114">
        <f>'밸런스 조정'!$C$64</f>
        <v>0</v>
      </c>
      <c r="R114" t="n">
        <f>'밸런스 조정'!$C$90*IF(M114="Boss",5,IF(M114="Elite",2,1))</f>
        <v>450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3087</v>
      </c>
      <c r="P115" t="n">
        <f>'밸런스 조정'!$C$75</f>
        <v>0.075</v>
      </c>
      <c r="Q115">
        <f>'밸런스 조정'!$C$64</f>
        <v>0</v>
      </c>
      <c r="R115" t="n">
        <f>'밸런스 조정'!$C$90*IF(M115="Boss",5,IF(M115="Elite",2,1))</f>
        <v>450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3550</v>
      </c>
      <c r="P116">
        <v>0.15</v>
      </c>
      <c r="Q116">
        <f>'밸런스 조정'!$C$64</f>
        <v>0</v>
      </c>
      <c r="R116" t="n">
        <f>'밸런스 조정'!$C$90*IF(M116="Boss",5,IF(M116="Elite",2,1))</f>
        <v>450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3318</v>
      </c>
      <c r="P117" t="n">
        <f>'밸런스 조정'!$C$75</f>
        <v>0.075</v>
      </c>
      <c r="Q117">
        <f>'밸런스 조정'!$C$64</f>
        <v>0</v>
      </c>
      <c r="R117" t="n">
        <f>'밸런스 조정'!$C$90*IF(M117="Boss",5,IF(M117="Elite",2,1))</f>
        <v>450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3816</v>
      </c>
      <c r="P118">
        <v>0.15</v>
      </c>
      <c r="Q118">
        <f>'밸런스 조정'!$C$64</f>
        <v>0</v>
      </c>
      <c r="R118" t="n">
        <f>'밸런스 조정'!$C$90*IF(M118="Boss",5,IF(M118="Elite",2,1))</f>
        <v>450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3567</v>
      </c>
      <c r="P119" t="n">
        <f>'밸런스 조정'!$C$75</f>
        <v>0.075</v>
      </c>
      <c r="Q119">
        <f>'밸런스 조정'!$C$64</f>
        <v>0</v>
      </c>
      <c r="R119" t="n">
        <f>'밸런스 조정'!$C$90*IF(M119="Boss",5,IF(M119="Elite",2,1))</f>
        <v>450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4102</v>
      </c>
      <c r="P120">
        <v>0.15</v>
      </c>
      <c r="Q120">
        <f>'밸런스 조정'!$C$64</f>
        <v>0</v>
      </c>
      <c r="R120" t="n">
        <f>'밸런스 조정'!$C$90*IF(M120="Boss",5,IF(M120="Elite",2,1))</f>
        <v>450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5752</v>
      </c>
      <c r="P121" t="n">
        <f>'밸런스 조정'!$C$75</f>
        <v>0.075</v>
      </c>
      <c r="Q121">
        <f>'밸런스 조정'!$C$64</f>
        <v>0</v>
      </c>
      <c r="R121" t="n">
        <f>'밸런스 조정'!$C$90*IF(M121="Boss",5,IF(M121="Elite",2,1))</f>
        <v>900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6615</v>
      </c>
      <c r="P122">
        <v>0.15</v>
      </c>
      <c r="Q122">
        <f>'밸런스 조정'!$C$64</f>
        <v>0</v>
      </c>
      <c r="R122" t="n">
        <f>'밸런스 조정'!$C$90*IF(M122="Boss",5,IF(M122="Elite",2,1))</f>
        <v>900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4122</v>
      </c>
      <c r="P123" t="n">
        <f>'밸런스 조정'!$C$75</f>
        <v>0.075</v>
      </c>
      <c r="Q123">
        <f>'밸런스 조정'!$C$64</f>
        <v>0</v>
      </c>
      <c r="R123" t="n">
        <f>'밸런스 조정'!$C$90*IF(M123="Boss",5,IF(M123="Elite",2,1))</f>
        <v>450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4740</v>
      </c>
      <c r="P124">
        <v>0.15</v>
      </c>
      <c r="Q124">
        <f>'밸런스 조정'!$C$64</f>
        <v>0</v>
      </c>
      <c r="R124" t="n">
        <f>'밸런스 조정'!$C$90*IF(M124="Boss",5,IF(M124="Elite",2,1))</f>
        <v>450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4431</v>
      </c>
      <c r="P125" t="n">
        <f>'밸런스 조정'!$C$75</f>
        <v>0.075</v>
      </c>
      <c r="Q125">
        <f>'밸런스 조정'!$C$64</f>
        <v>0</v>
      </c>
      <c r="R125" t="n">
        <f>'밸런스 조정'!$C$90*IF(M125="Boss",5,IF(M125="Elite",2,1))</f>
        <v>450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5096</v>
      </c>
      <c r="P126">
        <v>0.15</v>
      </c>
      <c r="Q126">
        <f>'밸런스 조정'!$C$64</f>
        <v>0</v>
      </c>
      <c r="R126" t="n">
        <f>'밸런스 조정'!$C$90*IF(M126="Boss",5,IF(M126="Elite",2,1))</f>
        <v>450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4764</v>
      </c>
      <c r="P127" t="n">
        <f>'밸런스 조정'!$C$75</f>
        <v>0.075</v>
      </c>
      <c r="Q127">
        <f>'밸런스 조정'!$C$64</f>
        <v>0</v>
      </c>
      <c r="R127" t="n">
        <f>'밸런스 조정'!$C$90*IF(M127="Boss",5,IF(M127="Elite",2,1))</f>
        <v>450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5479</v>
      </c>
      <c r="P128">
        <v>0.15</v>
      </c>
      <c r="Q128">
        <f>'밸런스 조정'!$C$64</f>
        <v>0</v>
      </c>
      <c r="R128" t="n">
        <f>'밸런스 조정'!$C$90*IF(M128="Boss",5,IF(M128="Elite",2,1))</f>
        <v>450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5121</v>
      </c>
      <c r="P129" t="n">
        <f>'밸런스 조정'!$C$75</f>
        <v>0.075</v>
      </c>
      <c r="Q129">
        <f>'밸런스 조정'!$C$64</f>
        <v>0</v>
      </c>
      <c r="R129" t="n">
        <f>'밸런스 조정'!$C$90*IF(M129="Boss",5,IF(M129="Elite",2,1))</f>
        <v>450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5889</v>
      </c>
      <c r="P130">
        <v>0.15</v>
      </c>
      <c r="Q130">
        <f>'밸런스 조정'!$C$64</f>
        <v>0</v>
      </c>
      <c r="R130" t="n">
        <f>'밸런스 조정'!$C$90*IF(M130="Boss",5,IF(M130="Elite",2,1))</f>
        <v>450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8257</v>
      </c>
      <c r="P131" t="n">
        <f>'밸런스 조정'!$C$75</f>
        <v>0.075</v>
      </c>
      <c r="Q131">
        <f>'밸런스 조정'!$C$64</f>
        <v>0</v>
      </c>
      <c r="R131" t="n">
        <f>'밸런스 조정'!$C$90*IF(M131="Boss",5,IF(M131="Elite",2,1))</f>
        <v>900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9496</v>
      </c>
      <c r="P132">
        <v>0.15</v>
      </c>
      <c r="Q132">
        <f>'밸런스 조정'!$C$64</f>
        <v>0</v>
      </c>
      <c r="R132" t="n">
        <f>'밸런스 조정'!$C$90*IF(M132="Boss",5,IF(M132="Elite",2,1))</f>
        <v>900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5918</v>
      </c>
      <c r="P133" t="n">
        <f>'밸런스 조정'!$C$75</f>
        <v>0.075</v>
      </c>
      <c r="Q133">
        <f>'밸런스 조정'!$C$64</f>
        <v>0</v>
      </c>
      <c r="R133" t="n">
        <f>'밸런스 조정'!$C$90*IF(M133="Boss",5,IF(M133="Elite",2,1))</f>
        <v>450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6806</v>
      </c>
      <c r="P134">
        <v>0.15</v>
      </c>
      <c r="Q134">
        <f>'밸런스 조정'!$C$64</f>
        <v>0</v>
      </c>
      <c r="R134" t="n">
        <f>'밸런스 조정'!$C$90*IF(M134="Boss",5,IF(M134="Elite",2,1))</f>
        <v>450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6362</v>
      </c>
      <c r="P135" t="n">
        <f>'밸런스 조정'!$C$75</f>
        <v>0.075</v>
      </c>
      <c r="Q135">
        <f>'밸런스 조정'!$C$64</f>
        <v>0</v>
      </c>
      <c r="R135" t="n">
        <f>'밸런스 조정'!$C$90*IF(M135="Boss",5,IF(M135="Elite",2,1))</f>
        <v>450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7316</v>
      </c>
      <c r="P136">
        <v>0.15</v>
      </c>
      <c r="Q136">
        <f>'밸런스 조정'!$C$64</f>
        <v>0</v>
      </c>
      <c r="R136" t="n">
        <f>'밸런스 조정'!$C$90*IF(M136="Boss",5,IF(M136="Elite",2,1))</f>
        <v>450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6839</v>
      </c>
      <c r="P137" t="n">
        <f>'밸런스 조정'!$C$75</f>
        <v>0.075</v>
      </c>
      <c r="Q137">
        <f>'밸런스 조정'!$C$64</f>
        <v>0</v>
      </c>
      <c r="R137" t="n">
        <f>'밸런스 조정'!$C$90*IF(M137="Boss",5,IF(M137="Elite",2,1))</f>
        <v>450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7865</v>
      </c>
      <c r="P138">
        <v>0.15</v>
      </c>
      <c r="Q138">
        <f>'밸런스 조정'!$C$64</f>
        <v>0</v>
      </c>
      <c r="R138" t="n">
        <f>'밸런스 조정'!$C$90*IF(M138="Boss",5,IF(M138="Elite",2,1))</f>
        <v>450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7352</v>
      </c>
      <c r="P139" t="n">
        <f>'밸런스 조정'!$C$75</f>
        <v>0.075</v>
      </c>
      <c r="Q139">
        <f>'밸런스 조정'!$C$64</f>
        <v>0</v>
      </c>
      <c r="R139" t="n">
        <f>'밸런스 조정'!$C$90*IF(M139="Boss",5,IF(M139="Elite",2,1))</f>
        <v>450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8455</v>
      </c>
      <c r="P140">
        <v>0.15</v>
      </c>
      <c r="Q140">
        <f>'밸런스 조정'!$C$64</f>
        <v>0</v>
      </c>
      <c r="R140" t="n">
        <f>'밸런스 조정'!$C$90*IF(M140="Boss",5,IF(M140="Elite",2,1))</f>
        <v>450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11854</v>
      </c>
      <c r="P141" t="n">
        <f>'밸런스 조정'!$C$75</f>
        <v>0.075</v>
      </c>
      <c r="Q141">
        <f>'밸런스 조정'!$C$64</f>
        <v>0</v>
      </c>
      <c r="R141" t="n">
        <f>'밸런스 조정'!$C$90*IF(M141="Boss",5,IF(M141="Elite",2,1))</f>
        <v>900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13632</v>
      </c>
      <c r="P142">
        <v>0.15</v>
      </c>
      <c r="Q142">
        <f>'밸런스 조정'!$C$64</f>
        <v>0</v>
      </c>
      <c r="R142" t="n">
        <f>'밸런스 조정'!$C$90*IF(M142="Boss",5,IF(M142="Elite",2,1))</f>
        <v>900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8496</v>
      </c>
      <c r="P143" t="n">
        <f>'밸런스 조정'!$C$75</f>
        <v>0.075</v>
      </c>
      <c r="Q143">
        <f>'밸런스 조정'!$C$64</f>
        <v>0</v>
      </c>
      <c r="R143" t="n">
        <f>'밸런스 조정'!$C$90*IF(M143="Boss",5,IF(M143="Elite",2,1))</f>
        <v>450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9770</v>
      </c>
      <c r="P144">
        <v>0.15</v>
      </c>
      <c r="Q144">
        <f>'밸런스 조정'!$C$64</f>
        <v>0</v>
      </c>
      <c r="R144" t="n">
        <f>'밸런스 조정'!$C$90*IF(M144="Boss",5,IF(M144="Elite",2,1))</f>
        <v>450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9133</v>
      </c>
      <c r="P145" t="n">
        <f>'밸런스 조정'!$C$75</f>
        <v>0.075</v>
      </c>
      <c r="Q145">
        <f>'밸런스 조정'!$C$64</f>
        <v>0</v>
      </c>
      <c r="R145" t="n">
        <f>'밸런스 조정'!$C$90*IF(M145="Boss",5,IF(M145="Elite",2,1))</f>
        <v>450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10503</v>
      </c>
      <c r="P146">
        <v>0.15</v>
      </c>
      <c r="Q146">
        <f>'밸런스 조정'!$C$64</f>
        <v>0</v>
      </c>
      <c r="R146" t="n">
        <f>'밸런스 조정'!$C$90*IF(M146="Boss",5,IF(M146="Elite",2,1))</f>
        <v>450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9818</v>
      </c>
      <c r="P147" t="n">
        <f>'밸런스 조정'!$C$75</f>
        <v>0.075</v>
      </c>
      <c r="Q147">
        <f>'밸런스 조정'!$C$64</f>
        <v>0</v>
      </c>
      <c r="R147" t="n">
        <f>'밸런스 조정'!$C$90*IF(M147="Boss",5,IF(M147="Elite",2,1))</f>
        <v>450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11291</v>
      </c>
      <c r="P148">
        <v>0.15</v>
      </c>
      <c r="Q148">
        <f>'밸런스 조정'!$C$64</f>
        <v>0</v>
      </c>
      <c r="R148" t="n">
        <f>'밸런스 조정'!$C$90*IF(M148="Boss",5,IF(M148="Elite",2,1))</f>
        <v>450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10554</v>
      </c>
      <c r="P149" t="n">
        <f>'밸런스 조정'!$C$75</f>
        <v>0.075</v>
      </c>
      <c r="Q149">
        <f>'밸런스 조정'!$C$64</f>
        <v>0</v>
      </c>
      <c r="R149" t="n">
        <f>'밸런스 조정'!$C$90*IF(M149="Boss",5,IF(M149="Elite",2,1))</f>
        <v>450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12137</v>
      </c>
      <c r="P150">
        <v>0.15</v>
      </c>
      <c r="Q150">
        <f>'밸런스 조정'!$C$64</f>
        <v>0</v>
      </c>
      <c r="R150" t="n">
        <f>'밸런스 조정'!$C$90*IF(M150="Boss",5,IF(M150="Elite",2,1))</f>
        <v>450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29499</v>
      </c>
      <c r="P151" t="n">
        <f>'밸런스 조정'!$C$75</f>
        <v>0.075</v>
      </c>
      <c r="Q151">
        <f>'밸런스 조정'!$C$64</f>
        <v>0</v>
      </c>
      <c r="R151" t="n">
        <f>'밸런스 조정'!$C$90*IF(M151="Boss",5,IF(M151="Elite",2,1))</f>
        <v>2250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33924</v>
      </c>
      <c r="P152">
        <v>0.15</v>
      </c>
      <c r="Q152">
        <f>'밸런스 조정'!$C$64</f>
        <v>0</v>
      </c>
      <c r="R152" t="n">
        <f>'밸런스 조정'!$C$90*IF(M152="Boss",5,IF(M152="Elite",2,1))</f>
        <v>2250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100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0.075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450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450</v>
      </c>
      <c r="D90" s="36" t="s">
        <v>651</v>
      </c>
    </row>
    <row r="91" spans="2:4" ht="32.1" customHeight="1">
      <c r="B91" s="31" t="s">
        <v>652</v>
      </c>
      <c r="C91" s="34" t="n">
        <v>100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100</v>
      </c>
      <c r="D96" s="36" t="s">
        <v>662</v>
      </c>
    </row>
    <row r="97" spans="2:4" ht="32.1" customHeight="1">
      <c r="B97" s="31" t="s">
        <v>663</v>
      </c>
      <c r="C97" s="34" t="n">
        <v>450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