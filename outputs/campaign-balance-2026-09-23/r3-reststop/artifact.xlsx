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80c2dd615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58d52c4e7d8c4a18"/>
    <x:sheet xmlns:r="http://schemas.openxmlformats.org/officeDocument/2006/relationships" name="스킨" sheetId="2" r:id="R592a423050cc47f9"/>
    <x:sheet xmlns:r="http://schemas.openxmlformats.org/officeDocument/2006/relationships" name="보너스" sheetId="3" r:id="R39486d5a5099484f"/>
    <x:sheet xmlns:r="http://schemas.openxmlformats.org/officeDocument/2006/relationships" name="몬스터" sheetId="4" r:id="R6564c60b89644d9e"/>
    <x:sheet xmlns:r="http://schemas.openxmlformats.org/officeDocument/2006/relationships" name="패턴" sheetId="5" r:id="R702f35b6ee3f47c1"/>
    <x:sheet xmlns:r="http://schemas.openxmlformats.org/officeDocument/2006/relationships" name="패턴목록" sheetId="6" r:id="R9c7aa66ed77a42b0"/>
    <x:sheet xmlns:r="http://schemas.openxmlformats.org/officeDocument/2006/relationships" name="환경 변수" sheetId="7" r:id="R6fc801f494ae4692"/>
    <x:sheet xmlns:r="http://schemas.openxmlformats.org/officeDocument/2006/relationships" name="몬스터 성장" sheetId="8" r:id="Ra96461e157b44e2a"/>
    <x:sheet xmlns:r="http://schemas.openxmlformats.org/officeDocument/2006/relationships" name="적 배치" sheetId="9" r:id="R45f86a1b786846f2"/>
    <x:sheet xmlns:r="http://schemas.openxmlformats.org/officeDocument/2006/relationships" name="보너스 배치" sheetId="10" r:id="R2825ef50385240a2"/>
    <x:sheet xmlns:r="http://schemas.openxmlformats.org/officeDocument/2006/relationships" name="기믹 배치" sheetId="11" r:id="R840c1454c63746e3"/>
    <x:sheet xmlns:r="http://schemas.openxmlformats.org/officeDocument/2006/relationships" name="밸런스 조정" sheetId="12" r:id="R274aa686427248d8"/>
    <x:sheet xmlns:r="http://schemas.openxmlformats.org/officeDocument/2006/relationships" name="커스터마이징" sheetId="13" r:id="R6e1c7eee7353493e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<x:sst xmlns:x="http://schemas.openxmlformats.org/spreadsheetml/2006/main">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</x:sst>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c3be229164bbf" /><Relationship Type="http://schemas.openxmlformats.org/officeDocument/2006/relationships/theme" Target="/xl/theme/theme1.xml" Id="R9a0fb28a85cd4c7d" /><Relationship Type="http://schemas.openxmlformats.org/officeDocument/2006/relationships/sharedStrings" Target="/xl/sharedStrings.xml" Id="R5479a571e23d498e" /><Relationship Type="http://schemas.openxmlformats.org/officeDocument/2006/relationships/worksheet" Target="/xl/worksheets/sheet1.xml" Id="R58d52c4e7d8c4a18" /><Relationship Type="http://schemas.openxmlformats.org/officeDocument/2006/relationships/worksheet" Target="/xl/worksheets/sheet2.xml" Id="R592a423050cc47f9" /><Relationship Type="http://schemas.openxmlformats.org/officeDocument/2006/relationships/worksheet" Target="/xl/worksheets/sheet3.xml" Id="R39486d5a5099484f" /><Relationship Type="http://schemas.openxmlformats.org/officeDocument/2006/relationships/worksheet" Target="/xl/worksheets/sheet4.xml" Id="R6564c60b89644d9e" /><Relationship Type="http://schemas.openxmlformats.org/officeDocument/2006/relationships/worksheet" Target="/xl/worksheets/sheet5.xml" Id="R702f35b6ee3f47c1" /><Relationship Type="http://schemas.openxmlformats.org/officeDocument/2006/relationships/worksheet" Target="/xl/worksheets/sheet6.xml" Id="R9c7aa66ed77a42b0" /><Relationship Type="http://schemas.openxmlformats.org/officeDocument/2006/relationships/worksheet" Target="/xl/worksheets/sheet7.xml" Id="R6fc801f494ae4692" /><Relationship Type="http://schemas.openxmlformats.org/officeDocument/2006/relationships/worksheet" Target="/xl/worksheets/sheet8.xml" Id="Ra96461e157b44e2a" /><Relationship Type="http://schemas.openxmlformats.org/officeDocument/2006/relationships/worksheet" Target="/xl/worksheets/sheet9.xml" Id="R45f86a1b786846f2" /><Relationship Type="http://schemas.openxmlformats.org/officeDocument/2006/relationships/worksheet" Target="/xl/worksheets/sheet10.xml" Id="R2825ef50385240a2" /><Relationship Type="http://schemas.openxmlformats.org/officeDocument/2006/relationships/worksheet" Target="/xl/worksheets/sheet11.xml" Id="R840c1454c63746e3" /><Relationship Type="http://schemas.openxmlformats.org/officeDocument/2006/relationships/worksheet" Target="/xl/worksheets/sheet12.xml" Id="R274aa686427248d8" /><Relationship Type="http://schemas.openxmlformats.org/officeDocument/2006/relationships/worksheet" Target="/xl/worksheets/sheet13.xml" Id="R6e1c7eee735349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100</x:v>
      </x:c>
    </x:row>
    <x:row r="15">
      <x:c r="B15" t="s">
        <x:v>155</x:v>
      </x:c>
      <x:c r="C15" t="s">
        <x:v>143</x:v>
      </x:c>
      <x:c r="D15" t="n">
        <x:f>'밸런스 조정'!C97</x:f>
        <x:v>450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100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621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100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581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100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668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100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936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200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1076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200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1006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200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1157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200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100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829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100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775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100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891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100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100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958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100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896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100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1030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100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1445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200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1662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200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1553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200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1786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200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100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1280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100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1196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100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1375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100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100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1479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100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1383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100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1590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100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2229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200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2563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200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2397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200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2757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200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100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1976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100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1846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100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2123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100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100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2283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100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2134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100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2454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100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3441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200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3957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200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3699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200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4254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200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100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3049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100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2850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100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3277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100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7965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500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9160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500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2000</x:v>
      </x:c>
      <x:c r="P103" t="n">
        <x:f>'밸런스 조정'!$C$75</x:f>
        <x:v>0.075</x:v>
      </x:c>
      <x:c r="Q103" t="n">
        <x:f>'밸런스 조정'!$C$64</x:f>
        <x:v>0</x:v>
      </x:c>
      <x:c r="R103" t="n">
        <x:f>'밸런스 조정'!$C$90*IF(M103="Boss",5,IF(M103="Elite",2,1))</x:f>
        <x:v>450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2300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450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2150</x:v>
      </x:c>
      <x:c r="P105" t="n">
        <x:f>'밸런스 조정'!$C$75</x:f>
        <x:v>0.075</x:v>
      </x:c>
      <x:c r="Q105" t="n">
        <x:f>'밸런스 조정'!$C$64</x:f>
        <x:v>0</x:v>
      </x:c>
      <x:c r="R105" t="n">
        <x:f>'밸런스 조정'!$C$90*IF(M105="Boss",5,IF(M105="Elite",2,1))</x:f>
        <x:v>450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2473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450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2311</x:v>
      </x:c>
      <x:c r="P107" t="n">
        <x:f>'밸런스 조정'!$C$75</x:f>
        <x:v>0.075</x:v>
      </x:c>
      <x:c r="Q107" t="n">
        <x:f>'밸런스 조정'!$C$64</x:f>
        <x:v>0</x:v>
      </x:c>
      <x:c r="R107" t="n">
        <x:f>'밸런스 조정'!$C$90*IF(M107="Boss",5,IF(M107="Elite",2,1))</x:f>
        <x:v>450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2658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450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2485</x:v>
      </x:c>
      <x:c r="P109" t="n">
        <x:f>'밸런스 조정'!$C$75</x:f>
        <x:v>0.075</x:v>
      </x:c>
      <x:c r="Q109" t="n">
        <x:f>'밸런스 조정'!$C$64</x:f>
        <x:v>0</x:v>
      </x:c>
      <x:c r="R109" t="n">
        <x:f>'밸런스 조정'!$C$90*IF(M109="Boss",5,IF(M109="Elite",2,1))</x:f>
        <x:v>450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2858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450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4006</x:v>
      </x:c>
      <x:c r="P111" t="n">
        <x:f>'밸런스 조정'!$C$75</x:f>
        <x:v>0.075</x:v>
      </x:c>
      <x:c r="Q111" t="n">
        <x:f>'밸런스 조정'!$C$64</x:f>
        <x:v>0</x:v>
      </x:c>
      <x:c r="R111" t="n">
        <x:f>'밸런스 조정'!$C$90*IF(M111="Boss",5,IF(M111="Elite",2,1))</x:f>
        <x:v>900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4607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900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2871</x:v>
      </x:c>
      <x:c r="P113" t="n">
        <x:f>'밸런스 조정'!$C$75</x:f>
        <x:v>0.075</x:v>
      </x:c>
      <x:c r="Q113" t="n">
        <x:f>'밸런스 조정'!$C$64</x:f>
        <x:v>0</x:v>
      </x:c>
      <x:c r="R113" t="n">
        <x:f>'밸런스 조정'!$C$90*IF(M113="Boss",5,IF(M113="Elite",2,1))</x:f>
        <x:v>450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3302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450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3087</x:v>
      </x:c>
      <x:c r="P115" t="n">
        <x:f>'밸런스 조정'!$C$75</x:f>
        <x:v>0.075</x:v>
      </x:c>
      <x:c r="Q115" t="n">
        <x:f>'밸런스 조정'!$C$64</x:f>
        <x:v>0</x:v>
      </x:c>
      <x:c r="R115" t="n">
        <x:f>'밸런스 조정'!$C$90*IF(M115="Boss",5,IF(M115="Elite",2,1))</x:f>
        <x:v>450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3550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450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3318</x:v>
      </x:c>
      <x:c r="P117" t="n">
        <x:f>'밸런스 조정'!$C$75</x:f>
        <x:v>0.075</x:v>
      </x:c>
      <x:c r="Q117" t="n">
        <x:f>'밸런스 조정'!$C$64</x:f>
        <x:v>0</x:v>
      </x:c>
      <x:c r="R117" t="n">
        <x:f>'밸런스 조정'!$C$90*IF(M117="Boss",5,IF(M117="Elite",2,1))</x:f>
        <x:v>450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3816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450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3567</x:v>
      </x:c>
      <x:c r="P119" t="n">
        <x:f>'밸런스 조정'!$C$75</x:f>
        <x:v>0.075</x:v>
      </x:c>
      <x:c r="Q119" t="n">
        <x:f>'밸런스 조정'!$C$64</x:f>
        <x:v>0</x:v>
      </x:c>
      <x:c r="R119" t="n">
        <x:f>'밸런스 조정'!$C$90*IF(M119="Boss",5,IF(M119="Elite",2,1))</x:f>
        <x:v>450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4102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450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5752</x:v>
      </x:c>
      <x:c r="P121" t="n">
        <x:f>'밸런스 조정'!$C$75</x:f>
        <x:v>0.075</x:v>
      </x:c>
      <x:c r="Q121" t="n">
        <x:f>'밸런스 조정'!$C$64</x:f>
        <x:v>0</x:v>
      </x:c>
      <x:c r="R121" t="n">
        <x:f>'밸런스 조정'!$C$90*IF(M121="Boss",5,IF(M121="Elite",2,1))</x:f>
        <x:v>900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6615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900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4122</x:v>
      </x:c>
      <x:c r="P123" t="n">
        <x:f>'밸런스 조정'!$C$75</x:f>
        <x:v>0.075</x:v>
      </x:c>
      <x:c r="Q123" t="n">
        <x:f>'밸런스 조정'!$C$64</x:f>
        <x:v>0</x:v>
      </x:c>
      <x:c r="R123" t="n">
        <x:f>'밸런스 조정'!$C$90*IF(M123="Boss",5,IF(M123="Elite",2,1))</x:f>
        <x:v>450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4740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450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4431</x:v>
      </x:c>
      <x:c r="P125" t="n">
        <x:f>'밸런스 조정'!$C$75</x:f>
        <x:v>0.075</x:v>
      </x:c>
      <x:c r="Q125" t="n">
        <x:f>'밸런스 조정'!$C$64</x:f>
        <x:v>0</x:v>
      </x:c>
      <x:c r="R125" t="n">
        <x:f>'밸런스 조정'!$C$90*IF(M125="Boss",5,IF(M125="Elite",2,1))</x:f>
        <x:v>450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5096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450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4764</x:v>
      </x:c>
      <x:c r="P127" t="n">
        <x:f>'밸런스 조정'!$C$75</x:f>
        <x:v>0.075</x:v>
      </x:c>
      <x:c r="Q127" t="n">
        <x:f>'밸런스 조정'!$C$64</x:f>
        <x:v>0</x:v>
      </x:c>
      <x:c r="R127" t="n">
        <x:f>'밸런스 조정'!$C$90*IF(M127="Boss",5,IF(M127="Elite",2,1))</x:f>
        <x:v>450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5479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450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5121</x:v>
      </x:c>
      <x:c r="P129" t="n">
        <x:f>'밸런스 조정'!$C$75</x:f>
        <x:v>0.075</x:v>
      </x:c>
      <x:c r="Q129" t="n">
        <x:f>'밸런스 조정'!$C$64</x:f>
        <x:v>0</x:v>
      </x:c>
      <x:c r="R129" t="n">
        <x:f>'밸런스 조정'!$C$90*IF(M129="Boss",5,IF(M129="Elite",2,1))</x:f>
        <x:v>450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5889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450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8257</x:v>
      </x:c>
      <x:c r="P131" t="n">
        <x:f>'밸런스 조정'!$C$75</x:f>
        <x:v>0.075</x:v>
      </x:c>
      <x:c r="Q131" t="n">
        <x:f>'밸런스 조정'!$C$64</x:f>
        <x:v>0</x:v>
      </x:c>
      <x:c r="R131" t="n">
        <x:f>'밸런스 조정'!$C$90*IF(M131="Boss",5,IF(M131="Elite",2,1))</x:f>
        <x:v>900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9496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900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5918</x:v>
      </x:c>
      <x:c r="P133" t="n">
        <x:f>'밸런스 조정'!$C$75</x:f>
        <x:v>0.075</x:v>
      </x:c>
      <x:c r="Q133" t="n">
        <x:f>'밸런스 조정'!$C$64</x:f>
        <x:v>0</x:v>
      </x:c>
      <x:c r="R133" t="n">
        <x:f>'밸런스 조정'!$C$90*IF(M133="Boss",5,IF(M133="Elite",2,1))</x:f>
        <x:v>450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6806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450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6362</x:v>
      </x:c>
      <x:c r="P135" t="n">
        <x:f>'밸런스 조정'!$C$75</x:f>
        <x:v>0.075</x:v>
      </x:c>
      <x:c r="Q135" t="n">
        <x:f>'밸런스 조정'!$C$64</x:f>
        <x:v>0</x:v>
      </x:c>
      <x:c r="R135" t="n">
        <x:f>'밸런스 조정'!$C$90*IF(M135="Boss",5,IF(M135="Elite",2,1))</x:f>
        <x:v>450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7316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450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6839</x:v>
      </x:c>
      <x:c r="P137" t="n">
        <x:f>'밸런스 조정'!$C$75</x:f>
        <x:v>0.075</x:v>
      </x:c>
      <x:c r="Q137" t="n">
        <x:f>'밸런스 조정'!$C$64</x:f>
        <x:v>0</x:v>
      </x:c>
      <x:c r="R137" t="n">
        <x:f>'밸런스 조정'!$C$90*IF(M137="Boss",5,IF(M137="Elite",2,1))</x:f>
        <x:v>450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7865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450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7352</x:v>
      </x:c>
      <x:c r="P139" t="n">
        <x:f>'밸런스 조정'!$C$75</x:f>
        <x:v>0.075</x:v>
      </x:c>
      <x:c r="Q139" t="n">
        <x:f>'밸런스 조정'!$C$64</x:f>
        <x:v>0</x:v>
      </x:c>
      <x:c r="R139" t="n">
        <x:f>'밸런스 조정'!$C$90*IF(M139="Boss",5,IF(M139="Elite",2,1))</x:f>
        <x:v>450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8455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450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11854</x:v>
      </x:c>
      <x:c r="P141" t="n">
        <x:f>'밸런스 조정'!$C$75</x:f>
        <x:v>0.075</x:v>
      </x:c>
      <x:c r="Q141" t="n">
        <x:f>'밸런스 조정'!$C$64</x:f>
        <x:v>0</x:v>
      </x:c>
      <x:c r="R141" t="n">
        <x:f>'밸런스 조정'!$C$90*IF(M141="Boss",5,IF(M141="Elite",2,1))</x:f>
        <x:v>900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13632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900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8496</x:v>
      </x:c>
      <x:c r="P143" t="n">
        <x:f>'밸런스 조정'!$C$75</x:f>
        <x:v>0.075</x:v>
      </x:c>
      <x:c r="Q143" t="n">
        <x:f>'밸런스 조정'!$C$64</x:f>
        <x:v>0</x:v>
      </x:c>
      <x:c r="R143" t="n">
        <x:f>'밸런스 조정'!$C$90*IF(M143="Boss",5,IF(M143="Elite",2,1))</x:f>
        <x:v>450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9770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450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9133</x:v>
      </x:c>
      <x:c r="P145" t="n">
        <x:f>'밸런스 조정'!$C$75</x:f>
        <x:v>0.075</x:v>
      </x:c>
      <x:c r="Q145" t="n">
        <x:f>'밸런스 조정'!$C$64</x:f>
        <x:v>0</x:v>
      </x:c>
      <x:c r="R145" t="n">
        <x:f>'밸런스 조정'!$C$90*IF(M145="Boss",5,IF(M145="Elite",2,1))</x:f>
        <x:v>450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10503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450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9818</x:v>
      </x:c>
      <x:c r="P147" t="n">
        <x:f>'밸런스 조정'!$C$75</x:f>
        <x:v>0.075</x:v>
      </x:c>
      <x:c r="Q147" t="n">
        <x:f>'밸런스 조정'!$C$64</x:f>
        <x:v>0</x:v>
      </x:c>
      <x:c r="R147" t="n">
        <x:f>'밸런스 조정'!$C$90*IF(M147="Boss",5,IF(M147="Elite",2,1))</x:f>
        <x:v>450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11291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450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10554</x:v>
      </x:c>
      <x:c r="P149" t="n">
        <x:f>'밸런스 조정'!$C$75</x:f>
        <x:v>0.075</x:v>
      </x:c>
      <x:c r="Q149" t="n">
        <x:f>'밸런스 조정'!$C$64</x:f>
        <x:v>0</x:v>
      </x:c>
      <x:c r="R149" t="n">
        <x:f>'밸런스 조정'!$C$90*IF(M149="Boss",5,IF(M149="Elite",2,1))</x:f>
        <x:v>450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12137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450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29499</x:v>
      </x:c>
      <x:c r="P151" t="n">
        <x:f>'밸런스 조정'!$C$75</x:f>
        <x:v>0.075</x:v>
      </x:c>
      <x:c r="Q151" t="n">
        <x:f>'밸런스 조정'!$C$64</x:f>
        <x:v>0</x:v>
      </x:c>
      <x:c r="R151" t="n">
        <x:f>'밸런스 조정'!$C$90*IF(M151="Boss",5,IF(M151="Elite",2,1))</x:f>
        <x:v>2250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33924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2250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>
        <x:v>540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>
        <x:v>2.6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 t="n">
        <x:v>2000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100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 t="n">
        <x:v>0.075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450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 t="n">
        <x:v>450</x:v>
      </x:c>
      <x:c r="D90" s="36" t="s">
        <x:v>648</x:v>
      </x:c>
    </x:row>
    <x:row r="91" ht="32.099998474121094" customHeight="1">
      <x:c r="B91" s="31" t="s">
        <x:v>649</x:v>
      </x:c>
      <x:c r="C91" s="34" t="n">
        <x:v>100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 t="n">
        <x:v>100</x:v>
      </x:c>
      <x:c r="D96" s="36" t="s">
        <x:v>659</x:v>
      </x:c>
    </x:row>
    <x:row r="97" ht="32.099998474121094" customHeight="1">
      <x:c r="B97" s="31" t="s">
        <x:v>660</x:v>
      </x:c>
      <x:c r="C97" s="34" t="n">
        <x:v>450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