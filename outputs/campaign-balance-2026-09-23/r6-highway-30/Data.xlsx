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0E8B25E0-5287-403F-A369-C851E8EEF520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8"/>
    <sheet name="적 배치" sheetId="9" r:id="rId9"/>
    <sheet name="보너스 배치" sheetId="10" r:id="rId10"/>
    <sheet name="기믹 배치" sheetId="11" r:id="rId11"/>
    <sheet name="밸런스 조정" sheetId="12" r:id="rId12"/>
    <sheet name="커스터마이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2" l="1"/>
  <c r="C92" i="12"/>
  <c r="R75" i="12"/>
  <c r="P75" i="12"/>
  <c r="R74" i="12"/>
  <c r="P74" i="12"/>
  <c r="R73" i="12"/>
  <c r="M73" i="12"/>
  <c r="M74" i="12" s="1"/>
  <c r="M75" i="12" s="1"/>
  <c r="M76" i="12" s="1"/>
  <c r="M77" i="12" s="1"/>
  <c r="L77" i="11"/>
  <c r="K77" i="11"/>
  <c r="J77" i="11"/>
  <c r="G77" i="11"/>
  <c r="K76" i="11"/>
  <c r="G76" i="11"/>
  <c r="I75" i="11"/>
  <c r="G75" i="11"/>
  <c r="L74" i="11"/>
  <c r="K74" i="11"/>
  <c r="J74" i="11"/>
  <c r="G74" i="11"/>
  <c r="I73" i="11"/>
  <c r="G73" i="11"/>
  <c r="L72" i="11"/>
  <c r="K72" i="11"/>
  <c r="J72" i="11"/>
  <c r="G72" i="11"/>
  <c r="K71" i="11"/>
  <c r="G71" i="11"/>
  <c r="I70" i="11"/>
  <c r="G70" i="11"/>
  <c r="L69" i="11"/>
  <c r="K69" i="11"/>
  <c r="J69" i="11"/>
  <c r="G69" i="11"/>
  <c r="I68" i="11"/>
  <c r="G68" i="11"/>
  <c r="L67" i="11"/>
  <c r="K67" i="11"/>
  <c r="J67" i="11"/>
  <c r="G67" i="11"/>
  <c r="K66" i="11"/>
  <c r="G66" i="11"/>
  <c r="I65" i="11"/>
  <c r="G65" i="11"/>
  <c r="L64" i="11"/>
  <c r="K64" i="11"/>
  <c r="J64" i="11"/>
  <c r="G64" i="11"/>
  <c r="I63" i="11"/>
  <c r="G63" i="11"/>
  <c r="L62" i="11"/>
  <c r="K62" i="11"/>
  <c r="J62" i="11"/>
  <c r="G62" i="11"/>
  <c r="K61" i="11"/>
  <c r="G61" i="11"/>
  <c r="I60" i="11"/>
  <c r="G60" i="11"/>
  <c r="L59" i="11"/>
  <c r="K59" i="11"/>
  <c r="J59" i="11"/>
  <c r="G59" i="11"/>
  <c r="I58" i="11"/>
  <c r="G58" i="11"/>
  <c r="L57" i="11"/>
  <c r="K57" i="11"/>
  <c r="J57" i="11"/>
  <c r="G57" i="11"/>
  <c r="K56" i="11"/>
  <c r="G56" i="11"/>
  <c r="I55" i="11"/>
  <c r="G55" i="11"/>
  <c r="L54" i="11"/>
  <c r="K54" i="11"/>
  <c r="J54" i="11"/>
  <c r="G54" i="11"/>
  <c r="I53" i="11"/>
  <c r="G53" i="11"/>
  <c r="L52" i="11"/>
  <c r="K52" i="11"/>
  <c r="J52" i="11"/>
  <c r="I52" i="11"/>
  <c r="G52" i="11"/>
  <c r="L51" i="11"/>
  <c r="K51" i="11"/>
  <c r="J51" i="11"/>
  <c r="I51" i="11"/>
  <c r="G51" i="11"/>
  <c r="L50" i="11"/>
  <c r="K50" i="11"/>
  <c r="J50" i="11"/>
  <c r="I50" i="11"/>
  <c r="G50" i="11"/>
  <c r="L49" i="11"/>
  <c r="K49" i="11"/>
  <c r="J49" i="11"/>
  <c r="I49" i="11"/>
  <c r="G49" i="11"/>
  <c r="L48" i="11"/>
  <c r="K48" i="11"/>
  <c r="J48" i="11"/>
  <c r="I48" i="11"/>
  <c r="G48" i="11"/>
  <c r="L47" i="11"/>
  <c r="K47" i="11"/>
  <c r="J47" i="11"/>
  <c r="I47" i="11"/>
  <c r="G47" i="11"/>
  <c r="L46" i="11"/>
  <c r="K46" i="11"/>
  <c r="J46" i="11"/>
  <c r="I46" i="11"/>
  <c r="G46" i="11"/>
  <c r="L45" i="11"/>
  <c r="K45" i="11"/>
  <c r="J45" i="11"/>
  <c r="I45" i="11"/>
  <c r="G45" i="11"/>
  <c r="L44" i="11"/>
  <c r="K44" i="11"/>
  <c r="J44" i="11"/>
  <c r="I44" i="11"/>
  <c r="G44" i="11"/>
  <c r="L43" i="11"/>
  <c r="K43" i="11"/>
  <c r="J43" i="11"/>
  <c r="I43" i="11"/>
  <c r="G43" i="11"/>
  <c r="L42" i="11"/>
  <c r="K42" i="11"/>
  <c r="J42" i="11"/>
  <c r="I42" i="11"/>
  <c r="G42" i="11"/>
  <c r="L41" i="11"/>
  <c r="K41" i="11"/>
  <c r="J41" i="11"/>
  <c r="I41" i="11"/>
  <c r="G41" i="11"/>
  <c r="L40" i="11"/>
  <c r="K40" i="11"/>
  <c r="J40" i="11"/>
  <c r="I40" i="11"/>
  <c r="G40" i="11"/>
  <c r="L39" i="11"/>
  <c r="K39" i="11"/>
  <c r="J39" i="11"/>
  <c r="I39" i="11"/>
  <c r="G39" i="11"/>
  <c r="L38" i="11"/>
  <c r="K38" i="11"/>
  <c r="J38" i="11"/>
  <c r="I38" i="11"/>
  <c r="G38" i="11"/>
  <c r="L37" i="11"/>
  <c r="K37" i="11"/>
  <c r="J37" i="11"/>
  <c r="I37" i="11"/>
  <c r="G37" i="11"/>
  <c r="L36" i="11"/>
  <c r="K36" i="11"/>
  <c r="J36" i="11"/>
  <c r="I36" i="11"/>
  <c r="G36" i="11"/>
  <c r="L35" i="11"/>
  <c r="K35" i="11"/>
  <c r="J35" i="11"/>
  <c r="I35" i="11"/>
  <c r="G35" i="11"/>
  <c r="L34" i="11"/>
  <c r="K34" i="11"/>
  <c r="J34" i="11"/>
  <c r="I34" i="11"/>
  <c r="G34" i="11"/>
  <c r="L33" i="11"/>
  <c r="K33" i="11"/>
  <c r="J33" i="11"/>
  <c r="I33" i="11"/>
  <c r="G33" i="11"/>
  <c r="L32" i="11"/>
  <c r="K32" i="11"/>
  <c r="J32" i="11"/>
  <c r="I32" i="11"/>
  <c r="G32" i="11"/>
  <c r="L31" i="11"/>
  <c r="K31" i="11"/>
  <c r="J31" i="11"/>
  <c r="I31" i="11"/>
  <c r="G31" i="11"/>
  <c r="L30" i="11"/>
  <c r="K30" i="11"/>
  <c r="J30" i="11"/>
  <c r="I30" i="11"/>
  <c r="G30" i="11"/>
  <c r="L29" i="11"/>
  <c r="K29" i="11"/>
  <c r="J29" i="11"/>
  <c r="I29" i="11"/>
  <c r="G29" i="11"/>
  <c r="L28" i="11"/>
  <c r="K28" i="11"/>
  <c r="J28" i="11"/>
  <c r="I28" i="11"/>
  <c r="G28" i="11"/>
  <c r="G27" i="11"/>
  <c r="G21" i="11"/>
  <c r="G19" i="11"/>
  <c r="G18" i="11"/>
  <c r="G12" i="11"/>
  <c r="G10" i="11"/>
  <c r="R152" i="9"/>
  <c r="Q152" i="9"/>
  <c r="N152" i="9"/>
  <c r="R151" i="9"/>
  <c r="Q151" i="9"/>
  <c r="P151" i="9"/>
  <c r="O151" i="9"/>
  <c r="O152" i="9" s="1"/>
  <c r="N151" i="9"/>
  <c r="R150" i="9"/>
  <c r="Q150" i="9"/>
  <c r="N150" i="9"/>
  <c r="R149" i="9"/>
  <c r="Q149" i="9"/>
  <c r="P149" i="9"/>
  <c r="O149" i="9"/>
  <c r="O150" i="9" s="1"/>
  <c r="N149" i="9"/>
  <c r="R148" i="9"/>
  <c r="Q148" i="9"/>
  <c r="N148" i="9"/>
  <c r="R147" i="9"/>
  <c r="Q147" i="9"/>
  <c r="P147" i="9"/>
  <c r="O147" i="9"/>
  <c r="O148" i="9" s="1"/>
  <c r="N147" i="9"/>
  <c r="R146" i="9"/>
  <c r="Q146" i="9"/>
  <c r="N146" i="9"/>
  <c r="R145" i="9"/>
  <c r="Q145" i="9"/>
  <c r="P145" i="9"/>
  <c r="O145" i="9"/>
  <c r="O146" i="9" s="1"/>
  <c r="N145" i="9"/>
  <c r="R144" i="9"/>
  <c r="Q144" i="9"/>
  <c r="N144" i="9"/>
  <c r="R143" i="9"/>
  <c r="Q143" i="9"/>
  <c r="P143" i="9"/>
  <c r="O143" i="9"/>
  <c r="O144" i="9" s="1"/>
  <c r="N143" i="9"/>
  <c r="R142" i="9"/>
  <c r="Q142" i="9"/>
  <c r="N142" i="9"/>
  <c r="R141" i="9"/>
  <c r="Q141" i="9"/>
  <c r="P141" i="9"/>
  <c r="O141" i="9"/>
  <c r="O142" i="9" s="1"/>
  <c r="N141" i="9"/>
  <c r="R140" i="9"/>
  <c r="Q140" i="9"/>
  <c r="O140" i="9"/>
  <c r="N140" i="9"/>
  <c r="R139" i="9"/>
  <c r="Q139" i="9"/>
  <c r="P139" i="9"/>
  <c r="O139" i="9"/>
  <c r="N139" i="9"/>
  <c r="R138" i="9"/>
  <c r="Q138" i="9"/>
  <c r="O138" i="9"/>
  <c r="N138" i="9"/>
  <c r="R137" i="9"/>
  <c r="Q137" i="9"/>
  <c r="P137" i="9"/>
  <c r="O137" i="9"/>
  <c r="N137" i="9"/>
  <c r="R136" i="9"/>
  <c r="Q136" i="9"/>
  <c r="O136" i="9"/>
  <c r="N136" i="9"/>
  <c r="R135" i="9"/>
  <c r="Q135" i="9"/>
  <c r="P135" i="9"/>
  <c r="O135" i="9"/>
  <c r="N135" i="9"/>
  <c r="R134" i="9"/>
  <c r="Q134" i="9"/>
  <c r="O134" i="9"/>
  <c r="N134" i="9"/>
  <c r="R133" i="9"/>
  <c r="Q133" i="9"/>
  <c r="P133" i="9"/>
  <c r="O133" i="9"/>
  <c r="N133" i="9"/>
  <c r="R132" i="9"/>
  <c r="Q132" i="9"/>
  <c r="O132" i="9"/>
  <c r="N132" i="9"/>
  <c r="R131" i="9"/>
  <c r="Q131" i="9"/>
  <c r="P131" i="9"/>
  <c r="O131" i="9"/>
  <c r="N131" i="9"/>
  <c r="R130" i="9"/>
  <c r="Q130" i="9"/>
  <c r="N130" i="9"/>
  <c r="R129" i="9"/>
  <c r="Q129" i="9"/>
  <c r="P129" i="9"/>
  <c r="O129" i="9"/>
  <c r="O130" i="9" s="1"/>
  <c r="N129" i="9"/>
  <c r="R128" i="9"/>
  <c r="Q128" i="9"/>
  <c r="N128" i="9"/>
  <c r="R127" i="9"/>
  <c r="Q127" i="9"/>
  <c r="P127" i="9"/>
  <c r="O127" i="9"/>
  <c r="O128" i="9" s="1"/>
  <c r="N127" i="9"/>
  <c r="R126" i="9"/>
  <c r="Q126" i="9"/>
  <c r="N126" i="9"/>
  <c r="R125" i="9"/>
  <c r="Q125" i="9"/>
  <c r="P125" i="9"/>
  <c r="O125" i="9"/>
  <c r="O126" i="9" s="1"/>
  <c r="N125" i="9"/>
  <c r="R124" i="9"/>
  <c r="Q124" i="9"/>
  <c r="N124" i="9"/>
  <c r="R123" i="9"/>
  <c r="Q123" i="9"/>
  <c r="P123" i="9"/>
  <c r="O123" i="9"/>
  <c r="O124" i="9" s="1"/>
  <c r="N123" i="9"/>
  <c r="R122" i="9"/>
  <c r="Q122" i="9"/>
  <c r="O122" i="9"/>
  <c r="N122" i="9"/>
  <c r="R121" i="9"/>
  <c r="Q121" i="9"/>
  <c r="P121" i="9"/>
  <c r="O121" i="9"/>
  <c r="N121" i="9"/>
  <c r="R120" i="9"/>
  <c r="Q120" i="9"/>
  <c r="N120" i="9"/>
  <c r="R119" i="9"/>
  <c r="Q119" i="9"/>
  <c r="P119" i="9"/>
  <c r="O119" i="9"/>
  <c r="O120" i="9" s="1"/>
  <c r="N119" i="9"/>
  <c r="R118" i="9"/>
  <c r="Q118" i="9"/>
  <c r="O118" i="9"/>
  <c r="N118" i="9"/>
  <c r="R117" i="9"/>
  <c r="Q117" i="9"/>
  <c r="P117" i="9"/>
  <c r="O117" i="9"/>
  <c r="N117" i="9"/>
  <c r="R116" i="9"/>
  <c r="Q116" i="9"/>
  <c r="O116" i="9"/>
  <c r="N116" i="9"/>
  <c r="R115" i="9"/>
  <c r="Q115" i="9"/>
  <c r="P115" i="9"/>
  <c r="O115" i="9"/>
  <c r="N115" i="9"/>
  <c r="R114" i="9"/>
  <c r="Q114" i="9"/>
  <c r="O114" i="9"/>
  <c r="N114" i="9"/>
  <c r="R113" i="9"/>
  <c r="Q113" i="9"/>
  <c r="P113" i="9"/>
  <c r="O113" i="9"/>
  <c r="N113" i="9"/>
  <c r="R112" i="9"/>
  <c r="Q112" i="9"/>
  <c r="N112" i="9"/>
  <c r="R111" i="9"/>
  <c r="Q111" i="9"/>
  <c r="P111" i="9"/>
  <c r="O111" i="9"/>
  <c r="O112" i="9" s="1"/>
  <c r="N111" i="9"/>
  <c r="R110" i="9"/>
  <c r="Q110" i="9"/>
  <c r="O110" i="9"/>
  <c r="N110" i="9"/>
  <c r="R109" i="9"/>
  <c r="Q109" i="9"/>
  <c r="P109" i="9"/>
  <c r="O109" i="9"/>
  <c r="N109" i="9"/>
  <c r="R108" i="9"/>
  <c r="Q108" i="9"/>
  <c r="N108" i="9"/>
  <c r="R107" i="9"/>
  <c r="Q107" i="9"/>
  <c r="P107" i="9"/>
  <c r="O107" i="9"/>
  <c r="O108" i="9" s="1"/>
  <c r="N107" i="9"/>
  <c r="R106" i="9"/>
  <c r="Q106" i="9"/>
  <c r="N106" i="9"/>
  <c r="R105" i="9"/>
  <c r="Q105" i="9"/>
  <c r="P105" i="9"/>
  <c r="O105" i="9"/>
  <c r="O106" i="9" s="1"/>
  <c r="N105" i="9"/>
  <c r="R104" i="9"/>
  <c r="Q104" i="9"/>
  <c r="N104" i="9"/>
  <c r="R103" i="9"/>
  <c r="Q103" i="9"/>
  <c r="P103" i="9"/>
  <c r="O103" i="9"/>
  <c r="O104" i="9" s="1"/>
  <c r="N103" i="9"/>
  <c r="R102" i="9"/>
  <c r="Q102" i="9"/>
  <c r="R101" i="9"/>
  <c r="Q101" i="9"/>
  <c r="O101" i="9"/>
  <c r="O102" i="9" s="1"/>
  <c r="N101" i="9"/>
  <c r="N102" i="9" s="1"/>
  <c r="R100" i="9"/>
  <c r="Q100" i="9"/>
  <c r="N100" i="9"/>
  <c r="R99" i="9"/>
  <c r="Q99" i="9"/>
  <c r="O99" i="9"/>
  <c r="O100" i="9" s="1"/>
  <c r="N99" i="9"/>
  <c r="R98" i="9"/>
  <c r="Q98" i="9"/>
  <c r="O98" i="9"/>
  <c r="N98" i="9"/>
  <c r="R97" i="9"/>
  <c r="Q97" i="9"/>
  <c r="O97" i="9"/>
  <c r="N97" i="9"/>
  <c r="R96" i="9"/>
  <c r="Q96" i="9"/>
  <c r="O96" i="9"/>
  <c r="R95" i="9"/>
  <c r="Q95" i="9"/>
  <c r="O95" i="9"/>
  <c r="N95" i="9"/>
  <c r="N96" i="9" s="1"/>
  <c r="R94" i="9"/>
  <c r="Q94" i="9"/>
  <c r="R93" i="9"/>
  <c r="Q93" i="9"/>
  <c r="O93" i="9"/>
  <c r="O94" i="9" s="1"/>
  <c r="N93" i="9"/>
  <c r="N94" i="9" s="1"/>
  <c r="R92" i="9"/>
  <c r="Q92" i="9"/>
  <c r="R91" i="9"/>
  <c r="Q91" i="9"/>
  <c r="O91" i="9"/>
  <c r="O92" i="9" s="1"/>
  <c r="N91" i="9"/>
  <c r="N92" i="9" s="1"/>
  <c r="R90" i="9"/>
  <c r="Q90" i="9"/>
  <c r="N90" i="9"/>
  <c r="R89" i="9"/>
  <c r="Q89" i="9"/>
  <c r="O89" i="9"/>
  <c r="O90" i="9" s="1"/>
  <c r="N89" i="9"/>
  <c r="R88" i="9"/>
  <c r="Q88" i="9"/>
  <c r="O88" i="9"/>
  <c r="N88" i="9"/>
  <c r="R87" i="9"/>
  <c r="Q87" i="9"/>
  <c r="O87" i="9"/>
  <c r="N87" i="9"/>
  <c r="R86" i="9"/>
  <c r="Q86" i="9"/>
  <c r="O86" i="9"/>
  <c r="R85" i="9"/>
  <c r="Q85" i="9"/>
  <c r="O85" i="9"/>
  <c r="N85" i="9"/>
  <c r="N86" i="9" s="1"/>
  <c r="R84" i="9"/>
  <c r="Q84" i="9"/>
  <c r="R83" i="9"/>
  <c r="Q83" i="9"/>
  <c r="O83" i="9"/>
  <c r="O84" i="9" s="1"/>
  <c r="N83" i="9"/>
  <c r="N84" i="9" s="1"/>
  <c r="R82" i="9"/>
  <c r="Q82" i="9"/>
  <c r="R81" i="9"/>
  <c r="Q81" i="9"/>
  <c r="O81" i="9"/>
  <c r="O82" i="9" s="1"/>
  <c r="N81" i="9"/>
  <c r="N82" i="9" s="1"/>
  <c r="R80" i="9"/>
  <c r="Q80" i="9"/>
  <c r="O80" i="9"/>
  <c r="N80" i="9"/>
  <c r="R79" i="9"/>
  <c r="Q79" i="9"/>
  <c r="O79" i="9"/>
  <c r="N79" i="9"/>
  <c r="R78" i="9"/>
  <c r="Q78" i="9"/>
  <c r="O78" i="9"/>
  <c r="N78" i="9"/>
  <c r="R77" i="9"/>
  <c r="Q77" i="9"/>
  <c r="O77" i="9"/>
  <c r="N77" i="9"/>
  <c r="R76" i="9"/>
  <c r="Q76" i="9"/>
  <c r="O76" i="9"/>
  <c r="R75" i="9"/>
  <c r="Q75" i="9"/>
  <c r="O75" i="9"/>
  <c r="N75" i="9"/>
  <c r="N76" i="9" s="1"/>
  <c r="R74" i="9"/>
  <c r="Q74" i="9"/>
  <c r="R73" i="9"/>
  <c r="Q73" i="9"/>
  <c r="O73" i="9"/>
  <c r="O74" i="9" s="1"/>
  <c r="N73" i="9"/>
  <c r="N74" i="9" s="1"/>
  <c r="R72" i="9"/>
  <c r="Q72" i="9"/>
  <c r="R71" i="9"/>
  <c r="Q71" i="9"/>
  <c r="O71" i="9"/>
  <c r="O72" i="9" s="1"/>
  <c r="N71" i="9"/>
  <c r="N72" i="9" s="1"/>
  <c r="R70" i="9"/>
  <c r="Q70" i="9"/>
  <c r="O70" i="9"/>
  <c r="N70" i="9"/>
  <c r="R69" i="9"/>
  <c r="Q69" i="9"/>
  <c r="O69" i="9"/>
  <c r="N69" i="9"/>
  <c r="R68" i="9"/>
  <c r="Q68" i="9"/>
  <c r="O68" i="9"/>
  <c r="N68" i="9"/>
  <c r="R67" i="9"/>
  <c r="Q67" i="9"/>
  <c r="O67" i="9"/>
  <c r="N67" i="9"/>
  <c r="R66" i="9"/>
  <c r="Q66" i="9"/>
  <c r="O66" i="9"/>
  <c r="R65" i="9"/>
  <c r="Q65" i="9"/>
  <c r="O65" i="9"/>
  <c r="N65" i="9"/>
  <c r="N66" i="9" s="1"/>
  <c r="R64" i="9"/>
  <c r="Q64" i="9"/>
  <c r="R63" i="9"/>
  <c r="Q63" i="9"/>
  <c r="O63" i="9"/>
  <c r="O64" i="9" s="1"/>
  <c r="N63" i="9"/>
  <c r="N64" i="9" s="1"/>
  <c r="R62" i="9"/>
  <c r="Q62" i="9"/>
  <c r="R61" i="9"/>
  <c r="Q61" i="9"/>
  <c r="O61" i="9"/>
  <c r="O62" i="9" s="1"/>
  <c r="N61" i="9"/>
  <c r="N62" i="9" s="1"/>
  <c r="R60" i="9"/>
  <c r="Q60" i="9"/>
  <c r="O60" i="9"/>
  <c r="N60" i="9"/>
  <c r="R59" i="9"/>
  <c r="Q59" i="9"/>
  <c r="O59" i="9"/>
  <c r="N59" i="9"/>
  <c r="R58" i="9"/>
  <c r="Q58" i="9"/>
  <c r="O58" i="9"/>
  <c r="N58" i="9"/>
  <c r="R57" i="9"/>
  <c r="Q57" i="9"/>
  <c r="O57" i="9"/>
  <c r="N57" i="9"/>
  <c r="R56" i="9"/>
  <c r="Q56" i="9"/>
  <c r="O56" i="9"/>
  <c r="R55" i="9"/>
  <c r="Q55" i="9"/>
  <c r="O55" i="9"/>
  <c r="N55" i="9"/>
  <c r="N56" i="9" s="1"/>
  <c r="R54" i="9"/>
  <c r="Q54" i="9"/>
  <c r="R53" i="9"/>
  <c r="Q53" i="9"/>
  <c r="O53" i="9"/>
  <c r="O54" i="9" s="1"/>
  <c r="N53" i="9"/>
  <c r="N54" i="9" s="1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O7" i="9"/>
  <c r="O9" i="9" s="1"/>
  <c r="R6" i="9"/>
  <c r="Q6" i="9"/>
  <c r="O6" i="9"/>
  <c r="R5" i="9"/>
  <c r="Q5" i="9"/>
  <c r="O5" i="9"/>
  <c r="N5" i="9"/>
  <c r="N7" i="9" s="1"/>
  <c r="R4" i="9"/>
  <c r="Q4" i="9"/>
  <c r="O4" i="9"/>
  <c r="N4" i="9"/>
  <c r="R3" i="9"/>
  <c r="Q3" i="9"/>
  <c r="O3" i="9"/>
  <c r="N3" i="9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3" i="8"/>
  <c r="F3" i="8"/>
  <c r="E3" i="8"/>
  <c r="D3" i="8"/>
  <c r="D34" i="7"/>
  <c r="D33" i="7"/>
  <c r="D32" i="7"/>
  <c r="D31" i="7"/>
  <c r="D30" i="7"/>
  <c r="D29" i="7"/>
  <c r="D28" i="7"/>
  <c r="D27" i="7"/>
  <c r="D26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G7" i="7"/>
  <c r="G15" i="4"/>
  <c r="G18" i="4" s="1"/>
  <c r="G13" i="4"/>
  <c r="G14" i="4" s="1"/>
  <c r="G12" i="4"/>
  <c r="G9" i="4"/>
  <c r="G10" i="4" s="1"/>
  <c r="G11" i="4" s="1"/>
  <c r="G8" i="4"/>
  <c r="G7" i="4"/>
  <c r="G6" i="4"/>
  <c r="G4" i="4"/>
  <c r="G5" i="4" s="1"/>
  <c r="N17" i="3"/>
  <c r="M17" i="3"/>
  <c r="M16" i="3"/>
  <c r="N16" i="3" s="1"/>
  <c r="M15" i="3"/>
  <c r="N15" i="3" s="1"/>
  <c r="N14" i="3"/>
  <c r="M14" i="3"/>
  <c r="N13" i="3"/>
  <c r="M13" i="3"/>
  <c r="N12" i="3"/>
  <c r="M12" i="3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N9" i="9" l="1"/>
  <c r="N8" i="9"/>
  <c r="O10" i="9"/>
  <c r="O11" i="9"/>
  <c r="G21" i="4"/>
  <c r="G19" i="4"/>
  <c r="G20" i="4" s="1"/>
  <c r="N6" i="9"/>
  <c r="O8" i="9"/>
  <c r="G16" i="4"/>
  <c r="G17" i="4" s="1"/>
  <c r="G24" i="4" l="1"/>
  <c r="G22" i="4"/>
  <c r="G23" i="4" s="1"/>
  <c r="O13" i="9"/>
  <c r="O12" i="9"/>
  <c r="N10" i="9"/>
  <c r="N11" i="9"/>
  <c r="N13" i="9" l="1"/>
  <c r="N12" i="9"/>
  <c r="O15" i="9"/>
  <c r="O14" i="9"/>
  <c r="G27" i="4"/>
  <c r="G25" i="4"/>
  <c r="G26" i="4" s="1"/>
  <c r="O19" i="9" l="1"/>
  <c r="O17" i="9"/>
  <c r="O18" i="9" s="1"/>
  <c r="O16" i="9"/>
  <c r="G30" i="4"/>
  <c r="G28" i="4"/>
  <c r="G29" i="4" s="1"/>
  <c r="N15" i="9"/>
  <c r="N14" i="9"/>
  <c r="N19" i="9" l="1"/>
  <c r="N16" i="9"/>
  <c r="G33" i="4"/>
  <c r="G31" i="4"/>
  <c r="G32" i="4" s="1"/>
  <c r="O21" i="9"/>
  <c r="O20" i="9"/>
  <c r="G36" i="4" l="1"/>
  <c r="G34" i="4"/>
  <c r="G35" i="4" s="1"/>
  <c r="O23" i="9"/>
  <c r="O22" i="9"/>
  <c r="N21" i="9"/>
  <c r="N20" i="9"/>
  <c r="N23" i="9" l="1"/>
  <c r="N22" i="9"/>
  <c r="O25" i="9"/>
  <c r="O26" i="9" s="1"/>
  <c r="O24" i="9"/>
  <c r="O27" i="9"/>
  <c r="G37" i="4"/>
  <c r="G38" i="4" s="1"/>
  <c r="G39" i="4"/>
  <c r="G42" i="4" l="1"/>
  <c r="G40" i="4"/>
  <c r="G41" i="4" s="1"/>
  <c r="O29" i="9"/>
  <c r="O28" i="9"/>
  <c r="N24" i="9"/>
  <c r="N27" i="9"/>
  <c r="N29" i="9" l="1"/>
  <c r="N28" i="9"/>
  <c r="O31" i="9"/>
  <c r="O30" i="9"/>
  <c r="G45" i="4"/>
  <c r="G43" i="4"/>
  <c r="G44" i="4" s="1"/>
  <c r="G48" i="4" l="1"/>
  <c r="G46" i="4"/>
  <c r="G47" i="4" s="1"/>
  <c r="O33" i="9"/>
  <c r="O32" i="9"/>
  <c r="N31" i="9"/>
  <c r="N30" i="9"/>
  <c r="N33" i="9" l="1"/>
  <c r="N32" i="9"/>
  <c r="O35" i="9"/>
  <c r="O34" i="9"/>
  <c r="G51" i="4"/>
  <c r="G49" i="4"/>
  <c r="G50" i="4" s="1"/>
  <c r="G54" i="4" l="1"/>
  <c r="G52" i="4"/>
  <c r="G53" i="4" s="1"/>
  <c r="O36" i="9"/>
  <c r="O37" i="9"/>
  <c r="N35" i="9"/>
  <c r="N34" i="9"/>
  <c r="N36" i="9" l="1"/>
  <c r="N37" i="9"/>
  <c r="O39" i="9"/>
  <c r="O38" i="9"/>
  <c r="G57" i="4"/>
  <c r="G55" i="4"/>
  <c r="G56" i="4" s="1"/>
  <c r="G58" i="4" l="1"/>
  <c r="G59" i="4" s="1"/>
  <c r="G60" i="4"/>
  <c r="O41" i="9"/>
  <c r="O40" i="9"/>
  <c r="N39" i="9"/>
  <c r="N38" i="9"/>
  <c r="N41" i="9" l="1"/>
  <c r="N40" i="9"/>
  <c r="O43" i="9"/>
  <c r="O42" i="9"/>
  <c r="G63" i="4"/>
  <c r="G61" i="4"/>
  <c r="G62" i="4" s="1"/>
  <c r="G66" i="4" l="1"/>
  <c r="G64" i="4"/>
  <c r="G65" i="4" s="1"/>
  <c r="O45" i="9"/>
  <c r="O44" i="9"/>
  <c r="N43" i="9"/>
  <c r="N42" i="9"/>
  <c r="N45" i="9" l="1"/>
  <c r="N44" i="9"/>
  <c r="O46" i="9"/>
  <c r="O47" i="9"/>
  <c r="G69" i="4"/>
  <c r="G67" i="4"/>
  <c r="G68" i="4" s="1"/>
  <c r="G72" i="4" l="1"/>
  <c r="G70" i="4"/>
  <c r="G71" i="4" s="1"/>
  <c r="O51" i="9"/>
  <c r="O52" i="9" s="1"/>
  <c r="O49" i="9"/>
  <c r="O50" i="9" s="1"/>
  <c r="O48" i="9"/>
  <c r="N46" i="9"/>
  <c r="N47" i="9"/>
  <c r="N51" i="9" l="1"/>
  <c r="N52" i="9" s="1"/>
  <c r="N48" i="9"/>
  <c r="G75" i="4"/>
  <c r="G73" i="4"/>
  <c r="G74" i="4" s="1"/>
  <c r="G78" i="4" l="1"/>
  <c r="G76" i="4"/>
  <c r="G77" i="4" s="1"/>
  <c r="G81" i="4" l="1"/>
  <c r="G79" i="4"/>
  <c r="G80" i="4" s="1"/>
  <c r="G84" i="4" l="1"/>
  <c r="G82" i="4"/>
  <c r="G83" i="4" s="1"/>
  <c r="G87" i="4" l="1"/>
  <c r="G85" i="4"/>
  <c r="G86" i="4" s="1"/>
  <c r="G90" i="4" l="1"/>
  <c r="G88" i="4"/>
  <c r="G89" i="4" s="1"/>
  <c r="G93" i="4" l="1"/>
  <c r="G91" i="4"/>
  <c r="G92" i="4" s="1"/>
  <c r="G96" i="4" l="1"/>
  <c r="G94" i="4"/>
  <c r="G95" i="4" s="1"/>
  <c r="G97" i="4" l="1"/>
  <c r="G98" i="4" s="1"/>
  <c r="G99" i="4"/>
  <c r="G102" i="4" l="1"/>
  <c r="G100" i="4"/>
  <c r="G101" i="4" s="1"/>
  <c r="G105" i="4" l="1"/>
  <c r="G103" i="4"/>
  <c r="G104" i="4" s="1"/>
  <c r="G108" i="4" l="1"/>
  <c r="G106" i="4"/>
  <c r="G107" i="4" s="1"/>
  <c r="G111" i="4" l="1"/>
  <c r="G109" i="4"/>
  <c r="G110" i="4" s="1"/>
  <c r="G114" i="4" l="1"/>
  <c r="G112" i="4"/>
  <c r="G113" i="4" s="1"/>
  <c r="G117" i="4" l="1"/>
  <c r="G115" i="4"/>
  <c r="G116" i="4" s="1"/>
  <c r="G118" i="4" l="1"/>
  <c r="G119" i="4" s="1"/>
  <c r="G120" i="4"/>
  <c r="G123" i="4" l="1"/>
  <c r="G121" i="4"/>
  <c r="G122" i="4" s="1"/>
  <c r="G126" i="4" l="1"/>
  <c r="G124" i="4"/>
  <c r="G125" i="4" s="1"/>
  <c r="G129" i="4" l="1"/>
  <c r="G127" i="4"/>
  <c r="G128" i="4" s="1"/>
  <c r="G132" i="4" l="1"/>
  <c r="G130" i="4"/>
  <c r="G131" i="4" s="1"/>
  <c r="G135" i="4" l="1"/>
  <c r="G133" i="4"/>
  <c r="G134" i="4" s="1"/>
  <c r="G138" i="4" l="1"/>
  <c r="G136" i="4"/>
  <c r="G137" i="4" s="1"/>
  <c r="G141" i="4" l="1"/>
  <c r="G139" i="4"/>
  <c r="G140" i="4" s="1"/>
  <c r="G144" i="4" l="1"/>
  <c r="G142" i="4"/>
  <c r="G143" i="4" s="1"/>
  <c r="G147" i="4" l="1"/>
  <c r="G145" i="4"/>
  <c r="G146" i="4" s="1"/>
  <c r="G150" i="4" l="1"/>
  <c r="G148" i="4"/>
  <c r="G149" i="4" s="1"/>
  <c r="G153" i="4" l="1"/>
  <c r="G151" i="4"/>
  <c r="G152" i="4" s="1"/>
  <c r="G156" i="4" l="1"/>
  <c r="G154" i="4"/>
  <c r="G155" i="4" s="1"/>
  <c r="G159" i="4" l="1"/>
  <c r="G157" i="4"/>
  <c r="G158" i="4" s="1"/>
  <c r="G162" i="4" l="1"/>
  <c r="G160" i="4"/>
  <c r="G161" i="4" s="1"/>
  <c r="G165" i="4" l="1"/>
  <c r="G163" i="4"/>
  <c r="G164" i="4" s="1"/>
  <c r="G168" i="4" l="1"/>
  <c r="G166" i="4"/>
  <c r="G167" i="4" s="1"/>
  <c r="G171" i="4" l="1"/>
  <c r="G169" i="4"/>
  <c r="G170" i="4" s="1"/>
  <c r="G174" i="4" l="1"/>
  <c r="G172" i="4"/>
  <c r="G173" i="4" s="1"/>
  <c r="G175" i="4" l="1"/>
  <c r="G176" i="4" s="1"/>
  <c r="G177" i="4"/>
  <c r="G178" i="4" l="1"/>
  <c r="G179" i="4" s="1"/>
  <c r="G180" i="4"/>
  <c r="G183" i="4" l="1"/>
  <c r="G181" i="4"/>
  <c r="G182" i="4" s="1"/>
  <c r="G186" i="4" l="1"/>
  <c r="G184" i="4"/>
  <c r="G185" i="4" s="1"/>
  <c r="G189" i="4" l="1"/>
  <c r="G187" i="4"/>
  <c r="G188" i="4" s="1"/>
  <c r="G192" i="4" l="1"/>
  <c r="G190" i="4"/>
  <c r="G191" i="4" s="1"/>
  <c r="G195" i="4" l="1"/>
  <c r="G193" i="4"/>
  <c r="G194" i="4" s="1"/>
  <c r="G198" i="4" l="1"/>
  <c r="G196" i="4"/>
  <c r="G197" i="4" s="1"/>
  <c r="G201" i="4" l="1"/>
  <c r="G199" i="4"/>
  <c r="G200" i="4" s="1"/>
  <c r="G204" i="4" l="1"/>
  <c r="G202" i="4"/>
  <c r="G203" i="4" s="1"/>
  <c r="G207" i="4" l="1"/>
  <c r="G205" i="4"/>
  <c r="G206" i="4" s="1"/>
  <c r="G210" i="4" l="1"/>
  <c r="G208" i="4"/>
  <c r="G209" i="4" s="1"/>
  <c r="G213" i="4" l="1"/>
  <c r="G211" i="4"/>
  <c r="G212" i="4" s="1"/>
  <c r="G216" i="4" l="1"/>
  <c r="G214" i="4"/>
  <c r="G215" i="4" s="1"/>
  <c r="G217" i="4" l="1"/>
  <c r="G218" i="4" s="1"/>
  <c r="G219" i="4"/>
  <c r="G222" i="4" l="1"/>
  <c r="G220" i="4"/>
  <c r="G221" i="4" s="1"/>
  <c r="G225" i="4" l="1"/>
  <c r="G223" i="4"/>
  <c r="G224" i="4" s="1"/>
  <c r="G228" i="4" l="1"/>
  <c r="G226" i="4"/>
  <c r="G227" i="4" s="1"/>
  <c r="G231" i="4" l="1"/>
  <c r="G229" i="4"/>
  <c r="G230" i="4" s="1"/>
  <c r="G234" i="4" l="1"/>
  <c r="G232" i="4"/>
  <c r="G233" i="4" s="1"/>
  <c r="G235" i="4" l="1"/>
  <c r="G236" i="4" s="1"/>
  <c r="G237" i="4"/>
  <c r="G238" i="4" l="1"/>
  <c r="G239" i="4" s="1"/>
  <c r="G240" i="4"/>
  <c r="G243" i="4" l="1"/>
  <c r="G241" i="4"/>
  <c r="G242" i="4" s="1"/>
  <c r="G246" i="4" l="1"/>
  <c r="G244" i="4"/>
  <c r="G245" i="4" s="1"/>
  <c r="G249" i="4" l="1"/>
  <c r="G247" i="4"/>
  <c r="G248" i="4" s="1"/>
  <c r="G252" i="4" l="1"/>
  <c r="G250" i="4"/>
  <c r="G251" i="4" s="1"/>
  <c r="G255" i="4" l="1"/>
  <c r="G253" i="4"/>
  <c r="G254" i="4" s="1"/>
  <c r="G258" i="4" l="1"/>
  <c r="G256" i="4"/>
  <c r="G257" i="4" s="1"/>
  <c r="G261" i="4" l="1"/>
  <c r="G259" i="4"/>
  <c r="G260" i="4" s="1"/>
  <c r="G264" i="4" l="1"/>
  <c r="G262" i="4"/>
  <c r="G263" i="4" s="1"/>
  <c r="G267" i="4" l="1"/>
  <c r="G265" i="4"/>
  <c r="G266" i="4" s="1"/>
  <c r="G270" i="4" l="1"/>
  <c r="G268" i="4"/>
  <c r="G269" i="4" s="1"/>
  <c r="G273" i="4" l="1"/>
  <c r="G271" i="4"/>
  <c r="G272" i="4" s="1"/>
  <c r="G276" i="4" l="1"/>
  <c r="G274" i="4"/>
  <c r="G275" i="4" s="1"/>
  <c r="G277" i="4" l="1"/>
  <c r="G278" i="4" s="1"/>
  <c r="G279" i="4"/>
  <c r="G282" i="4" l="1"/>
  <c r="G280" i="4"/>
  <c r="G281" i="4" s="1"/>
  <c r="G285" i="4" l="1"/>
  <c r="G283" i="4"/>
  <c r="G284" i="4" s="1"/>
  <c r="G288" i="4" l="1"/>
  <c r="G286" i="4"/>
  <c r="G287" i="4" s="1"/>
  <c r="G291" i="4" l="1"/>
  <c r="G289" i="4"/>
  <c r="G290" i="4" s="1"/>
  <c r="G294" i="4" l="1"/>
  <c r="G292" i="4"/>
  <c r="G293" i="4" s="1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<sst xmlns="http://schemas.openxmlformats.org/spreadsheetml/2006/main" count="5031" uniqueCount="786">
  <si>
    <t>식별 순서</t>
  </si>
  <si>
    <t>항목(이름)</t>
  </si>
  <si>
    <t>가격 타입</t>
  </si>
  <si>
    <t>가격 수치</t>
  </si>
  <si>
    <t>항목</t>
  </si>
  <si>
    <t>보너스 타입</t>
  </si>
  <si>
    <t>보너스 값 타입</t>
  </si>
  <si>
    <t>보너스 수치</t>
  </si>
  <si>
    <t>Original</t>
  </si>
  <si>
    <t>Coin</t>
  </si>
  <si>
    <t>Pink</t>
  </si>
  <si>
    <t>보스 데미지</t>
  </si>
  <si>
    <t>BOSS_DAMAGE</t>
  </si>
  <si>
    <t>Value</t>
  </si>
  <si>
    <t>Zombie</t>
  </si>
  <si>
    <t>공격력</t>
  </si>
  <si>
    <t>ATT</t>
  </si>
  <si>
    <t>Ice</t>
  </si>
  <si>
    <t>공속</t>
  </si>
  <si>
    <t>ATT_SPEED</t>
  </si>
  <si>
    <t>Percent</t>
  </si>
  <si>
    <t>Wood</t>
  </si>
  <si>
    <t>체력</t>
  </si>
  <si>
    <t>HP</t>
  </si>
  <si>
    <t>Fire</t>
  </si>
  <si>
    <t>Jewel</t>
  </si>
  <si>
    <t>Army</t>
  </si>
  <si>
    <t>Cyber</t>
  </si>
  <si>
    <t>체력 회복</t>
  </si>
  <si>
    <t>HP_REGEN</t>
  </si>
  <si>
    <t>Christmas</t>
  </si>
  <si>
    <t>코인 보너스</t>
  </si>
  <si>
    <t>COIN_BONUS</t>
  </si>
  <si>
    <t>식별 순번</t>
  </si>
  <si>
    <t>식별 Enum</t>
  </si>
  <si>
    <t>레벨</t>
  </si>
  <si>
    <t>별칭</t>
  </si>
  <si>
    <t>이름</t>
  </si>
  <si>
    <t>수치</t>
  </si>
  <si>
    <t>수치 타입</t>
  </si>
  <si>
    <t>기타 설명</t>
  </si>
  <si>
    <t>최소</t>
  </si>
  <si>
    <t>최대</t>
  </si>
  <si>
    <t>Normal</t>
  </si>
  <si>
    <t>날카로운 일격</t>
  </si>
  <si>
    <t>att</t>
  </si>
  <si>
    <t>ratio</t>
  </si>
  <si>
    <t>전투 본능</t>
  </si>
  <si>
    <t>attPercent</t>
  </si>
  <si>
    <t>percent</t>
  </si>
  <si>
    <t>속사 태세</t>
  </si>
  <si>
    <t>attackSpeed</t>
  </si>
  <si>
    <t>장거리 탄</t>
  </si>
  <si>
    <t>사거리</t>
  </si>
  <si>
    <t>missileDistance</t>
  </si>
  <si>
    <t>든든항 생명</t>
  </si>
  <si>
    <t>hp</t>
  </si>
  <si>
    <t>생존 본능</t>
  </si>
  <si>
    <t>hpPercent</t>
  </si>
  <si>
    <t>Rare</t>
  </si>
  <si>
    <t>지상 지원군</t>
  </si>
  <si>
    <t>퉁퉁퉁</t>
  </si>
  <si>
    <t>tungtungAdd</t>
  </si>
  <si>
    <t>value</t>
  </si>
  <si>
    <t>공중 지원군</t>
  </si>
  <si>
    <t>붐바르</t>
  </si>
  <si>
    <t>boombarAdd</t>
  </si>
  <si>
    <t>Unique</t>
  </si>
  <si>
    <t>다중 탄막</t>
  </si>
  <si>
    <t>미사일</t>
  </si>
  <si>
    <t>missileAdd</t>
  </si>
  <si>
    <t>파멸의 일격</t>
  </si>
  <si>
    <t>광전사의 힘</t>
  </si>
  <si>
    <t>폭풍 속사</t>
  </si>
  <si>
    <t>초월 사격</t>
  </si>
  <si>
    <t>불굴의 생명</t>
  </si>
  <si>
    <t>철벽의 생존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</si>
  <si>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</si>
  <si>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</si>
  <si>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</si>
  <si>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</si>
  <si>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</si>
  <si>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</si>
  <si>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</si>
  <si>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</si>
  <si>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</si>
  <si>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</si>
  <si>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</si>
  <si>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</si>
  <si>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</si>
  <si>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</si>
  <si>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</si>
  <si>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</si>
  <si>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</si>
  <si>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</si>
  <si>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</si>
  <si>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</si>
  <si>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</si>
  <si>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</si>
  <si>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</si>
  <si>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</si>
  <si>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</si>
  <si>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</si>
  <si>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</si>
  <si>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</si>
  <si>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</si>
  <si>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</si>
  <si>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</si>
  <si>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</si>
  <si>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</si>
  <si>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</si>
  <si>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</si>
  <si>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</si>
  <si>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</si>
  <si>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</si>
  <si>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</si>
  <si>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</si>
  <si>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</si>
  <si>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</si>
  <si>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초기 공격력</t>
  </si>
  <si>
    <t>최종 공격력</t>
  </si>
  <si>
    <t>초기 체력</t>
  </si>
  <si>
    <t>최종 체력</t>
  </si>
  <si>
    <t>계수</t>
  </si>
  <si>
    <t>참고용</t>
  </si>
  <si>
    <t>기본 공격력 증가</t>
  </si>
  <si>
    <t>최대 체력 증가</t>
  </si>
  <si>
    <t>공격 속도 증가</t>
  </si>
  <si>
    <t>PROJECTILE_SPEED</t>
  </si>
  <si>
    <t>미사일 지속 시간</t>
  </si>
  <si>
    <t>미사일 지속 시간 증가</t>
  </si>
  <si>
    <t>보스에게 주는 피해 증가</t>
  </si>
  <si>
    <t>획득 코인 증가</t>
  </si>
  <si>
    <t>초당 체력 회복</t>
  </si>
  <si>
    <t>TUNGTUNGTUNG</t>
  </si>
  <si>
    <t>퉁퉁퉁 사후르</t>
  </si>
  <si>
    <t>퉁퉁퉁 한 명 · 플레이어 체력 비율</t>
  </si>
  <si>
    <t>BOOMBAR</t>
  </si>
  <si>
    <t>붐바르 딜로</t>
  </si>
  <si>
    <t>붐바르 한 명 · 플레이어 공격력 비율</t>
  </si>
  <si>
    <t>LATERAL_SPEED</t>
  </si>
  <si>
    <t>좌우 이동 속도 늘리기</t>
  </si>
  <si>
    <t>좌우 이동 속도 단계마다 +5%, 최대 +50%</t>
  </si>
  <si>
    <t>최대 체력과 현재 체력을 함께 증가</t>
  </si>
  <si>
    <t>변수명</t>
  </si>
  <si>
    <t>변수 타입</t>
  </si>
  <si>
    <t>값1</t>
  </si>
  <si>
    <t>값2</t>
  </si>
  <si>
    <t>값3</t>
  </si>
  <si>
    <t>playerSpeed</t>
  </si>
  <si>
    <t>float</t>
  </si>
  <si>
    <t>playerDefaultAtt</t>
  </si>
  <si>
    <t>playerDefaultHp</t>
  </si>
  <si>
    <t>misspleSpeed</t>
  </si>
  <si>
    <t>missileDuration</t>
  </si>
  <si>
    <t>playerDefaultFireRate</t>
  </si>
  <si>
    <t>playerDefaultMissileCount</t>
  </si>
  <si>
    <t>playerSpeed_Noryangjin_MapTool_Mode_SR18</t>
  </si>
  <si>
    <t>playerSpeed_HighWay</t>
  </si>
  <si>
    <t>playerSpeed_RestStop</t>
  </si>
  <si>
    <t>progressRewardInterval</t>
  </si>
  <si>
    <t>progressCoinPerCheckpoint_HighWay</t>
  </si>
  <si>
    <t>progressCoinPerCheckpoint_RestStop</t>
  </si>
  <si>
    <t>progressRewardMaximum</t>
  </si>
  <si>
    <t>progressCoinPerCheckpoint_Noryangjin_MapTool_Mode_SR18</t>
  </si>
  <si>
    <t>firstClearJewels_Noryangjin_MapTool_Mode_SR18</t>
  </si>
  <si>
    <t>replayClearJewels_Noryangjin_MapTool_Mode_SR18</t>
  </si>
  <si>
    <t>firstClearJewels_HighWay</t>
  </si>
  <si>
    <t>replayClearJewels_HighWay</t>
  </si>
  <si>
    <t>firstClearJewels_RestStop</t>
  </si>
  <si>
    <t>replayClearJewels_RestStop</t>
  </si>
  <si>
    <t>coinPickupRadius_HighWay</t>
  </si>
  <si>
    <t>coinPickupRadius_RestStop</t>
  </si>
  <si>
    <t>highwayOncomingWarning</t>
  </si>
  <si>
    <t>highwayOncomingSpeed</t>
  </si>
  <si>
    <t>highwayOncomingDamage</t>
  </si>
  <si>
    <t>highwayBypassHeal</t>
  </si>
  <si>
    <t>reststopHoldoutSeconds</t>
  </si>
  <si>
    <t>reststopPoliceHealth</t>
  </si>
  <si>
    <t>reststopPoliceSpeed</t>
  </si>
  <si>
    <t>reststopPoliceInterval</t>
  </si>
  <si>
    <t>reststopHoldoutHeal</t>
  </si>
  <si>
    <t>보너스 선택25 : 적50 : 기믹25. 공격력·체력·드롭·코인보상은 이 표가 최종 기준입니다.</t>
  </si>
  <si>
    <t>맵</t>
  </si>
  <si>
    <t>배치ID</t>
  </si>
  <si>
    <t>사용</t>
  </si>
  <si>
    <t>이벤트</t>
  </si>
  <si>
    <t>이동속도</t>
  </si>
  <si>
    <t>이동거리</t>
  </si>
  <si>
    <t>발동앞거리</t>
  </si>
  <si>
    <t>발사준비초</t>
  </si>
  <si>
    <t>투사체속도</t>
  </si>
  <si>
    <t>설명</t>
  </si>
  <si>
    <t>타입</t>
  </si>
  <si>
    <t>체력증가율</t>
  </si>
  <si>
    <t>보너스드롭</t>
  </si>
  <si>
    <t>코인보상</t>
  </si>
  <si>
    <t>Noryangjin_MapTool_Mode_SR18</t>
  </si>
  <si>
    <t>SR18_L_E01_T005_Enemy_OldMan</t>
  </si>
  <si>
    <t>이동 후 공격</t>
  </si>
  <si>
    <t>공격력·체력은 밸런스 조정 시트에서 계산.</t>
  </si>
  <si>
    <t>SR18_L_E01_T005_Enemy_OldMan_Right</t>
  </si>
  <si>
    <t>공격 한 번</t>
  </si>
  <si>
    <t>왼쪽 적보다 체력 15% 증가. 접근 시차를 두고 발동.</t>
  </si>
  <si>
    <t>SR18_L_E02_T017_Enemy_OldMan</t>
  </si>
  <si>
    <t>공격 반복</t>
  </si>
  <si>
    <t>SR18_L_E02_T017_Enemy_OldMan_Right</t>
  </si>
  <si>
    <t>SR18_L_E03_T029_Enemy_YllowMan_Sword</t>
  </si>
  <si>
    <t>왕복</t>
  </si>
  <si>
    <t>SR18_L_E03_T029_Enemy_YllowMan_Sword_Right</t>
  </si>
  <si>
    <t>SR18_L_E04_T041_Enemy_OldMan</t>
  </si>
  <si>
    <t>SR18_L_E04_T041_Enemy_OldMan_Right</t>
  </si>
  <si>
    <t>SR18_L_E05_T053_Enemy_Guard</t>
  </si>
  <si>
    <t>전방 매복 사격</t>
  </si>
  <si>
    <t>SR18_L_E05_T053_Enemy_Guard_Right</t>
  </si>
  <si>
    <t>SR18_L_E06_T065_Enemy_YllowMan_Net</t>
  </si>
  <si>
    <t>SR18_L_E06_T065_Enemy_YllowMan_Net_Right</t>
  </si>
  <si>
    <t>SR18_L_E07_T077_Enemy_YllowMan_Sword</t>
  </si>
  <si>
    <t>SR18_L_E07_T077_Enemy_YllowMan_Sword_Right</t>
  </si>
  <si>
    <t>SR18_L_E08_T089_Enemy_FatMan</t>
  </si>
  <si>
    <t>사격</t>
  </si>
  <si>
    <t>SR18_L_E08_T089_Enemy_FatMan_Right</t>
  </si>
  <si>
    <t>SR18_L_E09_T101_Enemy_YllowMan_Net</t>
  </si>
  <si>
    <t>SR18_L_E09_T101_Enemy_YllowMan_Net_Right</t>
  </si>
  <si>
    <t>SR18_L_E10_T113_Enemy_YllowMan_Sword</t>
  </si>
  <si>
    <t>SR18_L_E10_T113_Enemy_YllowMan_Sword_Right</t>
  </si>
  <si>
    <t>SR18_L_E11_T125_Enemy_OldMan</t>
  </si>
  <si>
    <t>SR18_L_E11_T125_Enemy_OldMan_Right</t>
  </si>
  <si>
    <t>SR18_L_E12_T137_Enemy_FatMan</t>
  </si>
  <si>
    <t>SR18_L_E12_T137_Enemy_FatMan_Right</t>
  </si>
  <si>
    <t>SR18_L_E13_T149_Enemy_OldMan</t>
  </si>
  <si>
    <t>SR18_L_E13_T149_Enemy_OldMan_Right</t>
  </si>
  <si>
    <t>SR18_L_E14_T165_Enemy_OldMan</t>
  </si>
  <si>
    <t>SR18_L_E14_T165_Enemy_OldMan_Right</t>
  </si>
  <si>
    <t>SR18_L_E15_T173_Enemy_YllowMan_Sword</t>
  </si>
  <si>
    <t>SR18_L_E15_T173_Enemy_YllowMan_Sword_Right</t>
  </si>
  <si>
    <t>SR18_L_E16_T185_Enemy_OldMan</t>
  </si>
  <si>
    <t>SR18_L_E16_T185_Enemy_OldMan_Right</t>
  </si>
  <si>
    <t>SR18_L_E17_T197_Enemy_Guard</t>
  </si>
  <si>
    <t>SR18_L_E17_T197_Enemy_Guard_Right</t>
  </si>
  <si>
    <t>SR18_L_E18_T209_Enemy_YllowMan_Net</t>
  </si>
  <si>
    <t>SR18_L_E18_T209_Enemy_YllowMan_Net_Right</t>
  </si>
  <si>
    <t>SR18_L_E19_T221_Enemy_YllowMan_Sword</t>
  </si>
  <si>
    <t>SR18_L_E19_T221_Enemy_YllowMan_Sword_Right</t>
  </si>
  <si>
    <t>SR18_L_E20_T233_Enemy_OldMan</t>
  </si>
  <si>
    <t>SR18_L_E20_T233_Enemy_OldMan_Right</t>
  </si>
  <si>
    <t>SR18_L_E21_T245_Enemy_YllowMan_Net</t>
  </si>
  <si>
    <t>SR18_L_E21_T245_Enemy_YllowMan_Net_Right</t>
  </si>
  <si>
    <t>SR18_L_E22_T257_Enemy_OldMan</t>
  </si>
  <si>
    <t>SR18_L_E22_T257_Enemy_OldMan_Right</t>
  </si>
  <si>
    <t>SR18_L_E23_T273_Enemy_OldMan</t>
  </si>
  <si>
    <t>SR18_L_E23_T273_Enemy_OldMan_Right</t>
  </si>
  <si>
    <t>SR18_L_E24_T281_Enemy_FatMan</t>
  </si>
  <si>
    <t>SR18_L_E24_T281_Enemy_FatMan_Right</t>
  </si>
  <si>
    <t>SR18_L_E25_T293_Enemy_Woman</t>
  </si>
  <si>
    <t>SR18_L_E25_T293_Enemy_Woman_Right</t>
  </si>
  <si>
    <t>HighWay</t>
  </si>
  <si>
    <t>HWY_E01_ConeMechanic</t>
  </si>
  <si>
    <t>HWY_E01_ConeMechanic_Right</t>
  </si>
  <si>
    <t>HWY_E02_TrafficPatrol</t>
  </si>
  <si>
    <t>HWY_E02_TrafficPatrol_Right</t>
  </si>
  <si>
    <t>HWY_E03_TollgateChief</t>
  </si>
  <si>
    <t>HWY_E03_TollgateChief_Right</t>
  </si>
  <si>
    <t>HWY_E04_TireBruiser</t>
  </si>
  <si>
    <t>HWY_E04_TireBruiser_Right</t>
  </si>
  <si>
    <t>HWY_E05_AsphaltWorker</t>
  </si>
  <si>
    <t>HWY_E05_AsphaltWorker_Right</t>
  </si>
  <si>
    <t>HWY_E06_DeliveryRider</t>
  </si>
  <si>
    <t>HWY_E06_DeliveryRider_Right</t>
  </si>
  <si>
    <t>HWY_E07_ConeMechanic</t>
  </si>
  <si>
    <t>HWY_E07_ConeMechanic_Right</t>
  </si>
  <si>
    <t>HWY_E08_TrafficPatrol</t>
  </si>
  <si>
    <t>HWY_E08_TrafficPatrol_Right</t>
  </si>
  <si>
    <t>HWY_E09_TollgateChief</t>
  </si>
  <si>
    <t>HWY_E09_TollgateChief_Right</t>
  </si>
  <si>
    <t>HWY_E10_TireBruiser</t>
  </si>
  <si>
    <t>HWY_E10_TireBruiser_Right</t>
  </si>
  <si>
    <t>HWY_E11_AsphaltWorker</t>
  </si>
  <si>
    <t>HWY_E11_AsphaltWorker_Right</t>
  </si>
  <si>
    <t>HWY_E12_DeliveryRider</t>
  </si>
  <si>
    <t>HWY_E12_DeliveryRider_Right</t>
  </si>
  <si>
    <t>HWY_E13_ConeMechanic</t>
  </si>
  <si>
    <t>HWY_E13_ConeMechanic_Right</t>
  </si>
  <si>
    <t>HWY_E14_TrafficPatrol</t>
  </si>
  <si>
    <t>HWY_E14_TrafficPatrol_Right</t>
  </si>
  <si>
    <t>HWY_E15_TollgateChief</t>
  </si>
  <si>
    <t>HWY_E15_TollgateChief_Right</t>
  </si>
  <si>
    <t>HWY_E16_TireBruiser</t>
  </si>
  <si>
    <t>HWY_E16_TireBruiser_Right</t>
  </si>
  <si>
    <t>HWY_E17_AsphaltWorker</t>
  </si>
  <si>
    <t>HWY_E17_AsphaltWorker_Right</t>
  </si>
  <si>
    <t>HWY_E18_DeliveryRider</t>
  </si>
  <si>
    <t>HWY_E18_DeliveryRider_Right</t>
  </si>
  <si>
    <t>HWY_E19_ConeMechanic</t>
  </si>
  <si>
    <t>HWY_E19_ConeMechanic_Right</t>
  </si>
  <si>
    <t>HWY_E20_TrafficPatrol</t>
  </si>
  <si>
    <t>HWY_E20_TrafficPatrol_Right</t>
  </si>
  <si>
    <t>HWY_E21_TollgateChief</t>
  </si>
  <si>
    <t>HWY_E21_TollgateChief_Right</t>
  </si>
  <si>
    <t>HWY_E22_TireBruiser</t>
  </si>
  <si>
    <t>HWY_E22_TireBruiser_Right</t>
  </si>
  <si>
    <t>HWY_AddedLeader_1</t>
  </si>
  <si>
    <t>HWY_AddedLeader_1_Right</t>
  </si>
  <si>
    <t>HWY_AddedLeader_2</t>
  </si>
  <si>
    <t>HWY_AddedLeader_2_Right</t>
  </si>
  <si>
    <t>HWY_E23_TollgateChief</t>
  </si>
  <si>
    <t>HWY_E23_TollgateChief_Right</t>
  </si>
  <si>
    <t>RestStop</t>
  </si>
  <si>
    <t>RST_E01_ParkingMarshal</t>
  </si>
  <si>
    <t>안전 통로가 좌우로 번갈아 바뀌는 배치</t>
  </si>
  <si>
    <t>RST_E01_ParkingMarshal_Right</t>
  </si>
  <si>
    <t>RST_E02_SnackChef</t>
  </si>
  <si>
    <t>RST_E02_SnackChef_Right</t>
  </si>
  <si>
    <t>RST_E03_CoffeeVendor</t>
  </si>
  <si>
    <t>RST_E03_CoffeeVendor_Right</t>
  </si>
  <si>
    <t>RST_E04_DeliveryRider</t>
  </si>
  <si>
    <t>RST_E04_DeliveryRider_Right</t>
  </si>
  <si>
    <t>RST_E05_TireBruiser</t>
  </si>
  <si>
    <t>RST_E05_TireBruiser_Right</t>
  </si>
  <si>
    <t>RST_E06_ParkingMarshal</t>
  </si>
  <si>
    <t>RST_E06_ParkingMarshal_Right</t>
  </si>
  <si>
    <t>RST_E07_SnackChef</t>
  </si>
  <si>
    <t>RST_E07_SnackChef_Right</t>
  </si>
  <si>
    <t>RST_E08_CoffeeVendor</t>
  </si>
  <si>
    <t>RST_E08_CoffeeVendor_Right</t>
  </si>
  <si>
    <t>RST_E09_DeliveryRider</t>
  </si>
  <si>
    <t>RST_E09_DeliveryRider_Right</t>
  </si>
  <si>
    <t>RST_E10_TireBruiser</t>
  </si>
  <si>
    <t>RST_E10_TireBruiser_Right</t>
  </si>
  <si>
    <t>RST_E11_ParkingMarshal</t>
  </si>
  <si>
    <t>RST_E11_ParkingMarshal_Right</t>
  </si>
  <si>
    <t>RST_E12_SnackChef</t>
  </si>
  <si>
    <t>RST_E12_SnackChef_Right</t>
  </si>
  <si>
    <t>RST_E13_CoffeeVendor</t>
  </si>
  <si>
    <t>RST_E13_CoffeeVendor_Right</t>
  </si>
  <si>
    <t>RST_E14_DeliveryRider</t>
  </si>
  <si>
    <t>RST_E14_DeliveryRider_Right</t>
  </si>
  <si>
    <t>RST_E15_TireBruiser</t>
  </si>
  <si>
    <t>RST_E15_TireBruiser_Right</t>
  </si>
  <si>
    <t>RST_E16_ParkingMarshal</t>
  </si>
  <si>
    <t>RST_E16_ParkingMarshal_Right</t>
  </si>
  <si>
    <t>RST_E17_SnackChef</t>
  </si>
  <si>
    <t>RST_E17_SnackChef_Right</t>
  </si>
  <si>
    <t>RST_E18_CoffeeVendor</t>
  </si>
  <si>
    <t>RST_E18_CoffeeVendor_Right</t>
  </si>
  <si>
    <t>RST_E19_DeliveryRider</t>
  </si>
  <si>
    <t>RST_E19_DeliveryRider_Right</t>
  </si>
  <si>
    <t>RST_E20_TireBruiser</t>
  </si>
  <si>
    <t>RST_E20_TireBruiser_Right</t>
  </si>
  <si>
    <t>RST_E21_ParkingMarshal</t>
  </si>
  <si>
    <t>RST_E21_ParkingMarshal_Right</t>
  </si>
  <si>
    <t>RST_E22_SnackChef</t>
  </si>
  <si>
    <t>RST_E22_SnackChef_Right</t>
  </si>
  <si>
    <t>RST_E23_CoffeeVendor</t>
  </si>
  <si>
    <t>RST_E23_CoffeeVendor_Right</t>
  </si>
  <si>
    <t>RST_E24_DeliveryRider</t>
  </si>
  <si>
    <t>RST_E24_DeliveryRider_Right</t>
  </si>
  <si>
    <t>RST_E25_TireBruiser</t>
  </si>
  <si>
    <t>RST_E25_TireBruiser_Right</t>
  </si>
  <si>
    <t>값을 저장한 뒤 다음 Play부터 적용됩니다. 사용: 1=배치 유지, 0=숨김. 맵·배치ID·기믹종류는 연결용입니다.</t>
  </si>
  <si>
    <t>등급</t>
  </si>
  <si>
    <t>SR18_L_B01_T009</t>
  </si>
  <si>
    <t>효과·최소·최대 수치: 보너스 시트</t>
  </si>
  <si>
    <t>SR18_L_B02_T021</t>
  </si>
  <si>
    <t>SR18_L_B03_T033</t>
  </si>
  <si>
    <t>SR18_L_B04_T045</t>
  </si>
  <si>
    <t>SR18_L_B05_T057</t>
  </si>
  <si>
    <t>SR18_L_B06_T069</t>
  </si>
  <si>
    <t>SR18_L_B07_T081</t>
  </si>
  <si>
    <t>SR18_L_B08_T093</t>
  </si>
  <si>
    <t>SR18_L_B09_T105</t>
  </si>
  <si>
    <t>SR18_L_B10_T117</t>
  </si>
  <si>
    <t>SR18_L_B11_T129</t>
  </si>
  <si>
    <t>SR18_L_B12_T141</t>
  </si>
  <si>
    <t>SR18_L_B13_T153</t>
  </si>
  <si>
    <t>SR18_L_B14_T161</t>
  </si>
  <si>
    <t>SR18_L_B15_T177</t>
  </si>
  <si>
    <t>SR18_L_B16_T189</t>
  </si>
  <si>
    <t>SR18_L_B17_T201</t>
  </si>
  <si>
    <t>SR18_L_B18_T213</t>
  </si>
  <si>
    <t>SR18_L_B19_T225</t>
  </si>
  <si>
    <t>SR18_L_B20_T237</t>
  </si>
  <si>
    <t>SR18_L_B21_T249</t>
  </si>
  <si>
    <t>SR18_L_B22_T261</t>
  </si>
  <si>
    <t>SR18_L_B23_T269</t>
  </si>
  <si>
    <t>SR18_L_B24_T285</t>
  </si>
  <si>
    <t>SR18_L_B25_T297</t>
  </si>
  <si>
    <t>HWY_B01</t>
  </si>
  <si>
    <t>좌우 한 묶음에서 한 번만 선택.</t>
  </si>
  <si>
    <t>HWY_B02</t>
  </si>
  <si>
    <t>HWY_B03</t>
  </si>
  <si>
    <t>HWY_B04</t>
  </si>
  <si>
    <t>HWY_B05</t>
  </si>
  <si>
    <t>HWY_B06</t>
  </si>
  <si>
    <t>HWY_B07</t>
  </si>
  <si>
    <t>HWY_B08</t>
  </si>
  <si>
    <t>HWY_B09</t>
  </si>
  <si>
    <t>HWY_B10</t>
  </si>
  <si>
    <t>HWY_B11</t>
  </si>
  <si>
    <t>HWY_B12</t>
  </si>
  <si>
    <t>HWY_B13</t>
  </si>
  <si>
    <t>HWY_B14</t>
  </si>
  <si>
    <t>HWY_B15</t>
  </si>
  <si>
    <t>HWY_B16</t>
  </si>
  <si>
    <t>HWY_B17</t>
  </si>
  <si>
    <t>HWY_B18</t>
  </si>
  <si>
    <t>HWY_B19</t>
  </si>
  <si>
    <t>HWY_B20</t>
  </si>
  <si>
    <t>HWY_B21</t>
  </si>
  <si>
    <t>HWY_B22</t>
  </si>
  <si>
    <t>HWY_B23</t>
  </si>
  <si>
    <t>HWY_B24</t>
  </si>
  <si>
    <t>HWY_B25</t>
  </si>
  <si>
    <t>RST_B01</t>
  </si>
  <si>
    <t>좌우 중 하나 선택</t>
  </si>
  <si>
    <t>RST_B02</t>
  </si>
  <si>
    <t>RST_B03</t>
  </si>
  <si>
    <t>RST_B04</t>
  </si>
  <si>
    <t>RST_B05</t>
  </si>
  <si>
    <t>RST_B06</t>
  </si>
  <si>
    <t>RST_B07</t>
  </si>
  <si>
    <t>RST_B08</t>
  </si>
  <si>
    <t>RST_B09</t>
  </si>
  <si>
    <t>RST_B10</t>
  </si>
  <si>
    <t>RST_B11</t>
  </si>
  <si>
    <t>RST_B12</t>
  </si>
  <si>
    <t>RST_B13</t>
  </si>
  <si>
    <t>RST_B14</t>
  </si>
  <si>
    <t>RST_B15</t>
  </si>
  <si>
    <t>RST_B16</t>
  </si>
  <si>
    <t>RST_B17</t>
  </si>
  <si>
    <t>RST_B18</t>
  </si>
  <si>
    <t>RST_B19</t>
  </si>
  <si>
    <t>RST_B20</t>
  </si>
  <si>
    <t>RST_B21</t>
  </si>
  <si>
    <t>RST_B22</t>
  </si>
  <si>
    <t>RST_B23</t>
  </si>
  <si>
    <t>RST_B24</t>
  </si>
  <si>
    <t>RST_B25</t>
  </si>
  <si>
    <t>기믹종류</t>
  </si>
  <si>
    <t>효과값</t>
  </si>
  <si>
    <t>내구도</t>
  </si>
  <si>
    <t>예고초</t>
  </si>
  <si>
    <t>작동초</t>
  </si>
  <si>
    <t>이동폭</t>
  </si>
  <si>
    <t>SR18_L_G01_T013_Bucket</t>
  </si>
  <si>
    <t>3개 묶음 전체에 적용. 효과값: 바구니별 사격 금지 시간(초).</t>
  </si>
  <si>
    <t>SR18_L_G02_T025_Light</t>
  </si>
  <si>
    <t>효과값: 접촉 피해량. 기믹종류는 모델 확인용.</t>
  </si>
  <si>
    <t>SR18_L_G03_T037_Hole</t>
  </si>
  <si>
    <t>파손된 판자 · 피해80, 생존하면 전진 유지</t>
  </si>
  <si>
    <t>SR18_L_G04_T049_Bucket</t>
  </si>
  <si>
    <t>SR18_L_G05_T061_Light</t>
  </si>
  <si>
    <t>SR18_L_G06_T073_Hole</t>
  </si>
  <si>
    <t>SR18_L_G07_T085_Bucket</t>
  </si>
  <si>
    <t>SR18_L_G08_T097_Oldman</t>
  </si>
  <si>
    <t>노에 닿으면 피해를 받고 모델만 회전. 진행과 카메라 유지.</t>
  </si>
  <si>
    <t>SR18_L_G09_T109_Hole</t>
  </si>
  <si>
    <t>SR18_L_G10_T121_Oil</t>
  </si>
  <si>
    <t>잠시 좌우 조작 감소. 진행 방향과 사격 유지.</t>
  </si>
  <si>
    <t>SR18_L_G11_T133_Light</t>
  </si>
  <si>
    <t>SR18_L_G12_T145_Hole</t>
  </si>
  <si>
    <t>SR18_L_G13_T157_Bucket</t>
  </si>
  <si>
    <t>SR18_L_G14_T169_Light</t>
  </si>
  <si>
    <t>SR18_L_G15_T181_Bucket</t>
  </si>
  <si>
    <t>SR18_L_G16_T193_Seagull</t>
  </si>
  <si>
    <t>그림자 예고 후 갈매기 급강하</t>
  </si>
  <si>
    <t>SR18_L_G17_T205_Dolphin</t>
  </si>
  <si>
    <t>물가 점프 높이(m). 접촉 피해 없음.</t>
  </si>
  <si>
    <t>SR18_L_G18_T217_Hole</t>
  </si>
  <si>
    <t>SR18_L_G19_T229_Oil</t>
  </si>
  <si>
    <t>SR18_L_G20_T241_Light</t>
  </si>
  <si>
    <t>SR18_L_G21_T253_Hole</t>
  </si>
  <si>
    <t>SR18_L_G22_T265_Bucket</t>
  </si>
  <si>
    <t>SR18_L_G23_T277_Light</t>
  </si>
  <si>
    <t>SR18_L_G24_T289_Hole</t>
  </si>
  <si>
    <t>SR18_Polish_Ship_2</t>
  </si>
  <si>
    <t>해안에서 진행로를 향한 포격</t>
  </si>
  <si>
    <t>HWY_G01_Roadblock</t>
  </si>
  <si>
    <t>HighwayRoadblock</t>
  </si>
  <si>
    <t>예고와 진행 간격을 확보한 고속도로 장애물</t>
  </si>
  <si>
    <t>HWY_G02_Roadblock</t>
  </si>
  <si>
    <t>HWY_G03_Roadblock</t>
  </si>
  <si>
    <t>HWY_G04_Roadblock</t>
  </si>
  <si>
    <t>HWY_G05_Roadblock</t>
  </si>
  <si>
    <t>HWY_G06_Roadblock</t>
  </si>
  <si>
    <t>HWY_G07_Roadblock</t>
  </si>
  <si>
    <t>HWY_G08_Roadblock</t>
  </si>
  <si>
    <t>HWY_G09_Roadblock</t>
  </si>
  <si>
    <t>HWY_G10_Roadblock</t>
  </si>
  <si>
    <t>HWY_G11_Roadblock</t>
  </si>
  <si>
    <t>HWY_G12_Roadblock</t>
  </si>
  <si>
    <t>HWY_G13_Roadblock</t>
  </si>
  <si>
    <t>HWY_G14_Roadblock</t>
  </si>
  <si>
    <t>HWY_G15_Traffic</t>
  </si>
  <si>
    <t>HighwayTraffic</t>
  </si>
  <si>
    <t>HWY_TollStation_1</t>
  </si>
  <si>
    <t>HighwayToll</t>
  </si>
  <si>
    <t>3차선 한 묶음. 모든 차선에 공통 주기 적용.</t>
  </si>
  <si>
    <t>HWY_G16_Traffic</t>
  </si>
  <si>
    <t>HWY_G17_Traffic</t>
  </si>
  <si>
    <t>HWY_TollStation_2</t>
  </si>
  <si>
    <t>HWY_G18_Traffic</t>
  </si>
  <si>
    <t>HWY_G19_Traffic</t>
  </si>
  <si>
    <t>HWY_TollStation_3</t>
  </si>
  <si>
    <t>HWY_G20_Traffic</t>
  </si>
  <si>
    <t>HWY_AddedRoadblock_1</t>
  </si>
  <si>
    <t>HWY_AddedRoadblock_2</t>
  </si>
  <si>
    <t>RST_G01</t>
  </si>
  <si>
    <t>정비용 안전 바리케이드</t>
  </si>
  <si>
    <t>RST_G02</t>
  </si>
  <si>
    <t>주차장에서 나오는 차량</t>
  </si>
  <si>
    <t>RST_G03</t>
  </si>
  <si>
    <t>RST_G04</t>
  </si>
  <si>
    <t>주차장 차단기</t>
  </si>
  <si>
    <t>RST_G05</t>
  </si>
  <si>
    <t>RST_G06</t>
  </si>
  <si>
    <t>RST_G07</t>
  </si>
  <si>
    <t>RST_G08</t>
  </si>
  <si>
    <t>RST_G09</t>
  </si>
  <si>
    <t>RST_G10</t>
  </si>
  <si>
    <t>RST_G11</t>
  </si>
  <si>
    <t>RST_G12</t>
  </si>
  <si>
    <t>RST_G13</t>
  </si>
  <si>
    <t>RST_G14</t>
  </si>
  <si>
    <t>RST_G15</t>
  </si>
  <si>
    <t>RST_G16</t>
  </si>
  <si>
    <t>RST_G17</t>
  </si>
  <si>
    <t>RST_G18</t>
  </si>
  <si>
    <t>RST_G19</t>
  </si>
  <si>
    <t>RST_G20</t>
  </si>
  <si>
    <t>RST_G21</t>
  </si>
  <si>
    <t>RST_G22</t>
  </si>
  <si>
    <t>RST_G23</t>
  </si>
  <si>
    <t>RST_G24</t>
  </si>
  <si>
    <t>RST_G25</t>
  </si>
  <si>
    <t>노량진 성장과 구매 비용</t>
  </si>
  <si>
    <t>기본값</t>
  </si>
  <si>
    <t>레벨당 증가</t>
  </si>
  <si>
    <t>첫 가격</t>
  </si>
  <si>
    <t>가격 증가</t>
  </si>
  <si>
    <t>적 성장 기준</t>
  </si>
  <si>
    <t>값</t>
  </si>
  <si>
    <t>첫 일반 공격력</t>
  </si>
  <si>
    <t>첫 일반 체력</t>
  </si>
  <si>
    <t>일반 공격력 증가율</t>
  </si>
  <si>
    <t>일반 체력 증가율</t>
  </si>
  <si>
    <t>엘리트 공격력 배수</t>
  </si>
  <si>
    <t>엘리트 체력 배수</t>
  </si>
  <si>
    <t>보스 공격력 배수</t>
  </si>
  <si>
    <t>보스 체력 배수</t>
  </si>
  <si>
    <t>두 번째 일반 적 체력</t>
  </si>
  <si>
    <t>첫 성장 벽 체력</t>
  </si>
  <si>
    <t>약 20회 도전 목표. 첫 도전 약 30초, 실제 획득 코인과 업그레이드 구매로 진행을 검증.</t>
  </si>
  <si>
    <t>고속도로 전투와 기믹</t>
  </si>
  <si>
    <t>투사체 기본 피해</t>
  </si>
  <si>
    <t>첫 전투 기준</t>
  </si>
  <si>
    <t>공격력 증가율</t>
  </si>
  <si>
    <t>배치 순서마다 증가</t>
  </si>
  <si>
    <t>체력 증가율</t>
  </si>
  <si>
    <t>일반 성장값에 적용</t>
  </si>
  <si>
    <t>마지막 대장에 적용</t>
  </si>
  <si>
    <t>도로 장애물 피해</t>
  </si>
  <si>
    <t>충돌 시 피해</t>
  </si>
  <si>
    <t>차량 충돌 피해</t>
  </si>
  <si>
    <t>횡단 차량의 피해</t>
  </si>
  <si>
    <t>차단기 충돌 피해</t>
  </si>
  <si>
    <t>닫힌 차단기의 피해</t>
  </si>
  <si>
    <t>장애물 내구도</t>
  </si>
  <si>
    <t>사격으로 부술 수 있음</t>
  </si>
  <si>
    <t>차량 예고 시간</t>
  </si>
  <si>
    <t>움직이기 전 경고(초)</t>
  </si>
  <si>
    <t>차량 통과 시간</t>
  </si>
  <si>
    <t>차선 횡단 시간(초)</t>
  </si>
  <si>
    <t>차단기 주기</t>
  </si>
  <si>
    <t>다음 통로 전환(초)</t>
  </si>
  <si>
    <t>차량 이동 폭</t>
  </si>
  <si>
    <t>좌우 횡단 거리</t>
  </si>
  <si>
    <t>노량진 추가 기믹</t>
  </si>
  <si>
    <t>기름 웅덩이 지속 시간</t>
  </si>
  <si>
    <t>조작 감도 55%, 중첩 없음</t>
  </si>
  <si>
    <t>갈매기 급강하 피해</t>
  </si>
  <si>
    <t>그림자를 보고 회피</t>
  </si>
  <si>
    <t>해안 배 포격 피해</t>
  </si>
  <si>
    <t>물가에서 진행로를 조준</t>
  </si>
  <si>
    <t>챕터 진행과 배치</t>
  </si>
  <si>
    <t>첫 도전 목표(초)</t>
  </si>
  <si>
    <t>새 진행 기준</t>
  </si>
  <si>
    <t>도전당 목표 증가(초)</t>
  </si>
  <si>
    <t>조작·보너스에 따른 편차</t>
  </si>
  <si>
    <t>첫 클리어 목표(판)</t>
  </si>
  <si>
    <t>챕터별 목표, 실제 도전 횟수는 조작과 구매에 따라 달라짐</t>
  </si>
  <si>
    <t>노량진 완주 목표(초)</t>
  </si>
  <si>
    <t>길이·속도로 결정</t>
  </si>
  <si>
    <t>고속도로 완주 목표(초)</t>
  </si>
  <si>
    <t>노량진 전진 속도</t>
  </si>
  <si>
    <t>월드 유닛/초</t>
  </si>
  <si>
    <t>고속도로 전진 속도</t>
  </si>
  <si>
    <t>보너스 선택 묶음</t>
  </si>
  <si>
    <t>좌우 선택지 한 쌍</t>
  </si>
  <si>
    <t>적 개체</t>
  </si>
  <si>
    <t>두 명씩25구간</t>
  </si>
  <si>
    <t>기믹 구간</t>
  </si>
  <si>
    <t>양동이·차선 묶음 단위</t>
  </si>
  <si>
    <t>적 처치 보너스 드롭</t>
  </si>
  <si>
    <t>0: 끔 / 1: 켬</t>
  </si>
  <si>
    <t>일반 적 코인 보상</t>
  </si>
  <si>
    <t>엘리트2배, 보스5배</t>
  </si>
  <si>
    <t>HP 후반 성장 계수</t>
  </si>
  <si>
    <t>레벨 × (레벨−1)</t>
  </si>
  <si>
    <t>노꾼 노 피격 피해</t>
  </si>
  <si>
    <t>모델 회전과 피해</t>
  </si>
  <si>
    <t>돌고래 점프 높이</t>
  </si>
  <si>
    <t>물가 연출, 피해 없음</t>
  </si>
  <si>
    <t>후반 강화 가격 계수</t>
  </si>
  <si>
    <t>4레벨 이후 가격 증가</t>
  </si>
  <si>
    <t>휴게소 전투와 성장</t>
  </si>
  <si>
    <t>챕터별 성장 목표</t>
  </si>
  <si>
    <t>고속도로 후반에서 이어지는 투사체 피해</t>
  </si>
  <si>
    <t>도전 목표</t>
  </si>
  <si>
    <t>누적 도전</t>
  </si>
  <si>
    <t>체력 레벨</t>
  </si>
  <si>
    <t>공격 레벨</t>
  </si>
  <si>
    <t>일반 코인</t>
  </si>
  <si>
    <t>완주 초</t>
  </si>
  <si>
    <t>첫 완주 보석</t>
  </si>
  <si>
    <t>고속도로 후반 일반 적 체력에 맞춘 진입 기준</t>
  </si>
  <si>
    <t>노량진</t>
  </si>
  <si>
    <t>구간 순서마다 증가</t>
  </si>
  <si>
    <t>고속도로</t>
  </si>
  <si>
    <t>휴게소</t>
  </si>
  <si>
    <t>챕터4</t>
  </si>
  <si>
    <t>챕터5</t>
  </si>
  <si>
    <t>마지막 구간에 적용</t>
  </si>
  <si>
    <t>4·5챕터 수치는 후속 씬의 설계 기준입니다.</t>
  </si>
  <si>
    <t>정비 바리케이드 피해</t>
  </si>
  <si>
    <t>출차 차량 피해</t>
  </si>
  <si>
    <t>예고 후 차량 횡단</t>
  </si>
  <si>
    <t>주차 차단기 피해</t>
  </si>
  <si>
    <t>닫힌 통로에 부딪힌 피해</t>
  </si>
  <si>
    <t>바리케이드 내구도</t>
  </si>
  <si>
    <t>사격으로 파괴 가능</t>
  </si>
  <si>
    <t>출차 예고 시간</t>
  </si>
  <si>
    <t>초</t>
  </si>
  <si>
    <t>차량 횡단 시간</t>
  </si>
  <si>
    <t>차단기 전환 주기</t>
  </si>
  <si>
    <t>월드 유닛</t>
  </si>
  <si>
    <t>휴게소 전진 속도</t>
  </si>
  <si>
    <t>전진 약269초 + 식당 방어전30초</t>
  </si>
  <si>
    <t>휴게소 완주 목표</t>
  </si>
  <si>
    <t>휴게소 일반 적 코인</t>
  </si>
  <si>
    <t>완주 반복 검증으로 조정, 엘리트2배/보스5배</t>
  </si>
  <si>
    <t>고속도로 일반 적 코인</t>
  </si>
  <si>
    <t>2챕터 강화 비용 반영, 엘리트2배/보스5배</t>
  </si>
  <si>
    <t>공격력 최대 레벨</t>
  </si>
  <si>
    <t>강화 표에서 계산</t>
  </si>
  <si>
    <t>체력 최대 레벨</t>
  </si>
  <si>
    <t>회복 후반 성장 계수</t>
  </si>
  <si>
    <t>레벨 × (레벨−1), 초당 회복량</t>
  </si>
  <si>
    <t>진행 보상 간격</t>
  </si>
  <si>
    <t>완료한 구간마다 계산(초)</t>
  </si>
  <si>
    <t>고속도로 진행 코인</t>
  </si>
  <si>
    <t>한 구간을 진행한 기본 보상</t>
  </si>
  <si>
    <t>휴게소 진행 코인</t>
  </si>
  <si>
    <t>진행 보상 최대 구간</t>
  </si>
  <si>
    <t>300초 완주 기준</t>
  </si>
  <si>
    <t>노량진 진행 코인</t>
  </si>
  <si>
    <t>기존 처치 보상 유지</t>
  </si>
  <si>
    <t>노량진 첫 완주 보석</t>
  </si>
  <si>
    <t>스킨 구매를 위한 첫 완주 보상</t>
  </si>
  <si>
    <t>노량진 재완주 보석</t>
  </si>
  <si>
    <t>같은 챕터를 다시 완주한 보상</t>
  </si>
  <si>
    <t>고속도로 첫 완주 보석</t>
  </si>
  <si>
    <t>챕터별 첫 지급 여부를 저장</t>
  </si>
  <si>
    <t>고속도로 재완주 보석</t>
  </si>
  <si>
    <t>한 번의 완주에 한 번 지급</t>
  </si>
  <si>
    <t>휴게소 첫 완주 보석</t>
  </si>
  <si>
    <t>광고 없이 스킨 구매 가능</t>
  </si>
  <si>
    <t>휴게소 재완주 보석</t>
  </si>
  <si>
    <t>반복 완주의 추가 보상</t>
  </si>
  <si>
    <t>고속도로 코인 수집 범위</t>
  </si>
  <si>
    <t>넓은 차선에서 회피하며 처치 보상 수집</t>
  </si>
  <si>
    <t>휴게소 코인 수집 범위</t>
  </si>
  <si>
    <t>월드 유닛, 높이 차가 큰 층간 수집 제외</t>
  </si>
  <si>
    <t>고속도로 분기와 식당 방어전</t>
  </si>
  <si>
    <t>정면 차량 경고 시간</t>
  </si>
  <si>
    <t>초, 경고한 차로로만 접근</t>
  </si>
  <si>
    <t>정면 차량 속도</t>
  </si>
  <si>
    <t>정면 차량 충돌 피해</t>
  </si>
  <si>
    <t>차량마다 한 번 적용</t>
  </si>
  <si>
    <t>초록 우회로 회복 비율</t>
  </si>
  <si>
    <t>최대 체력 기준, 우회로마다 한 번</t>
  </si>
  <si>
    <t>식당 방어전 시간</t>
  </si>
  <si>
    <t>초, 일시정지 시간 제외</t>
  </si>
  <si>
    <t>식당 경찰 체력</t>
  </si>
  <si>
    <t>접촉 시 남은 체력만큼 피해</t>
  </si>
  <si>
    <t>식당 경찰 이동 속도</t>
  </si>
  <si>
    <t>월드 유닛/초, 마지막 구간 12% 증가</t>
  </si>
  <si>
    <t>식당 경찰 진입 간격</t>
  </si>
  <si>
    <t>초, 마지막 구간 간격 25% 감소</t>
  </si>
  <si>
    <t>식당 탈출 회복 비율</t>
  </si>
  <si>
    <t>최대 체력 기준, 성공 시 한 번</t>
  </si>
  <si>
    <t>상어의 피부·신발·모자. 장착한 세 부위의 효과가 함께 적용됩니다.</t>
  </si>
  <si>
    <t>ID</t>
  </si>
  <si>
    <t>부위</t>
  </si>
  <si>
    <t>가격타입</t>
  </si>
  <si>
    <t>가격</t>
  </si>
  <si>
    <t>비주얼</t>
  </si>
  <si>
    <t>기본</t>
  </si>
  <si>
    <t>효과</t>
  </si>
  <si>
    <t>효과타입</t>
  </si>
  <si>
    <t>skin_original</t>
  </si>
  <si>
    <t>Skin</t>
  </si>
  <si>
    <t>저주받은 상어</t>
  </si>
  <si>
    <t>훔친 신발이 남긴 푸른 저주의 흔적</t>
  </si>
  <si>
    <t>skin_coral</t>
  </si>
  <si>
    <t>벚꽃 상어</t>
  </si>
  <si>
    <t>은은한 분홍빛과 밝은 배색의 상어</t>
  </si>
  <si>
    <t>skin_ice</t>
  </si>
  <si>
    <t>빙하 상어</t>
  </si>
  <si>
    <t>얼음처럼 갈라진 차가운 피부 문양</t>
  </si>
  <si>
    <t>skin_sand</t>
  </si>
  <si>
    <t>오래된 유목</t>
  </si>
  <si>
    <t>오랜 항해를 닮은 나뭇결 문양</t>
  </si>
  <si>
    <t>skin_armor</t>
  </si>
  <si>
    <t>해안 경비대</t>
  </si>
  <si>
    <t>해안 위장무늬와 단단한 인상</t>
  </si>
  <si>
    <t>skin_raider</t>
  </si>
  <si>
    <t>심해 생존자</t>
  </si>
  <si>
    <t>깊은 바다에서 돌아온 거친 피부</t>
  </si>
  <si>
    <t>skin_relic</t>
  </si>
  <si>
    <t>용암의 심장</t>
  </si>
  <si>
    <t>검은 표면 사이로 흐르는 붉은 균열</t>
  </si>
  <si>
    <t>skin_diver</t>
  </si>
  <si>
    <t>네온 잠수부</t>
  </si>
  <si>
    <t>회로와 금속 패널이 이어진 피부</t>
  </si>
  <si>
    <t>shoes_original</t>
  </si>
  <si>
    <t>Shoes</t>
  </si>
  <si>
    <t>푸른 운동화</t>
  </si>
  <si>
    <t>저주의 시작이 된 푸른 운동화</t>
  </si>
  <si>
    <t>shoes_ruby</t>
  </si>
  <si>
    <t>코퍼 하이탑</t>
  </si>
  <si>
    <t>통풍 패널과 구리빛 포인트의 하이탑</t>
  </si>
  <si>
    <t>shoes_mint</t>
  </si>
  <si>
    <t>폴라 부츠</t>
  </si>
  <si>
    <t>퀼팅 원단과 두툼한 방한 칼라</t>
  </si>
  <si>
    <t>shoes_gold</t>
  </si>
  <si>
    <t>선장 로퍼</t>
  </si>
  <si>
    <t>짙은 가죽과 황동 버클의 갑판화</t>
  </si>
  <si>
    <t>shoes_steel</t>
  </si>
  <si>
    <t>강철 워커</t>
  </si>
  <si>
    <t>금속 앞코와 튼튼한 작업용 밑창</t>
  </si>
  <si>
    <t>shoes_spring</t>
  </si>
  <si>
    <t>스프링 러너</t>
  </si>
  <si>
    <t>탄성 프레임을 갖춘 가벼운 러닝화</t>
  </si>
  <si>
    <t>shoes_relic</t>
  </si>
  <si>
    <t>파도 유물화</t>
  </si>
  <si>
    <t>파도 장식과 푸른 보석의 유물 부츠</t>
  </si>
  <si>
    <t>shoes_salvage</t>
  </si>
  <si>
    <t>잠수 작업화</t>
  </si>
  <si>
    <t>잠수 장비를 닮은 단단한 작업화</t>
  </si>
  <si>
    <t>hat_none</t>
  </si>
  <si>
    <t>Hat</t>
  </si>
  <si>
    <t>머리 장비 없음</t>
  </si>
  <si>
    <t>저주만으로도 충분히 무겁다</t>
  </si>
  <si>
    <t>hat_cap</t>
  </si>
  <si>
    <t>항해사 캡</t>
  </si>
  <si>
    <t>항해사의 실용적인 캔버스 캡</t>
  </si>
  <si>
    <t>hat_bucket</t>
  </si>
  <si>
    <t>방수 버킷햇</t>
  </si>
  <si>
    <t>짙은 청록색의 넓은 방수 챙</t>
  </si>
  <si>
    <t>hat_tophat</t>
  </si>
  <si>
    <t>야간 정비사</t>
  </si>
  <si>
    <t>정비 장식이 달린 작업용 톱햇</t>
  </si>
  <si>
    <t>hat_goggles</t>
  </si>
  <si>
    <t>야간 고글</t>
  </si>
  <si>
    <t>황동 프레임과 짙은 렌즈</t>
  </si>
  <si>
    <t>hat_diver</t>
  </si>
  <si>
    <t>황동 잠수모</t>
  </si>
  <si>
    <t>얼굴이 보이는 개방형 황동 잠수모</t>
  </si>
  <si>
    <t>hat_pirate</t>
  </si>
  <si>
    <t>검은 돛 선장모</t>
  </si>
  <si>
    <t>해진 가죽과 나침반 장식의 삼각모</t>
  </si>
  <si>
    <t>hat_relic</t>
  </si>
  <si>
    <t>파도의 관</t>
  </si>
  <si>
    <t>짧은 파도 장식과 터키석의 금빛 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</si>
</sst>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##"/>
    <numFmt numFmtId="178" formatCode="0.0%"/>
  </numFmts>
  <fonts count="13">
    <font>
      <sz val="11"/>
      <color theme="1"/>
      <name val="맑은 고딕"/>
    </font>
    <font>
      <sz val="11"/>
      <color rgb="FFCCCCCC"/>
      <name val="Consolas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1" applyNumberFormat="1" applyFont="1" applyAlignment="1"/>
    <xf numFmtId="0" fontId="5" fillId="9" borderId="0" xfId="1" applyNumberFormat="1" applyFont="1" applyFill="1" applyAlignment="1"/>
    <xf numFmtId="0" fontId="4" fillId="0" borderId="0" xfId="1" applyNumberFormat="1" applyFont="1" applyAlignment="1">
      <alignment wrapText="1"/>
    </xf>
    <xf numFmtId="1" fontId="4" fillId="0" borderId="0" xfId="1" applyNumberFormat="1" applyFont="1" applyAlignment="1"/>
    <xf numFmtId="1" fontId="4" fillId="10" borderId="0" xfId="1" applyNumberFormat="1" applyFont="1" applyFill="1" applyAlignment="1"/>
    <xf numFmtId="0" fontId="4" fillId="10" borderId="0" xfId="1" applyNumberFormat="1" applyFont="1" applyFill="1" applyAlignment="1"/>
    <xf numFmtId="0" fontId="4" fillId="11" borderId="0" xfId="1" applyNumberFormat="1" applyFont="1" applyFill="1" applyAlignment="1"/>
    <xf numFmtId="0" fontId="6" fillId="9" borderId="0" xfId="0" applyFont="1" applyFill="1"/>
    <xf numFmtId="0" fontId="7" fillId="0" borderId="0" xfId="0" applyFont="1"/>
    <xf numFmtId="0" fontId="7" fillId="10" borderId="0" xfId="0" applyFont="1" applyFill="1"/>
    <xf numFmtId="3" fontId="7" fillId="10" borderId="0" xfId="0" applyNumberFormat="1" applyFont="1" applyFill="1"/>
    <xf numFmtId="9" fontId="7" fillId="10" borderId="0" xfId="0" applyNumberFormat="1" applyFont="1" applyFill="1"/>
    <xf numFmtId="176" fontId="0" fillId="0" borderId="0" xfId="0" applyNumberFormat="1"/>
    <xf numFmtId="0" fontId="8" fillId="0" borderId="0" xfId="0" applyFont="1"/>
    <xf numFmtId="177" fontId="7" fillId="10" borderId="0" xfId="0" applyNumberFormat="1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9" fillId="10" borderId="0" xfId="0" applyFont="1" applyFill="1"/>
    <xf numFmtId="178" fontId="9" fillId="10" borderId="0" xfId="0" applyNumberFormat="1" applyFont="1" applyFill="1"/>
    <xf numFmtId="0" fontId="9" fillId="0" borderId="0" xfId="0" applyFont="1" applyAlignment="1">
      <alignment wrapText="1"/>
    </xf>
    <xf numFmtId="0" fontId="2" fillId="12" borderId="0" xfId="0" applyFont="1" applyFill="1"/>
    <xf numFmtId="0" fontId="2" fillId="0" borderId="0" xfId="0" applyFont="1"/>
    <xf numFmtId="0" fontId="0" fillId="10" borderId="0" xfId="0" applyFill="1"/>
    <xf numFmtId="0" fontId="0" fillId="0" borderId="0" xfId="0" applyAlignment="1">
      <alignment wrapText="1"/>
    </xf>
    <xf numFmtId="1" fontId="0" fillId="10" borderId="0" xfId="0" applyNumberFormat="1" applyFill="1"/>
    <xf numFmtId="1" fontId="7" fillId="10" borderId="0" xfId="0" applyNumberFormat="1" applyFont="1" applyFill="1"/>
    <xf numFmtId="2" fontId="7" fillId="10" borderId="0" xfId="0" applyNumberFormat="1" applyFont="1" applyFill="1"/>
    <xf numFmtId="0" fontId="7" fillId="0" borderId="0" xfId="0" applyFont="1" applyAlignment="1">
      <alignment wrapText="1"/>
    </xf>
    <xf numFmtId="2" fontId="9" fillId="10" borderId="0" xfId="0" applyNumberFormat="1" applyFont="1" applyFill="1"/>
    <xf numFmtId="9" fontId="9" fillId="10" borderId="0" xfId="0" applyNumberFormat="1" applyFon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B2:K312"/>
  <sheetViews>
    <sheetView workbookViewId="0"/>
  </sheetViews>
  <sheetFormatPr defaultRowHeight="16.5"/>
  <cols>
    <col min="3" max="3" width="18.625" customWidth="1"/>
    <col min="5" max="5" width="13" customWidth="1"/>
    <col min="10" max="10" width="25.75" customWidth="1"/>
  </cols>
  <sheetData>
    <row r="2" spans="2:11">
      <c r="B2" t="s">
        <v>33</v>
      </c>
      <c r="C2" t="s">
        <v>34</v>
      </c>
      <c r="D2" t="s">
        <v>35</v>
      </c>
      <c r="E2" t="s">
        <v>4</v>
      </c>
      <c r="F2" t="s">
        <v>38</v>
      </c>
      <c r="G2" t="s">
        <v>39</v>
      </c>
      <c r="H2" t="s">
        <v>2</v>
      </c>
      <c r="I2" t="s">
        <v>3</v>
      </c>
      <c r="J2" t="s">
        <v>40</v>
      </c>
    </row>
    <row r="3" spans="2:11">
      <c r="B3">
        <v>1</v>
      </c>
      <c r="C3" t="s">
        <v>16</v>
      </c>
      <c r="D3">
        <v>1</v>
      </c>
      <c r="E3" t="s">
        <v>15</v>
      </c>
      <c r="F3">
        <f>'밸런스 조정'!$C$3+'밸런스 조정'!$D$3*D3</f>
        <v>4</v>
      </c>
      <c r="G3" t="s">
        <v>63</v>
      </c>
      <c r="H3" t="s">
        <v>9</v>
      </c>
      <c r="I3" t="n">
        <f>ROUND('밸런스 조정'!$E$3+'밸런스 조정'!$F$3*(D3-1)+'밸런스 조정'!$C$69*MAX(0,D3-3)^2,0)</f>
        <v>10</v>
      </c>
      <c r="J3" t="s">
        <v>125</v>
      </c>
      <c r="K3" s="1"/>
    </row>
    <row r="4" spans="2:11">
      <c r="B4">
        <v>1</v>
      </c>
      <c r="C4" t="s">
        <v>16</v>
      </c>
      <c r="D4">
        <v>2</v>
      </c>
      <c r="E4" t="s">
        <v>15</v>
      </c>
      <c r="F4">
        <f>'밸런스 조정'!$C$3+'밸런스 조정'!$D$3*D4</f>
        <v>8</v>
      </c>
      <c r="G4" t="s">
        <v>63</v>
      </c>
      <c r="H4" t="s">
        <v>9</v>
      </c>
      <c r="I4" t="n">
        <f>ROUND('밸런스 조정'!$E$3+'밸런스 조정'!$F$3*(D4-1)+'밸런스 조정'!$C$69*MAX(0,D4-3)^2,0)</f>
        <v>15</v>
      </c>
      <c r="J4" t="s">
        <v>125</v>
      </c>
      <c r="K4" s="1"/>
    </row>
    <row r="5" spans="2:11">
      <c r="B5">
        <v>1</v>
      </c>
      <c r="C5" t="s">
        <v>16</v>
      </c>
      <c r="D5">
        <v>3</v>
      </c>
      <c r="E5" t="s">
        <v>15</v>
      </c>
      <c r="F5">
        <f>'밸런스 조정'!$C$3+'밸런스 조정'!$D$3*D5</f>
        <v>12</v>
      </c>
      <c r="G5" t="s">
        <v>63</v>
      </c>
      <c r="H5" t="s">
        <v>9</v>
      </c>
      <c r="I5" t="n">
        <f>ROUND('밸런스 조정'!$E$3+'밸런스 조정'!$F$3*(D5-1)+'밸런스 조정'!$C$69*MAX(0,D5-3)^2,0)</f>
        <v>20</v>
      </c>
      <c r="J5" t="s">
        <v>125</v>
      </c>
      <c r="K5" s="1"/>
    </row>
    <row r="6" spans="2:11">
      <c r="B6">
        <v>1</v>
      </c>
      <c r="C6" t="s">
        <v>16</v>
      </c>
      <c r="D6">
        <v>4</v>
      </c>
      <c r="E6" t="s">
        <v>15</v>
      </c>
      <c r="F6">
        <f>'밸런스 조정'!$C$3+'밸런스 조정'!$D$3*D6</f>
        <v>16</v>
      </c>
      <c r="G6" t="s">
        <v>63</v>
      </c>
      <c r="H6" t="s">
        <v>9</v>
      </c>
      <c r="I6" t="n">
        <f>ROUND('밸런스 조정'!$E$3+'밸런스 조정'!$F$3*(D6-1)+'밸런스 조정'!$C$69*MAX(0,D6-3)^2,0)</f>
        <v>27</v>
      </c>
      <c r="J6" t="s">
        <v>125</v>
      </c>
      <c r="K6" s="1"/>
    </row>
    <row r="7" spans="2:11">
      <c r="B7">
        <v>1</v>
      </c>
      <c r="C7" t="s">
        <v>16</v>
      </c>
      <c r="D7">
        <v>5</v>
      </c>
      <c r="E7" t="s">
        <v>15</v>
      </c>
      <c r="F7">
        <f>'밸런스 조정'!$C$3+'밸런스 조정'!$D$3*D7</f>
        <v>20</v>
      </c>
      <c r="G7" t="s">
        <v>63</v>
      </c>
      <c r="H7" t="s">
        <v>9</v>
      </c>
      <c r="I7" t="n">
        <f>ROUND('밸런스 조정'!$E$3+'밸런스 조정'!$F$3*(D7-1)+'밸런스 조정'!$C$69*MAX(0,D7-3)^2,0)</f>
        <v>38</v>
      </c>
      <c r="J7" t="s">
        <v>125</v>
      </c>
      <c r="K7" s="1"/>
    </row>
    <row r="8" spans="2:11">
      <c r="B8">
        <v>1</v>
      </c>
      <c r="C8" t="s">
        <v>16</v>
      </c>
      <c r="D8">
        <v>6</v>
      </c>
      <c r="E8" t="s">
        <v>15</v>
      </c>
      <c r="F8">
        <f>'밸런스 조정'!$C$3+'밸런스 조정'!$D$3*D8</f>
        <v>24</v>
      </c>
      <c r="G8" t="s">
        <v>63</v>
      </c>
      <c r="H8" t="s">
        <v>9</v>
      </c>
      <c r="I8" t="n">
        <f>ROUND('밸런스 조정'!$E$3+'밸런스 조정'!$F$3*(D8-1)+'밸런스 조정'!$C$69*MAX(0,D8-3)^2,0)</f>
        <v>53</v>
      </c>
      <c r="J8" t="s">
        <v>125</v>
      </c>
      <c r="K8" s="1"/>
    </row>
    <row r="9" spans="2:11">
      <c r="B9">
        <v>1</v>
      </c>
      <c r="C9" t="s">
        <v>16</v>
      </c>
      <c r="D9">
        <v>7</v>
      </c>
      <c r="E9" t="s">
        <v>15</v>
      </c>
      <c r="F9">
        <f>'밸런스 조정'!$C$3+'밸런스 조정'!$D$3*D9</f>
        <v>28</v>
      </c>
      <c r="G9" t="s">
        <v>63</v>
      </c>
      <c r="H9" t="s">
        <v>9</v>
      </c>
      <c r="I9" t="n">
        <f>ROUND('밸런스 조정'!$E$3+'밸런스 조정'!$F$3*(D9-1)+'밸런스 조정'!$C$69*MAX(0,D9-3)^2,0)</f>
        <v>72</v>
      </c>
      <c r="J9" t="s">
        <v>125</v>
      </c>
      <c r="K9" s="1"/>
    </row>
    <row r="10" spans="2:11">
      <c r="B10">
        <v>1</v>
      </c>
      <c r="C10" t="s">
        <v>16</v>
      </c>
      <c r="D10">
        <v>8</v>
      </c>
      <c r="E10" t="s">
        <v>15</v>
      </c>
      <c r="F10">
        <f>'밸런스 조정'!$C$3+'밸런스 조정'!$D$3*D10</f>
        <v>32</v>
      </c>
      <c r="G10" t="s">
        <v>63</v>
      </c>
      <c r="H10" t="s">
        <v>9</v>
      </c>
      <c r="I10" t="n">
        <f>ROUND('밸런스 조정'!$E$3+'밸런스 조정'!$F$3*(D10-1)+'밸런스 조정'!$C$69*MAX(0,D10-3)^2,0)</f>
        <v>95</v>
      </c>
      <c r="J10" t="s">
        <v>125</v>
      </c>
      <c r="K10" s="1"/>
    </row>
    <row r="11" spans="2:11">
      <c r="B11">
        <v>1</v>
      </c>
      <c r="C11" t="s">
        <v>16</v>
      </c>
      <c r="D11">
        <v>9</v>
      </c>
      <c r="E11" t="s">
        <v>15</v>
      </c>
      <c r="F11">
        <f>'밸런스 조정'!$C$3+'밸런스 조정'!$D$3*D11</f>
        <v>36</v>
      </c>
      <c r="G11" t="s">
        <v>63</v>
      </c>
      <c r="H11" t="s">
        <v>9</v>
      </c>
      <c r="I11" t="n">
        <f>ROUND('밸런스 조정'!$E$3+'밸런스 조정'!$F$3*(D11-1)+'밸런스 조정'!$C$69*MAX(0,D11-3)^2,0)</f>
        <v>122</v>
      </c>
      <c r="J11" t="s">
        <v>125</v>
      </c>
      <c r="K11" s="1"/>
    </row>
    <row r="12" spans="2:11">
      <c r="B12">
        <v>1</v>
      </c>
      <c r="C12" t="s">
        <v>16</v>
      </c>
      <c r="D12">
        <v>10</v>
      </c>
      <c r="E12" t="s">
        <v>15</v>
      </c>
      <c r="F12">
        <f>'밸런스 조정'!$C$3+'밸런스 조정'!$D$3*D12</f>
        <v>40</v>
      </c>
      <c r="G12" t="s">
        <v>63</v>
      </c>
      <c r="H12" t="s">
        <v>9</v>
      </c>
      <c r="I12" t="n">
        <f>ROUND('밸런스 조정'!$E$3+'밸런스 조정'!$F$3*(D12-1)+'밸런스 조정'!$C$69*MAX(0,D12-3)^2,0)</f>
        <v>153</v>
      </c>
      <c r="J12" t="s">
        <v>125</v>
      </c>
    </row>
    <row r="13" spans="2:11">
      <c r="B13">
        <v>1</v>
      </c>
      <c r="C13" t="s">
        <v>16</v>
      </c>
      <c r="D13">
        <v>11</v>
      </c>
      <c r="E13" t="s">
        <v>15</v>
      </c>
      <c r="F13">
        <f>'밸런스 조정'!$C$3+'밸런스 조정'!$D$3*D13</f>
        <v>44</v>
      </c>
      <c r="G13" t="s">
        <v>63</v>
      </c>
      <c r="H13" t="s">
        <v>9</v>
      </c>
      <c r="I13" t="n">
        <f>ROUND('밸런스 조정'!$E$3+'밸런스 조정'!$F$3*(D13-1)+'밸런스 조정'!$C$69*MAX(0,D13-3)^2,0)</f>
        <v>188</v>
      </c>
      <c r="J13" t="s">
        <v>125</v>
      </c>
    </row>
    <row r="14" spans="2:11">
      <c r="B14">
        <v>1</v>
      </c>
      <c r="C14" t="s">
        <v>16</v>
      </c>
      <c r="D14">
        <v>12</v>
      </c>
      <c r="E14" t="s">
        <v>15</v>
      </c>
      <c r="F14">
        <f>'밸런스 조정'!$C$3+'밸런스 조정'!$D$3*D14</f>
        <v>48</v>
      </c>
      <c r="G14" t="s">
        <v>63</v>
      </c>
      <c r="H14" t="s">
        <v>9</v>
      </c>
      <c r="I14" t="n">
        <f>ROUND('밸런스 조정'!$E$3+'밸런스 조정'!$F$3*(D14-1)+'밸런스 조정'!$C$69*MAX(0,D14-3)^2,0)</f>
        <v>227</v>
      </c>
      <c r="J14" t="s">
        <v>125</v>
      </c>
    </row>
    <row r="15" spans="2:11">
      <c r="B15">
        <v>1</v>
      </c>
      <c r="C15" t="s">
        <v>16</v>
      </c>
      <c r="D15">
        <v>13</v>
      </c>
      <c r="E15" t="s">
        <v>15</v>
      </c>
      <c r="F15">
        <f>'밸런스 조정'!$C$3+'밸런스 조정'!$D$3*D15</f>
        <v>52</v>
      </c>
      <c r="G15" t="s">
        <v>63</v>
      </c>
      <c r="H15" t="s">
        <v>9</v>
      </c>
      <c r="I15" t="n">
        <f>ROUND('밸런스 조정'!$E$3+'밸런스 조정'!$F$3*(D15-1)+'밸런스 조정'!$C$69*MAX(0,D15-3)^2,0)</f>
        <v>270</v>
      </c>
      <c r="J15" t="s">
        <v>125</v>
      </c>
    </row>
    <row r="16" spans="2:11">
      <c r="B16">
        <v>1</v>
      </c>
      <c r="C16" t="s">
        <v>16</v>
      </c>
      <c r="D16">
        <v>14</v>
      </c>
      <c r="E16" t="s">
        <v>15</v>
      </c>
      <c r="F16">
        <f>'밸런스 조정'!$C$3+'밸런스 조정'!$D$3*D16</f>
        <v>56</v>
      </c>
      <c r="G16" t="s">
        <v>63</v>
      </c>
      <c r="H16" t="s">
        <v>9</v>
      </c>
      <c r="I16" t="n">
        <f>ROUND('밸런스 조정'!$E$3+'밸런스 조정'!$F$3*(D16-1)+'밸런스 조정'!$C$69*MAX(0,D16-3)^2,0)</f>
        <v>317</v>
      </c>
      <c r="J16" t="s">
        <v>125</v>
      </c>
    </row>
    <row r="17" spans="2:10">
      <c r="B17">
        <v>1</v>
      </c>
      <c r="C17" t="s">
        <v>16</v>
      </c>
      <c r="D17">
        <v>15</v>
      </c>
      <c r="E17" t="s">
        <v>15</v>
      </c>
      <c r="F17">
        <f>'밸런스 조정'!$C$3+'밸런스 조정'!$D$3*D17</f>
        <v>60</v>
      </c>
      <c r="G17" t="s">
        <v>63</v>
      </c>
      <c r="H17" t="s">
        <v>9</v>
      </c>
      <c r="I17" t="n">
        <f>ROUND('밸런스 조정'!$E$3+'밸런스 조정'!$F$3*(D17-1)+'밸런스 조정'!$C$69*MAX(0,D17-3)^2,0)</f>
        <v>368</v>
      </c>
      <c r="J17" t="s">
        <v>125</v>
      </c>
    </row>
    <row r="18" spans="2:10">
      <c r="B18">
        <v>1</v>
      </c>
      <c r="C18" t="s">
        <v>16</v>
      </c>
      <c r="D18">
        <v>16</v>
      </c>
      <c r="E18" t="s">
        <v>15</v>
      </c>
      <c r="F18">
        <f>'밸런스 조정'!$C$3+'밸런스 조정'!$D$3*D18</f>
        <v>64</v>
      </c>
      <c r="G18" t="s">
        <v>63</v>
      </c>
      <c r="H18" t="s">
        <v>9</v>
      </c>
      <c r="I18" t="n">
        <f>ROUND('밸런스 조정'!$E$3+'밸런스 조정'!$F$3*(D18-1)+'밸런스 조정'!$C$69*MAX(0,D18-3)^2,0)</f>
        <v>423</v>
      </c>
      <c r="J18" t="s">
        <v>125</v>
      </c>
    </row>
    <row r="19" spans="2:10">
      <c r="B19">
        <v>1</v>
      </c>
      <c r="C19" t="s">
        <v>16</v>
      </c>
      <c r="D19">
        <v>17</v>
      </c>
      <c r="E19" t="s">
        <v>15</v>
      </c>
      <c r="F19">
        <f>'밸런스 조정'!$C$3+'밸런스 조정'!$D$3*D19</f>
        <v>68</v>
      </c>
      <c r="G19" t="s">
        <v>63</v>
      </c>
      <c r="H19" t="s">
        <v>9</v>
      </c>
      <c r="I19" t="n">
        <f>ROUND('밸런스 조정'!$E$3+'밸런스 조정'!$F$3*(D19-1)+'밸런스 조정'!$C$69*MAX(0,D19-3)^2,0)</f>
        <v>482</v>
      </c>
      <c r="J19" t="s">
        <v>125</v>
      </c>
    </row>
    <row r="20" spans="2:10">
      <c r="B20">
        <v>1</v>
      </c>
      <c r="C20" t="s">
        <v>16</v>
      </c>
      <c r="D20">
        <v>18</v>
      </c>
      <c r="E20" t="s">
        <v>15</v>
      </c>
      <c r="F20">
        <f>'밸런스 조정'!$C$3+'밸런스 조정'!$D$3*D20</f>
        <v>72</v>
      </c>
      <c r="G20" t="s">
        <v>63</v>
      </c>
      <c r="H20" t="s">
        <v>9</v>
      </c>
      <c r="I20" t="n">
        <f>ROUND('밸런스 조정'!$E$3+'밸런스 조정'!$F$3*(D20-1)+'밸런스 조정'!$C$69*MAX(0,D20-3)^2,0)</f>
        <v>545</v>
      </c>
      <c r="J20" t="s">
        <v>125</v>
      </c>
    </row>
    <row r="21" spans="2:10">
      <c r="B21">
        <v>1</v>
      </c>
      <c r="C21" t="s">
        <v>16</v>
      </c>
      <c r="D21">
        <v>19</v>
      </c>
      <c r="E21" t="s">
        <v>15</v>
      </c>
      <c r="F21">
        <f>'밸런스 조정'!$C$3+'밸런스 조정'!$D$3*D21</f>
        <v>76</v>
      </c>
      <c r="G21" t="s">
        <v>63</v>
      </c>
      <c r="H21" t="s">
        <v>9</v>
      </c>
      <c r="I21" t="n">
        <f>ROUND('밸런스 조정'!$E$3+'밸런스 조정'!$F$3*(D21-1)+'밸런스 조정'!$C$69*MAX(0,D21-3)^2,0)</f>
        <v>612</v>
      </c>
      <c r="J21" t="s">
        <v>125</v>
      </c>
    </row>
    <row r="22" spans="2:10">
      <c r="B22">
        <v>1</v>
      </c>
      <c r="C22" t="s">
        <v>16</v>
      </c>
      <c r="D22">
        <v>20</v>
      </c>
      <c r="E22" t="s">
        <v>15</v>
      </c>
      <c r="F22">
        <f>'밸런스 조정'!$C$3+'밸런스 조정'!$D$3*D22</f>
        <v>80</v>
      </c>
      <c r="G22" t="s">
        <v>63</v>
      </c>
      <c r="H22" t="s">
        <v>9</v>
      </c>
      <c r="I22" t="n">
        <f>ROUND('밸런스 조정'!$E$3+'밸런스 조정'!$F$3*(D22-1)+'밸런스 조정'!$C$69*MAX(0,D22-3)^2,0)</f>
        <v>683</v>
      </c>
      <c r="J22" t="s">
        <v>125</v>
      </c>
    </row>
    <row r="23" spans="2:10">
      <c r="B23">
        <v>1</v>
      </c>
      <c r="C23" t="s">
        <v>16</v>
      </c>
      <c r="D23">
        <v>21</v>
      </c>
      <c r="E23" t="s">
        <v>15</v>
      </c>
      <c r="F23">
        <f>'밸런스 조정'!$C$3+'밸런스 조정'!$D$3*D23</f>
        <v>84</v>
      </c>
      <c r="G23" t="s">
        <v>63</v>
      </c>
      <c r="H23" t="s">
        <v>9</v>
      </c>
      <c r="I23" t="n">
        <f>ROUND('밸런스 조정'!$E$3+'밸런스 조정'!$F$3*(D23-1)+'밸런스 조정'!$C$69*MAX(0,D23-3)^2,0)</f>
        <v>758</v>
      </c>
      <c r="J23" t="s">
        <v>125</v>
      </c>
    </row>
    <row r="24" spans="2:10">
      <c r="B24">
        <v>1</v>
      </c>
      <c r="C24" t="s">
        <v>16</v>
      </c>
      <c r="D24">
        <v>22</v>
      </c>
      <c r="E24" t="s">
        <v>15</v>
      </c>
      <c r="F24">
        <f>'밸런스 조정'!$C$3+'밸런스 조정'!$D$3*D24</f>
        <v>88</v>
      </c>
      <c r="G24" t="s">
        <v>63</v>
      </c>
      <c r="H24" t="s">
        <v>9</v>
      </c>
      <c r="I24" t="n">
        <f>ROUND('밸런스 조정'!$E$3+'밸런스 조정'!$F$3*(D24-1)+'밸런스 조정'!$C$69*MAX(0,D24-3)^2,0)</f>
        <v>837</v>
      </c>
      <c r="J24" t="s">
        <v>125</v>
      </c>
    </row>
    <row r="25" spans="2:10">
      <c r="B25">
        <v>1</v>
      </c>
      <c r="C25" t="s">
        <v>16</v>
      </c>
      <c r="D25">
        <v>23</v>
      </c>
      <c r="E25" t="s">
        <v>15</v>
      </c>
      <c r="F25">
        <f>'밸런스 조정'!$C$3+'밸런스 조정'!$D$3*D25</f>
        <v>92</v>
      </c>
      <c r="G25" t="s">
        <v>63</v>
      </c>
      <c r="H25" t="s">
        <v>9</v>
      </c>
      <c r="I25" t="n">
        <f>ROUND('밸런스 조정'!$E$3+'밸런스 조정'!$F$3*(D25-1)+'밸런스 조정'!$C$69*MAX(0,D25-3)^2,0)</f>
        <v>920</v>
      </c>
      <c r="J25" t="s">
        <v>125</v>
      </c>
    </row>
    <row r="26" spans="2:10">
      <c r="B26">
        <v>1</v>
      </c>
      <c r="C26" t="s">
        <v>16</v>
      </c>
      <c r="D26">
        <v>24</v>
      </c>
      <c r="E26" t="s">
        <v>15</v>
      </c>
      <c r="F26">
        <f>'밸런스 조정'!$C$3+'밸런스 조정'!$D$3*D26</f>
        <v>96</v>
      </c>
      <c r="G26" t="s">
        <v>63</v>
      </c>
      <c r="H26" t="s">
        <v>9</v>
      </c>
      <c r="I26" t="n">
        <f>ROUND('밸런스 조정'!$E$3+'밸런스 조정'!$F$3*(D26-1)+'밸런스 조정'!$C$69*MAX(0,D26-3)^2,0)</f>
        <v>1007</v>
      </c>
      <c r="J26" t="s">
        <v>125</v>
      </c>
    </row>
    <row r="27" spans="2:10">
      <c r="B27">
        <v>1</v>
      </c>
      <c r="C27" t="s">
        <v>16</v>
      </c>
      <c r="D27">
        <v>25</v>
      </c>
      <c r="E27" t="s">
        <v>15</v>
      </c>
      <c r="F27">
        <f>'밸런스 조정'!$C$3+'밸런스 조정'!$D$3*D27</f>
        <v>100</v>
      </c>
      <c r="G27" t="s">
        <v>63</v>
      </c>
      <c r="H27" t="s">
        <v>9</v>
      </c>
      <c r="I27" t="n">
        <f>ROUND('밸런스 조정'!$E$3+'밸런스 조정'!$F$3*(D27-1)+'밸런스 조정'!$C$69*MAX(0,D27-3)^2,0)</f>
        <v>1098</v>
      </c>
      <c r="J27" t="s">
        <v>125</v>
      </c>
    </row>
    <row r="28" spans="2:10">
      <c r="B28">
        <v>1</v>
      </c>
      <c r="C28" t="s">
        <v>16</v>
      </c>
      <c r="D28">
        <v>26</v>
      </c>
      <c r="E28" t="s">
        <v>15</v>
      </c>
      <c r="F28">
        <f>'밸런스 조정'!$C$3+'밸런스 조정'!$D$3*D28</f>
        <v>104</v>
      </c>
      <c r="G28" t="s">
        <v>63</v>
      </c>
      <c r="H28" t="s">
        <v>9</v>
      </c>
      <c r="I28" t="n">
        <f>ROUND('밸런스 조정'!$E$3+'밸런스 조정'!$F$3*(D28-1)+'밸런스 조정'!$C$69*MAX(0,D28-3)^2,0)</f>
        <v>1193</v>
      </c>
      <c r="J28" t="s">
        <v>125</v>
      </c>
    </row>
    <row r="29" spans="2:10">
      <c r="B29">
        <v>1</v>
      </c>
      <c r="C29" t="s">
        <v>16</v>
      </c>
      <c r="D29">
        <v>27</v>
      </c>
      <c r="E29" t="s">
        <v>15</v>
      </c>
      <c r="F29">
        <f>'밸런스 조정'!$C$3+'밸런스 조정'!$D$3*D29</f>
        <v>108</v>
      </c>
      <c r="G29" t="s">
        <v>63</v>
      </c>
      <c r="H29" t="s">
        <v>9</v>
      </c>
      <c r="I29" t="n">
        <f>ROUND('밸런스 조정'!$E$3+'밸런스 조정'!$F$3*(D29-1)+'밸런스 조정'!$C$69*MAX(0,D29-3)^2,0)</f>
        <v>1292</v>
      </c>
      <c r="J29" t="s">
        <v>125</v>
      </c>
    </row>
    <row r="30" spans="2:10">
      <c r="B30">
        <v>1</v>
      </c>
      <c r="C30" t="s">
        <v>16</v>
      </c>
      <c r="D30">
        <v>28</v>
      </c>
      <c r="E30" t="s">
        <v>15</v>
      </c>
      <c r="F30">
        <f>'밸런스 조정'!$C$3+'밸런스 조정'!$D$3*D30</f>
        <v>112</v>
      </c>
      <c r="G30" t="s">
        <v>63</v>
      </c>
      <c r="H30" t="s">
        <v>9</v>
      </c>
      <c r="I30" t="n">
        <f>ROUND('밸런스 조정'!$E$3+'밸런스 조정'!$F$3*(D30-1)+'밸런스 조정'!$C$69*MAX(0,D30-3)^2,0)</f>
        <v>1395</v>
      </c>
      <c r="J30" t="s">
        <v>125</v>
      </c>
    </row>
    <row r="31" spans="2:10">
      <c r="B31">
        <v>1</v>
      </c>
      <c r="C31" t="s">
        <v>16</v>
      </c>
      <c r="D31">
        <v>29</v>
      </c>
      <c r="E31" t="s">
        <v>15</v>
      </c>
      <c r="F31">
        <f>'밸런스 조정'!$C$3+'밸런스 조정'!$D$3*D31</f>
        <v>116</v>
      </c>
      <c r="G31" t="s">
        <v>63</v>
      </c>
      <c r="H31" t="s">
        <v>9</v>
      </c>
      <c r="I31" t="n">
        <f>ROUND('밸런스 조정'!$E$3+'밸런스 조정'!$F$3*(D31-1)+'밸런스 조정'!$C$69*MAX(0,D31-3)^2,0)</f>
        <v>1502</v>
      </c>
      <c r="J31" t="s">
        <v>125</v>
      </c>
    </row>
    <row r="32" spans="2:10">
      <c r="B32">
        <v>1</v>
      </c>
      <c r="C32" t="s">
        <v>16</v>
      </c>
      <c r="D32">
        <v>30</v>
      </c>
      <c r="E32" t="s">
        <v>15</v>
      </c>
      <c r="F32">
        <f>'밸런스 조정'!$C$3+'밸런스 조정'!$D$3*D32</f>
        <v>120</v>
      </c>
      <c r="G32" t="s">
        <v>63</v>
      </c>
      <c r="H32" t="s">
        <v>9</v>
      </c>
      <c r="I32" t="n">
        <f>ROUND('밸런스 조정'!$E$3+'밸런스 조정'!$F$3*(D32-1)+'밸런스 조정'!$C$69*MAX(0,D32-3)^2,0)</f>
        <v>1613</v>
      </c>
      <c r="J32" t="s">
        <v>125</v>
      </c>
    </row>
    <row r="33" spans="2:10">
      <c r="B33">
        <v>1</v>
      </c>
      <c r="C33" t="s">
        <v>16</v>
      </c>
      <c r="D33">
        <v>31</v>
      </c>
      <c r="E33" t="s">
        <v>15</v>
      </c>
      <c r="F33">
        <f>'밸런스 조정'!$C$3+'밸런스 조정'!$D$3*D33</f>
        <v>124</v>
      </c>
      <c r="G33" t="s">
        <v>63</v>
      </c>
      <c r="H33" t="s">
        <v>9</v>
      </c>
      <c r="I33" t="n">
        <f>ROUND('밸런스 조정'!$E$3+'밸런스 조정'!$F$3*(D33-1)+'밸런스 조정'!$C$69*MAX(0,D33-3)^2,0)</f>
        <v>1728</v>
      </c>
      <c r="J33" t="s">
        <v>125</v>
      </c>
    </row>
    <row r="34" spans="2:10">
      <c r="B34">
        <v>1</v>
      </c>
      <c r="C34" t="s">
        <v>16</v>
      </c>
      <c r="D34">
        <v>32</v>
      </c>
      <c r="E34" t="s">
        <v>15</v>
      </c>
      <c r="F34">
        <f>'밸런스 조정'!$C$3+'밸런스 조정'!$D$3*D34</f>
        <v>128</v>
      </c>
      <c r="G34" t="s">
        <v>63</v>
      </c>
      <c r="H34" t="s">
        <v>9</v>
      </c>
      <c r="I34" t="n">
        <f>ROUND('밸런스 조정'!$E$3+'밸런스 조정'!$F$3*(D34-1)+'밸런스 조정'!$C$69*MAX(0,D34-3)^2,0)</f>
        <v>1847</v>
      </c>
      <c r="J34" t="s">
        <v>125</v>
      </c>
    </row>
    <row r="35" spans="2:10">
      <c r="B35">
        <v>1</v>
      </c>
      <c r="C35" t="s">
        <v>16</v>
      </c>
      <c r="D35">
        <v>33</v>
      </c>
      <c r="E35" t="s">
        <v>15</v>
      </c>
      <c r="F35">
        <f>'밸런스 조정'!$C$3+'밸런스 조정'!$D$3*D35</f>
        <v>132</v>
      </c>
      <c r="G35" t="s">
        <v>63</v>
      </c>
      <c r="H35" t="s">
        <v>9</v>
      </c>
      <c r="I35" t="n">
        <f>ROUND('밸런스 조정'!$E$3+'밸런스 조정'!$F$3*(D35-1)+'밸런스 조정'!$C$69*MAX(0,D35-3)^2,0)</f>
        <v>1970</v>
      </c>
      <c r="J35" t="s">
        <v>125</v>
      </c>
    </row>
    <row r="36" spans="2:10">
      <c r="B36">
        <v>1</v>
      </c>
      <c r="C36" t="s">
        <v>16</v>
      </c>
      <c r="D36">
        <v>34</v>
      </c>
      <c r="E36" t="s">
        <v>15</v>
      </c>
      <c r="F36">
        <f>'밸런스 조정'!$C$3+'밸런스 조정'!$D$3*D36</f>
        <v>136</v>
      </c>
      <c r="G36" t="s">
        <v>63</v>
      </c>
      <c r="H36" t="s">
        <v>9</v>
      </c>
      <c r="I36" t="n">
        <f>ROUND('밸런스 조정'!$E$3+'밸런스 조정'!$F$3*(D36-1)+'밸런스 조정'!$C$69*MAX(0,D36-3)^2,0)</f>
        <v>2097</v>
      </c>
      <c r="J36" t="s">
        <v>125</v>
      </c>
    </row>
    <row r="37" spans="2:10">
      <c r="B37">
        <v>1</v>
      </c>
      <c r="C37" t="s">
        <v>16</v>
      </c>
      <c r="D37">
        <v>35</v>
      </c>
      <c r="E37" t="s">
        <v>15</v>
      </c>
      <c r="F37">
        <f>'밸런스 조정'!$C$3+'밸런스 조정'!$D$3*D37</f>
        <v>140</v>
      </c>
      <c r="G37" t="s">
        <v>63</v>
      </c>
      <c r="H37" t="s">
        <v>9</v>
      </c>
      <c r="I37" t="n">
        <f>ROUND('밸런스 조정'!$E$3+'밸런스 조정'!$F$3*(D37-1)+'밸런스 조정'!$C$69*MAX(0,D37-3)^2,0)</f>
        <v>2228</v>
      </c>
      <c r="J37" t="s">
        <v>125</v>
      </c>
    </row>
    <row r="38" spans="2:10">
      <c r="B38">
        <v>1</v>
      </c>
      <c r="C38" t="s">
        <v>16</v>
      </c>
      <c r="D38">
        <v>36</v>
      </c>
      <c r="E38" t="s">
        <v>15</v>
      </c>
      <c r="F38">
        <f>'밸런스 조정'!$C$3+'밸런스 조정'!$D$3*D38</f>
        <v>144</v>
      </c>
      <c r="G38" t="s">
        <v>63</v>
      </c>
      <c r="H38" t="s">
        <v>9</v>
      </c>
      <c r="I38" t="n">
        <f>ROUND('밸런스 조정'!$E$3+'밸런스 조정'!$F$3*(D38-1)+'밸런스 조정'!$C$69*MAX(0,D38-3)^2,0)</f>
        <v>2363</v>
      </c>
      <c r="J38" t="s">
        <v>125</v>
      </c>
    </row>
    <row r="39" spans="2:10">
      <c r="B39">
        <v>1</v>
      </c>
      <c r="C39" t="s">
        <v>16</v>
      </c>
      <c r="D39">
        <v>37</v>
      </c>
      <c r="E39" t="s">
        <v>15</v>
      </c>
      <c r="F39">
        <f>'밸런스 조정'!$C$3+'밸런스 조정'!$D$3*D39</f>
        <v>148</v>
      </c>
      <c r="G39" t="s">
        <v>63</v>
      </c>
      <c r="H39" t="s">
        <v>9</v>
      </c>
      <c r="I39" t="n">
        <f>ROUND('밸런스 조정'!$E$3+'밸런스 조정'!$F$3*(D39-1)+'밸런스 조정'!$C$69*MAX(0,D39-3)^2,0)</f>
        <v>2502</v>
      </c>
      <c r="J39" t="s">
        <v>125</v>
      </c>
    </row>
    <row r="40" spans="2:10">
      <c r="B40">
        <v>1</v>
      </c>
      <c r="C40" t="s">
        <v>16</v>
      </c>
      <c r="D40">
        <v>38</v>
      </c>
      <c r="E40" t="s">
        <v>15</v>
      </c>
      <c r="F40">
        <f>'밸런스 조정'!$C$3+'밸런스 조정'!$D$3*D40</f>
        <v>152</v>
      </c>
      <c r="G40" t="s">
        <v>63</v>
      </c>
      <c r="H40" t="s">
        <v>9</v>
      </c>
      <c r="I40" t="n">
        <f>ROUND('밸런스 조정'!$E$3+'밸런스 조정'!$F$3*(D40-1)+'밸런스 조정'!$C$69*MAX(0,D40-3)^2,0)</f>
        <v>2645</v>
      </c>
      <c r="J40" t="s">
        <v>125</v>
      </c>
    </row>
    <row r="41" spans="2:10">
      <c r="B41">
        <v>1</v>
      </c>
      <c r="C41" t="s">
        <v>16</v>
      </c>
      <c r="D41">
        <v>39</v>
      </c>
      <c r="E41" t="s">
        <v>15</v>
      </c>
      <c r="F41">
        <f>'밸런스 조정'!$C$3+'밸런스 조정'!$D$3*D41</f>
        <v>156</v>
      </c>
      <c r="G41" t="s">
        <v>63</v>
      </c>
      <c r="H41" t="s">
        <v>9</v>
      </c>
      <c r="I41" t="n">
        <f>ROUND('밸런스 조정'!$E$3+'밸런스 조정'!$F$3*(D41-1)+'밸런스 조정'!$C$69*MAX(0,D41-3)^2,0)</f>
        <v>2792</v>
      </c>
      <c r="J41" t="s">
        <v>125</v>
      </c>
    </row>
    <row r="42" spans="2:10">
      <c r="B42">
        <v>1</v>
      </c>
      <c r="C42" t="s">
        <v>16</v>
      </c>
      <c r="D42">
        <v>40</v>
      </c>
      <c r="E42" t="s">
        <v>15</v>
      </c>
      <c r="F42">
        <f>'밸런스 조정'!$C$3+'밸런스 조정'!$D$3*D42</f>
        <v>160</v>
      </c>
      <c r="G42" t="s">
        <v>63</v>
      </c>
      <c r="H42" t="s">
        <v>9</v>
      </c>
      <c r="I42" t="n">
        <f>ROUND('밸런스 조정'!$E$3+'밸런스 조정'!$F$3*(D42-1)+'밸런스 조정'!$C$69*MAX(0,D42-3)^2,0)</f>
        <v>2943</v>
      </c>
      <c r="J42" t="s">
        <v>125</v>
      </c>
    </row>
    <row r="43" spans="2:10">
      <c r="B43">
        <v>1</v>
      </c>
      <c r="C43" t="s">
        <v>16</v>
      </c>
      <c r="D43">
        <v>41</v>
      </c>
      <c r="E43" t="s">
        <v>15</v>
      </c>
      <c r="F43">
        <f>'밸런스 조정'!$C$3+'밸런스 조정'!$D$3*D43</f>
        <v>164</v>
      </c>
      <c r="G43" t="s">
        <v>63</v>
      </c>
      <c r="H43" t="s">
        <v>9</v>
      </c>
      <c r="I43" t="n">
        <f>ROUND('밸런스 조정'!$E$3+'밸런스 조정'!$F$3*(D43-1)+'밸런스 조정'!$C$69*MAX(0,D43-3)^2,0)</f>
        <v>3098</v>
      </c>
      <c r="J43" t="s">
        <v>125</v>
      </c>
    </row>
    <row r="44" spans="2:10">
      <c r="B44">
        <v>1</v>
      </c>
      <c r="C44" t="s">
        <v>16</v>
      </c>
      <c r="D44">
        <v>42</v>
      </c>
      <c r="E44" t="s">
        <v>15</v>
      </c>
      <c r="F44">
        <f>'밸런스 조정'!$C$3+'밸런스 조정'!$D$3*D44</f>
        <v>168</v>
      </c>
      <c r="G44" t="s">
        <v>63</v>
      </c>
      <c r="H44" t="s">
        <v>9</v>
      </c>
      <c r="I44" t="n">
        <f>ROUND('밸런스 조정'!$E$3+'밸런스 조정'!$F$3*(D44-1)+'밸런스 조정'!$C$69*MAX(0,D44-3)^2,0)</f>
        <v>3257</v>
      </c>
      <c r="J44" t="s">
        <v>125</v>
      </c>
    </row>
    <row r="45" spans="2:10">
      <c r="B45">
        <v>1</v>
      </c>
      <c r="C45" t="s">
        <v>16</v>
      </c>
      <c r="D45">
        <v>43</v>
      </c>
      <c r="E45" t="s">
        <v>15</v>
      </c>
      <c r="F45">
        <f>'밸런스 조정'!$C$3+'밸런스 조정'!$D$3*D45</f>
        <v>172</v>
      </c>
      <c r="G45" t="s">
        <v>63</v>
      </c>
      <c r="H45" t="s">
        <v>9</v>
      </c>
      <c r="I45" t="n">
        <f>ROUND('밸런스 조정'!$E$3+'밸런스 조정'!$F$3*(D45-1)+'밸런스 조정'!$C$69*MAX(0,D45-3)^2,0)</f>
        <v>3420</v>
      </c>
      <c r="J45" t="s">
        <v>125</v>
      </c>
    </row>
    <row r="46" spans="2:10">
      <c r="B46">
        <v>1</v>
      </c>
      <c r="C46" t="s">
        <v>16</v>
      </c>
      <c r="D46">
        <v>44</v>
      </c>
      <c r="E46" t="s">
        <v>15</v>
      </c>
      <c r="F46">
        <f>'밸런스 조정'!$C$3+'밸런스 조정'!$D$3*D46</f>
        <v>176</v>
      </c>
      <c r="G46" t="s">
        <v>63</v>
      </c>
      <c r="H46" t="s">
        <v>9</v>
      </c>
      <c r="I46" t="n">
        <f>ROUND('밸런스 조정'!$E$3+'밸런스 조정'!$F$3*(D46-1)+'밸런스 조정'!$C$69*MAX(0,D46-3)^2,0)</f>
        <v>3587</v>
      </c>
      <c r="J46" t="s">
        <v>125</v>
      </c>
    </row>
    <row r="47" spans="2:10">
      <c r="B47">
        <v>1</v>
      </c>
      <c r="C47" t="s">
        <v>16</v>
      </c>
      <c r="D47">
        <v>45</v>
      </c>
      <c r="E47" t="s">
        <v>15</v>
      </c>
      <c r="F47">
        <f>'밸런스 조정'!$C$3+'밸런스 조정'!$D$3*D47</f>
        <v>180</v>
      </c>
      <c r="G47" t="s">
        <v>63</v>
      </c>
      <c r="H47" t="s">
        <v>9</v>
      </c>
      <c r="I47" t="n">
        <f>ROUND('밸런스 조정'!$E$3+'밸런스 조정'!$F$3*(D47-1)+'밸런스 조정'!$C$69*MAX(0,D47-3)^2,0)</f>
        <v>3758</v>
      </c>
      <c r="J47" t="s">
        <v>125</v>
      </c>
    </row>
    <row r="48" spans="2:10">
      <c r="B48">
        <v>1</v>
      </c>
      <c r="C48" t="s">
        <v>16</v>
      </c>
      <c r="D48">
        <v>46</v>
      </c>
      <c r="E48" t="s">
        <v>15</v>
      </c>
      <c r="F48">
        <f>'밸런스 조정'!$C$3+'밸런스 조정'!$D$3*D48</f>
        <v>184</v>
      </c>
      <c r="G48" t="s">
        <v>63</v>
      </c>
      <c r="H48" t="s">
        <v>9</v>
      </c>
      <c r="I48" t="n">
        <f>ROUND('밸런스 조정'!$E$3+'밸런스 조정'!$F$3*(D48-1)+'밸런스 조정'!$C$69*MAX(0,D48-3)^2,0)</f>
        <v>3933</v>
      </c>
      <c r="J48" t="s">
        <v>125</v>
      </c>
    </row>
    <row r="49" spans="2:10">
      <c r="B49">
        <v>1</v>
      </c>
      <c r="C49" t="s">
        <v>16</v>
      </c>
      <c r="D49">
        <v>47</v>
      </c>
      <c r="E49" t="s">
        <v>15</v>
      </c>
      <c r="F49">
        <f>'밸런스 조정'!$C$3+'밸런스 조정'!$D$3*D49</f>
        <v>188</v>
      </c>
      <c r="G49" t="s">
        <v>63</v>
      </c>
      <c r="H49" t="s">
        <v>9</v>
      </c>
      <c r="I49" t="n">
        <f>ROUND('밸런스 조정'!$E$3+'밸런스 조정'!$F$3*(D49-1)+'밸런스 조정'!$C$69*MAX(0,D49-3)^2,0)</f>
        <v>4112</v>
      </c>
      <c r="J49" t="s">
        <v>125</v>
      </c>
    </row>
    <row r="50" spans="2:10">
      <c r="B50">
        <v>1</v>
      </c>
      <c r="C50" t="s">
        <v>16</v>
      </c>
      <c r="D50">
        <v>48</v>
      </c>
      <c r="E50" t="s">
        <v>15</v>
      </c>
      <c r="F50">
        <f>'밸런스 조정'!$C$3+'밸런스 조정'!$D$3*D50</f>
        <v>192</v>
      </c>
      <c r="G50" t="s">
        <v>63</v>
      </c>
      <c r="H50" t="s">
        <v>9</v>
      </c>
      <c r="I50" t="n">
        <f>ROUND('밸런스 조정'!$E$3+'밸런스 조정'!$F$3*(D50-1)+'밸런스 조정'!$C$69*MAX(0,D50-3)^2,0)</f>
        <v>4295</v>
      </c>
      <c r="J50" t="s">
        <v>125</v>
      </c>
    </row>
    <row r="51" spans="2:10">
      <c r="B51">
        <v>1</v>
      </c>
      <c r="C51" t="s">
        <v>16</v>
      </c>
      <c r="D51">
        <v>49</v>
      </c>
      <c r="E51" t="s">
        <v>15</v>
      </c>
      <c r="F51">
        <f>'밸런스 조정'!$C$3+'밸런스 조정'!$D$3*D51</f>
        <v>196</v>
      </c>
      <c r="G51" t="s">
        <v>63</v>
      </c>
      <c r="H51" t="s">
        <v>9</v>
      </c>
      <c r="I51" t="n">
        <f>ROUND('밸런스 조정'!$E$3+'밸런스 조정'!$F$3*(D51-1)+'밸런스 조정'!$C$69*MAX(0,D51-3)^2,0)</f>
        <v>4482</v>
      </c>
      <c r="J51" t="s">
        <v>125</v>
      </c>
    </row>
    <row r="52" spans="2:10">
      <c r="B52">
        <v>1</v>
      </c>
      <c r="C52" t="s">
        <v>16</v>
      </c>
      <c r="D52">
        <v>50</v>
      </c>
      <c r="E52" t="s">
        <v>15</v>
      </c>
      <c r="F52">
        <f>'밸런스 조정'!$C$3+'밸런스 조정'!$D$3*D52</f>
        <v>200</v>
      </c>
      <c r="G52" t="s">
        <v>63</v>
      </c>
      <c r="H52" t="s">
        <v>9</v>
      </c>
      <c r="I52" t="n">
        <f>ROUND('밸런스 조정'!$E$3+'밸런스 조정'!$F$3*(D52-1)+'밸런스 조정'!$C$69*MAX(0,D52-3)^2,0)</f>
        <v>4673</v>
      </c>
      <c r="J52" t="s">
        <v>125</v>
      </c>
    </row>
    <row r="53" spans="2:10">
      <c r="B53">
        <v>1</v>
      </c>
      <c r="C53" t="s">
        <v>16</v>
      </c>
      <c r="D53">
        <v>51</v>
      </c>
      <c r="E53" t="s">
        <v>15</v>
      </c>
      <c r="F53">
        <f>'밸런스 조정'!$C$3+'밸런스 조정'!$D$3*D53</f>
        <v>204</v>
      </c>
      <c r="G53" t="s">
        <v>63</v>
      </c>
      <c r="H53" t="s">
        <v>9</v>
      </c>
      <c r="I53" t="n">
        <f>ROUND('밸런스 조정'!$E$3+'밸런스 조정'!$F$3*(D53-1)+'밸런스 조정'!$C$69*MAX(0,D53-3)^2,0)</f>
        <v>4868</v>
      </c>
      <c r="J53" t="s">
        <v>125</v>
      </c>
    </row>
    <row r="54" spans="2:10">
      <c r="B54">
        <v>1</v>
      </c>
      <c r="C54" t="s">
        <v>16</v>
      </c>
      <c r="D54">
        <v>52</v>
      </c>
      <c r="E54" t="s">
        <v>15</v>
      </c>
      <c r="F54">
        <f>'밸런스 조정'!$C$3+'밸런스 조정'!$D$3*D54</f>
        <v>208</v>
      </c>
      <c r="G54" t="s">
        <v>63</v>
      </c>
      <c r="H54" t="s">
        <v>9</v>
      </c>
      <c r="I54" t="n">
        <f>ROUND('밸런스 조정'!$E$3+'밸런스 조정'!$F$3*(D54-1)+'밸런스 조정'!$C$69*MAX(0,D54-3)^2,0)</f>
        <v>5067</v>
      </c>
      <c r="J54" t="s">
        <v>125</v>
      </c>
    </row>
    <row r="55" spans="2:10">
      <c r="B55">
        <v>1</v>
      </c>
      <c r="C55" t="s">
        <v>16</v>
      </c>
      <c r="D55">
        <v>53</v>
      </c>
      <c r="E55" t="s">
        <v>15</v>
      </c>
      <c r="F55">
        <f>'밸런스 조정'!$C$3+'밸런스 조정'!$D$3*D55</f>
        <v>212</v>
      </c>
      <c r="G55" t="s">
        <v>63</v>
      </c>
      <c r="H55" t="s">
        <v>9</v>
      </c>
      <c r="I55" t="n">
        <f>ROUND('밸런스 조정'!$E$3+'밸런스 조정'!$F$3*(D55-1)+'밸런스 조정'!$C$69*MAX(0,D55-3)^2,0)</f>
        <v>5270</v>
      </c>
      <c r="J55" t="s">
        <v>125</v>
      </c>
    </row>
    <row r="56" spans="2:10">
      <c r="B56">
        <v>1</v>
      </c>
      <c r="C56" t="s">
        <v>16</v>
      </c>
      <c r="D56">
        <v>54</v>
      </c>
      <c r="E56" t="s">
        <v>15</v>
      </c>
      <c r="F56">
        <f>'밸런스 조정'!$C$3+'밸런스 조정'!$D$3*D56</f>
        <v>216</v>
      </c>
      <c r="G56" t="s">
        <v>63</v>
      </c>
      <c r="H56" t="s">
        <v>9</v>
      </c>
      <c r="I56" t="n">
        <f>ROUND('밸런스 조정'!$E$3+'밸런스 조정'!$F$3*(D56-1)+'밸런스 조정'!$C$69*MAX(0,D56-3)^2,0)</f>
        <v>5477</v>
      </c>
      <c r="J56" t="s">
        <v>125</v>
      </c>
    </row>
    <row r="57" spans="2:10">
      <c r="B57">
        <v>1</v>
      </c>
      <c r="C57" t="s">
        <v>16</v>
      </c>
      <c r="D57">
        <v>55</v>
      </c>
      <c r="E57" t="s">
        <v>15</v>
      </c>
      <c r="F57">
        <f>'밸런스 조정'!$C$3+'밸런스 조정'!$D$3*D57</f>
        <v>220</v>
      </c>
      <c r="G57" t="s">
        <v>63</v>
      </c>
      <c r="H57" t="s">
        <v>9</v>
      </c>
      <c r="I57" t="n">
        <f>ROUND('밸런스 조정'!$E$3+'밸런스 조정'!$F$3*(D57-1)+'밸런스 조정'!$C$69*MAX(0,D57-3)^2,0)</f>
        <v>5688</v>
      </c>
      <c r="J57" t="s">
        <v>125</v>
      </c>
    </row>
    <row r="58" spans="2:10">
      <c r="B58">
        <v>1</v>
      </c>
      <c r="C58" t="s">
        <v>16</v>
      </c>
      <c r="D58">
        <v>56</v>
      </c>
      <c r="E58" t="s">
        <v>15</v>
      </c>
      <c r="F58">
        <f>'밸런스 조정'!$C$3+'밸런스 조정'!$D$3*D58</f>
        <v>224</v>
      </c>
      <c r="G58" t="s">
        <v>63</v>
      </c>
      <c r="H58" t="s">
        <v>9</v>
      </c>
      <c r="I58" t="n">
        <f>ROUND('밸런스 조정'!$E$3+'밸런스 조정'!$F$3*(D58-1)+'밸런스 조정'!$C$69*MAX(0,D58-3)^2,0)</f>
        <v>5903</v>
      </c>
      <c r="J58" t="s">
        <v>125</v>
      </c>
    </row>
    <row r="59" spans="2:10">
      <c r="B59">
        <v>1</v>
      </c>
      <c r="C59" t="s">
        <v>16</v>
      </c>
      <c r="D59">
        <v>57</v>
      </c>
      <c r="E59" t="s">
        <v>15</v>
      </c>
      <c r="F59">
        <f>'밸런스 조정'!$C$3+'밸런스 조정'!$D$3*D59</f>
        <v>228</v>
      </c>
      <c r="G59" t="s">
        <v>63</v>
      </c>
      <c r="H59" t="s">
        <v>9</v>
      </c>
      <c r="I59" t="n">
        <f>ROUND('밸런스 조정'!$E$3+'밸런스 조정'!$F$3*(D59-1)+'밸런스 조정'!$C$69*MAX(0,D59-3)^2,0)</f>
        <v>6122</v>
      </c>
      <c r="J59" t="s">
        <v>125</v>
      </c>
    </row>
    <row r="60" spans="2:10">
      <c r="B60">
        <v>1</v>
      </c>
      <c r="C60" t="s">
        <v>16</v>
      </c>
      <c r="D60">
        <v>58</v>
      </c>
      <c r="E60" t="s">
        <v>15</v>
      </c>
      <c r="F60">
        <f>'밸런스 조정'!$C$3+'밸런스 조정'!$D$3*D60</f>
        <v>232</v>
      </c>
      <c r="G60" t="s">
        <v>63</v>
      </c>
      <c r="H60" t="s">
        <v>9</v>
      </c>
      <c r="I60" t="n">
        <f>ROUND('밸런스 조정'!$E$3+'밸런스 조정'!$F$3*(D60-1)+'밸런스 조정'!$C$69*MAX(0,D60-3)^2,0)</f>
        <v>6345</v>
      </c>
      <c r="J60" t="s">
        <v>125</v>
      </c>
    </row>
    <row r="61" spans="2:10">
      <c r="B61">
        <v>1</v>
      </c>
      <c r="C61" t="s">
        <v>16</v>
      </c>
      <c r="D61">
        <v>59</v>
      </c>
      <c r="E61" t="s">
        <v>15</v>
      </c>
      <c r="F61">
        <f>'밸런스 조정'!$C$3+'밸런스 조정'!$D$3*D61</f>
        <v>236</v>
      </c>
      <c r="G61" t="s">
        <v>63</v>
      </c>
      <c r="H61" t="s">
        <v>9</v>
      </c>
      <c r="I61" t="n">
        <f>ROUND('밸런스 조정'!$E$3+'밸런스 조정'!$F$3*(D61-1)+'밸런스 조정'!$C$69*MAX(0,D61-3)^2,0)</f>
        <v>6572</v>
      </c>
      <c r="J61" t="s">
        <v>125</v>
      </c>
    </row>
    <row r="62" spans="2:10">
      <c r="B62">
        <v>1</v>
      </c>
      <c r="C62" t="s">
        <v>16</v>
      </c>
      <c r="D62">
        <v>60</v>
      </c>
      <c r="E62" t="s">
        <v>15</v>
      </c>
      <c r="F62">
        <f>'밸런스 조정'!$C$3+'밸런스 조정'!$D$3*D62</f>
        <v>240</v>
      </c>
      <c r="G62" t="s">
        <v>63</v>
      </c>
      <c r="H62" t="s">
        <v>9</v>
      </c>
      <c r="I62" t="n">
        <f>ROUND('밸런스 조정'!$E$3+'밸런스 조정'!$F$3*(D62-1)+'밸런스 조정'!$C$69*MAX(0,D62-3)^2,0)</f>
        <v>6803</v>
      </c>
      <c r="J62" t="s">
        <v>125</v>
      </c>
    </row>
    <row r="63" spans="2:10">
      <c r="B63">
        <v>2</v>
      </c>
      <c r="C63" t="s">
        <v>23</v>
      </c>
      <c r="D63">
        <v>1</v>
      </c>
      <c r="E63" t="s">
        <v>22</v>
      </c>
      <c r="F63">
        <f>'밸런스 조정'!$C$4+'밸런스 조정'!$D$4*D63+'밸런스 조정'!$C$66*D63*(D63-1)</f>
        <v>20</v>
      </c>
      <c r="G63" t="s">
        <v>63</v>
      </c>
      <c r="H63" t="s">
        <v>9</v>
      </c>
      <c r="I63" t="n">
        <f>ROUND('밸런스 조정'!$E$4+'밸런스 조정'!$F$4*(D63-1)+'밸런스 조정'!$C$69*MAX(0,D63-3)^2,0)</f>
        <v>10</v>
      </c>
      <c r="J63" t="s">
        <v>126</v>
      </c>
    </row>
    <row r="64" spans="2:10">
      <c r="B64">
        <v>2</v>
      </c>
      <c r="C64" t="s">
        <v>23</v>
      </c>
      <c r="D64">
        <v>2</v>
      </c>
      <c r="E64" t="s">
        <v>22</v>
      </c>
      <c r="F64">
        <f>'밸런스 조정'!$C$4+'밸런스 조정'!$D$4*D64+'밸런스 조정'!$C$66*D64*(D64-1)</f>
        <v>50</v>
      </c>
      <c r="G64" t="s">
        <v>63</v>
      </c>
      <c r="H64" t="s">
        <v>9</v>
      </c>
      <c r="I64" t="n">
        <f>ROUND('밸런스 조정'!$E$4+'밸런스 조정'!$F$4*(D64-1)+'밸런스 조정'!$C$69*MAX(0,D64-3)^2,0)</f>
        <v>15</v>
      </c>
      <c r="J64" t="s">
        <v>126</v>
      </c>
    </row>
    <row r="65" spans="2:10">
      <c r="B65">
        <v>2</v>
      </c>
      <c r="C65" t="s">
        <v>23</v>
      </c>
      <c r="D65">
        <v>3</v>
      </c>
      <c r="E65" t="s">
        <v>22</v>
      </c>
      <c r="F65">
        <f>'밸런스 조정'!$C$4+'밸런스 조정'!$D$4*D65+'밸런스 조정'!$C$66*D65*(D65-1)</f>
        <v>90</v>
      </c>
      <c r="G65" t="s">
        <v>63</v>
      </c>
      <c r="H65" t="s">
        <v>9</v>
      </c>
      <c r="I65" t="n">
        <f>ROUND('밸런스 조정'!$E$4+'밸런스 조정'!$F$4*(D65-1)+'밸런스 조정'!$C$69*MAX(0,D65-3)^2,0)</f>
        <v>20</v>
      </c>
      <c r="J65" t="s">
        <v>126</v>
      </c>
    </row>
    <row r="66" spans="2:10">
      <c r="B66">
        <v>2</v>
      </c>
      <c r="C66" t="s">
        <v>23</v>
      </c>
      <c r="D66">
        <v>4</v>
      </c>
      <c r="E66" t="s">
        <v>22</v>
      </c>
      <c r="F66">
        <f>'밸런스 조정'!$C$4+'밸런스 조정'!$D$4*D66+'밸런스 조정'!$C$66*D66*(D66-1)</f>
        <v>140</v>
      </c>
      <c r="G66" t="s">
        <v>63</v>
      </c>
      <c r="H66" t="s">
        <v>9</v>
      </c>
      <c r="I66" t="n">
        <f>ROUND('밸런스 조정'!$E$4+'밸런스 조정'!$F$4*(D66-1)+'밸런스 조정'!$C$69*MAX(0,D66-3)^2,0)</f>
        <v>27</v>
      </c>
      <c r="J66" t="s">
        <v>126</v>
      </c>
    </row>
    <row r="67" spans="2:10">
      <c r="B67">
        <v>2</v>
      </c>
      <c r="C67" t="s">
        <v>23</v>
      </c>
      <c r="D67">
        <v>5</v>
      </c>
      <c r="E67" t="s">
        <v>22</v>
      </c>
      <c r="F67">
        <f>'밸런스 조정'!$C$4+'밸런스 조정'!$D$4*D67+'밸런스 조정'!$C$66*D67*(D67-1)</f>
        <v>200</v>
      </c>
      <c r="G67" t="s">
        <v>63</v>
      </c>
      <c r="H67" t="s">
        <v>9</v>
      </c>
      <c r="I67" t="n">
        <f>ROUND('밸런스 조정'!$E$4+'밸런스 조정'!$F$4*(D67-1)+'밸런스 조정'!$C$69*MAX(0,D67-3)^2,0)</f>
        <v>38</v>
      </c>
      <c r="J67" t="s">
        <v>126</v>
      </c>
    </row>
    <row r="68" spans="2:10">
      <c r="B68">
        <v>2</v>
      </c>
      <c r="C68" t="s">
        <v>23</v>
      </c>
      <c r="D68">
        <v>6</v>
      </c>
      <c r="E68" t="s">
        <v>22</v>
      </c>
      <c r="F68">
        <f>'밸런스 조정'!$C$4+'밸런스 조정'!$D$4*D68+'밸런스 조정'!$C$66*D68*(D68-1)</f>
        <v>270</v>
      </c>
      <c r="G68" t="s">
        <v>63</v>
      </c>
      <c r="H68" t="s">
        <v>9</v>
      </c>
      <c r="I68" t="n">
        <f>ROUND('밸런스 조정'!$E$4+'밸런스 조정'!$F$4*(D68-1)+'밸런스 조정'!$C$69*MAX(0,D68-3)^2,0)</f>
        <v>53</v>
      </c>
      <c r="J68" t="s">
        <v>126</v>
      </c>
    </row>
    <row r="69" spans="2:10">
      <c r="B69">
        <v>2</v>
      </c>
      <c r="C69" t="s">
        <v>23</v>
      </c>
      <c r="D69">
        <v>7</v>
      </c>
      <c r="E69" t="s">
        <v>22</v>
      </c>
      <c r="F69">
        <f>'밸런스 조정'!$C$4+'밸런스 조정'!$D$4*D69+'밸런스 조정'!$C$66*D69*(D69-1)</f>
        <v>350</v>
      </c>
      <c r="G69" t="s">
        <v>63</v>
      </c>
      <c r="H69" t="s">
        <v>9</v>
      </c>
      <c r="I69" t="n">
        <f>ROUND('밸런스 조정'!$E$4+'밸런스 조정'!$F$4*(D69-1)+'밸런스 조정'!$C$69*MAX(0,D69-3)^2,0)</f>
        <v>72</v>
      </c>
      <c r="J69" t="s">
        <v>126</v>
      </c>
    </row>
    <row r="70" spans="2:10">
      <c r="B70">
        <v>2</v>
      </c>
      <c r="C70" t="s">
        <v>23</v>
      </c>
      <c r="D70">
        <v>8</v>
      </c>
      <c r="E70" t="s">
        <v>22</v>
      </c>
      <c r="F70">
        <f>'밸런스 조정'!$C$4+'밸런스 조정'!$D$4*D70+'밸런스 조정'!$C$66*D70*(D70-1)</f>
        <v>440</v>
      </c>
      <c r="G70" t="s">
        <v>63</v>
      </c>
      <c r="H70" t="s">
        <v>9</v>
      </c>
      <c r="I70" t="n">
        <f>ROUND('밸런스 조정'!$E$4+'밸런스 조정'!$F$4*(D70-1)+'밸런스 조정'!$C$69*MAX(0,D70-3)^2,0)</f>
        <v>95</v>
      </c>
      <c r="J70" t="s">
        <v>126</v>
      </c>
    </row>
    <row r="71" spans="2:10">
      <c r="B71">
        <v>2</v>
      </c>
      <c r="C71" t="s">
        <v>23</v>
      </c>
      <c r="D71">
        <v>9</v>
      </c>
      <c r="E71" t="s">
        <v>22</v>
      </c>
      <c r="F71">
        <f>'밸런스 조정'!$C$4+'밸런스 조정'!$D$4*D71+'밸런스 조정'!$C$66*D71*(D71-1)</f>
        <v>540</v>
      </c>
      <c r="G71" t="s">
        <v>63</v>
      </c>
      <c r="H71" t="s">
        <v>9</v>
      </c>
      <c r="I71" t="n">
        <f>ROUND('밸런스 조정'!$E$4+'밸런스 조정'!$F$4*(D71-1)+'밸런스 조정'!$C$69*MAX(0,D71-3)^2,0)</f>
        <v>122</v>
      </c>
      <c r="J71" t="s">
        <v>126</v>
      </c>
    </row>
    <row r="72" spans="2:10">
      <c r="B72">
        <v>2</v>
      </c>
      <c r="C72" t="s">
        <v>23</v>
      </c>
      <c r="D72">
        <v>10</v>
      </c>
      <c r="E72" t="s">
        <v>22</v>
      </c>
      <c r="F72">
        <f>'밸런스 조정'!$C$4+'밸런스 조정'!$D$4*D72+'밸런스 조정'!$C$66*D72*(D72-1)</f>
        <v>650</v>
      </c>
      <c r="G72" t="s">
        <v>63</v>
      </c>
      <c r="H72" t="s">
        <v>9</v>
      </c>
      <c r="I72" t="n">
        <f>ROUND('밸런스 조정'!$E$4+'밸런스 조정'!$F$4*(D72-1)+'밸런스 조정'!$C$69*MAX(0,D72-3)^2,0)</f>
        <v>153</v>
      </c>
      <c r="J72" t="s">
        <v>126</v>
      </c>
    </row>
    <row r="73" spans="2:10">
      <c r="B73">
        <v>2</v>
      </c>
      <c r="C73" t="s">
        <v>23</v>
      </c>
      <c r="D73">
        <v>11</v>
      </c>
      <c r="E73" t="s">
        <v>22</v>
      </c>
      <c r="F73">
        <f>'밸런스 조정'!$C$4+'밸런스 조정'!$D$4*D73+'밸런스 조정'!$C$66*D73*(D73-1)</f>
        <v>770</v>
      </c>
      <c r="G73" t="s">
        <v>63</v>
      </c>
      <c r="H73" t="s">
        <v>9</v>
      </c>
      <c r="I73" t="n">
        <f>ROUND('밸런스 조정'!$E$4+'밸런스 조정'!$F$4*(D73-1)+'밸런스 조정'!$C$69*MAX(0,D73-3)^2,0)</f>
        <v>188</v>
      </c>
      <c r="J73" t="s">
        <v>126</v>
      </c>
    </row>
    <row r="74" spans="2:10">
      <c r="B74">
        <v>2</v>
      </c>
      <c r="C74" t="s">
        <v>23</v>
      </c>
      <c r="D74">
        <v>12</v>
      </c>
      <c r="E74" t="s">
        <v>22</v>
      </c>
      <c r="F74">
        <f>'밸런스 조정'!$C$4+'밸런스 조정'!$D$4*D74+'밸런스 조정'!$C$66*D74*(D74-1)</f>
        <v>900</v>
      </c>
      <c r="G74" t="s">
        <v>63</v>
      </c>
      <c r="H74" t="s">
        <v>9</v>
      </c>
      <c r="I74" t="n">
        <f>ROUND('밸런스 조정'!$E$4+'밸런스 조정'!$F$4*(D74-1)+'밸런스 조정'!$C$69*MAX(0,D74-3)^2,0)</f>
        <v>227</v>
      </c>
      <c r="J74" t="s">
        <v>126</v>
      </c>
    </row>
    <row r="75" spans="2:10">
      <c r="B75">
        <v>2</v>
      </c>
      <c r="C75" t="s">
        <v>23</v>
      </c>
      <c r="D75">
        <v>13</v>
      </c>
      <c r="E75" t="s">
        <v>22</v>
      </c>
      <c r="F75">
        <f>'밸런스 조정'!$C$4+'밸런스 조정'!$D$4*D75+'밸런스 조정'!$C$66*D75*(D75-1)</f>
        <v>1040</v>
      </c>
      <c r="G75" t="s">
        <v>63</v>
      </c>
      <c r="H75" t="s">
        <v>9</v>
      </c>
      <c r="I75" t="n">
        <f>ROUND('밸런스 조정'!$E$4+'밸런스 조정'!$F$4*(D75-1)+'밸런스 조정'!$C$69*MAX(0,D75-3)^2,0)</f>
        <v>270</v>
      </c>
      <c r="J75" t="s">
        <v>126</v>
      </c>
    </row>
    <row r="76" spans="2:10">
      <c r="B76">
        <v>2</v>
      </c>
      <c r="C76" t="s">
        <v>23</v>
      </c>
      <c r="D76">
        <v>14</v>
      </c>
      <c r="E76" t="s">
        <v>22</v>
      </c>
      <c r="F76">
        <f>'밸런스 조정'!$C$4+'밸런스 조정'!$D$4*D76+'밸런스 조정'!$C$66*D76*(D76-1)</f>
        <v>1190</v>
      </c>
      <c r="G76" t="s">
        <v>63</v>
      </c>
      <c r="H76" t="s">
        <v>9</v>
      </c>
      <c r="I76" t="n">
        <f>ROUND('밸런스 조정'!$E$4+'밸런스 조정'!$F$4*(D76-1)+'밸런스 조정'!$C$69*MAX(0,D76-3)^2,0)</f>
        <v>317</v>
      </c>
      <c r="J76" t="s">
        <v>126</v>
      </c>
    </row>
    <row r="77" spans="2:10">
      <c r="B77">
        <v>2</v>
      </c>
      <c r="C77" t="s">
        <v>23</v>
      </c>
      <c r="D77">
        <v>15</v>
      </c>
      <c r="E77" t="s">
        <v>22</v>
      </c>
      <c r="F77">
        <f>'밸런스 조정'!$C$4+'밸런스 조정'!$D$4*D77+'밸런스 조정'!$C$66*D77*(D77-1)</f>
        <v>1350</v>
      </c>
      <c r="G77" t="s">
        <v>63</v>
      </c>
      <c r="H77" t="s">
        <v>9</v>
      </c>
      <c r="I77" t="n">
        <f>ROUND('밸런스 조정'!$E$4+'밸런스 조정'!$F$4*(D77-1)+'밸런스 조정'!$C$69*MAX(0,D77-3)^2,0)</f>
        <v>368</v>
      </c>
      <c r="J77" t="s">
        <v>126</v>
      </c>
    </row>
    <row r="78" spans="2:10">
      <c r="B78">
        <v>2</v>
      </c>
      <c r="C78" t="s">
        <v>23</v>
      </c>
      <c r="D78">
        <v>16</v>
      </c>
      <c r="E78" t="s">
        <v>22</v>
      </c>
      <c r="F78">
        <f>'밸런스 조정'!$C$4+'밸런스 조정'!$D$4*D78+'밸런스 조정'!$C$66*D78*(D78-1)</f>
        <v>1520</v>
      </c>
      <c r="G78" t="s">
        <v>63</v>
      </c>
      <c r="H78" t="s">
        <v>9</v>
      </c>
      <c r="I78" t="n">
        <f>ROUND('밸런스 조정'!$E$4+'밸런스 조정'!$F$4*(D78-1)+'밸런스 조정'!$C$69*MAX(0,D78-3)^2,0)</f>
        <v>423</v>
      </c>
      <c r="J78" t="s">
        <v>126</v>
      </c>
    </row>
    <row r="79" spans="2:10">
      <c r="B79">
        <v>2</v>
      </c>
      <c r="C79" t="s">
        <v>23</v>
      </c>
      <c r="D79">
        <v>17</v>
      </c>
      <c r="E79" t="s">
        <v>22</v>
      </c>
      <c r="F79">
        <f>'밸런스 조정'!$C$4+'밸런스 조정'!$D$4*D79+'밸런스 조정'!$C$66*D79*(D79-1)</f>
        <v>1700</v>
      </c>
      <c r="G79" t="s">
        <v>63</v>
      </c>
      <c r="H79" t="s">
        <v>9</v>
      </c>
      <c r="I79" t="n">
        <f>ROUND('밸런스 조정'!$E$4+'밸런스 조정'!$F$4*(D79-1)+'밸런스 조정'!$C$69*MAX(0,D79-3)^2,0)</f>
        <v>482</v>
      </c>
      <c r="J79" t="s">
        <v>126</v>
      </c>
    </row>
    <row r="80" spans="2:10">
      <c r="B80">
        <v>2</v>
      </c>
      <c r="C80" t="s">
        <v>23</v>
      </c>
      <c r="D80">
        <v>18</v>
      </c>
      <c r="E80" t="s">
        <v>22</v>
      </c>
      <c r="F80">
        <f>'밸런스 조정'!$C$4+'밸런스 조정'!$D$4*D80+'밸런스 조정'!$C$66*D80*(D80-1)</f>
        <v>1890</v>
      </c>
      <c r="G80" t="s">
        <v>63</v>
      </c>
      <c r="H80" t="s">
        <v>9</v>
      </c>
      <c r="I80" t="n">
        <f>ROUND('밸런스 조정'!$E$4+'밸런스 조정'!$F$4*(D80-1)+'밸런스 조정'!$C$69*MAX(0,D80-3)^2,0)</f>
        <v>545</v>
      </c>
      <c r="J80" t="s">
        <v>126</v>
      </c>
    </row>
    <row r="81" spans="2:10">
      <c r="B81">
        <v>2</v>
      </c>
      <c r="C81" t="s">
        <v>23</v>
      </c>
      <c r="D81">
        <v>19</v>
      </c>
      <c r="E81" t="s">
        <v>22</v>
      </c>
      <c r="F81">
        <f>'밸런스 조정'!$C$4+'밸런스 조정'!$D$4*D81+'밸런스 조정'!$C$66*D81*(D81-1)</f>
        <v>2090</v>
      </c>
      <c r="G81" t="s">
        <v>63</v>
      </c>
      <c r="H81" t="s">
        <v>9</v>
      </c>
      <c r="I81" t="n">
        <f>ROUND('밸런스 조정'!$E$4+'밸런스 조정'!$F$4*(D81-1)+'밸런스 조정'!$C$69*MAX(0,D81-3)^2,0)</f>
        <v>612</v>
      </c>
      <c r="J81" t="s">
        <v>126</v>
      </c>
    </row>
    <row r="82" spans="2:10">
      <c r="B82">
        <v>2</v>
      </c>
      <c r="C82" t="s">
        <v>23</v>
      </c>
      <c r="D82">
        <v>20</v>
      </c>
      <c r="E82" t="s">
        <v>22</v>
      </c>
      <c r="F82">
        <f>'밸런스 조정'!$C$4+'밸런스 조정'!$D$4*D82+'밸런스 조정'!$C$66*D82*(D82-1)</f>
        <v>2300</v>
      </c>
      <c r="G82" t="s">
        <v>63</v>
      </c>
      <c r="H82" t="s">
        <v>9</v>
      </c>
      <c r="I82" t="n">
        <f>ROUND('밸런스 조정'!$E$4+'밸런스 조정'!$F$4*(D82-1)+'밸런스 조정'!$C$69*MAX(0,D82-3)^2,0)</f>
        <v>683</v>
      </c>
      <c r="J82" t="s">
        <v>126</v>
      </c>
    </row>
    <row r="83" spans="2:10">
      <c r="B83">
        <v>2</v>
      </c>
      <c r="C83" t="s">
        <v>23</v>
      </c>
      <c r="D83">
        <v>21</v>
      </c>
      <c r="E83" t="s">
        <v>22</v>
      </c>
      <c r="F83">
        <f>'밸런스 조정'!$C$4+'밸런스 조정'!$D$4*D83+'밸런스 조정'!$C$66*D83*(D83-1)</f>
        <v>2520</v>
      </c>
      <c r="G83" t="s">
        <v>63</v>
      </c>
      <c r="H83" t="s">
        <v>9</v>
      </c>
      <c r="I83" t="n">
        <f>ROUND('밸런스 조정'!$E$4+'밸런스 조정'!$F$4*(D83-1)+'밸런스 조정'!$C$69*MAX(0,D83-3)^2,0)</f>
        <v>758</v>
      </c>
      <c r="J83" t="s">
        <v>126</v>
      </c>
    </row>
    <row r="84" spans="2:10">
      <c r="B84">
        <v>2</v>
      </c>
      <c r="C84" t="s">
        <v>23</v>
      </c>
      <c r="D84">
        <v>22</v>
      </c>
      <c r="E84" t="s">
        <v>22</v>
      </c>
      <c r="F84">
        <f>'밸런스 조정'!$C$4+'밸런스 조정'!$D$4*D84+'밸런스 조정'!$C$66*D84*(D84-1)</f>
        <v>2750</v>
      </c>
      <c r="G84" t="s">
        <v>63</v>
      </c>
      <c r="H84" t="s">
        <v>9</v>
      </c>
      <c r="I84" t="n">
        <f>ROUND('밸런스 조정'!$E$4+'밸런스 조정'!$F$4*(D84-1)+'밸런스 조정'!$C$69*MAX(0,D84-3)^2,0)</f>
        <v>837</v>
      </c>
      <c r="J84" t="s">
        <v>126</v>
      </c>
    </row>
    <row r="85" spans="2:10">
      <c r="B85">
        <v>2</v>
      </c>
      <c r="C85" t="s">
        <v>23</v>
      </c>
      <c r="D85">
        <v>23</v>
      </c>
      <c r="E85" t="s">
        <v>22</v>
      </c>
      <c r="F85">
        <f>'밸런스 조정'!$C$4+'밸런스 조정'!$D$4*D85+'밸런스 조정'!$C$66*D85*(D85-1)</f>
        <v>2990</v>
      </c>
      <c r="G85" t="s">
        <v>63</v>
      </c>
      <c r="H85" t="s">
        <v>9</v>
      </c>
      <c r="I85" t="n">
        <f>ROUND('밸런스 조정'!$E$4+'밸런스 조정'!$F$4*(D85-1)+'밸런스 조정'!$C$69*MAX(0,D85-3)^2,0)</f>
        <v>920</v>
      </c>
      <c r="J85" t="s">
        <v>126</v>
      </c>
    </row>
    <row r="86" spans="2:10">
      <c r="B86">
        <v>2</v>
      </c>
      <c r="C86" t="s">
        <v>23</v>
      </c>
      <c r="D86">
        <v>24</v>
      </c>
      <c r="E86" t="s">
        <v>22</v>
      </c>
      <c r="F86">
        <f>'밸런스 조정'!$C$4+'밸런스 조정'!$D$4*D86+'밸런스 조정'!$C$66*D86*(D86-1)</f>
        <v>3240</v>
      </c>
      <c r="G86" t="s">
        <v>63</v>
      </c>
      <c r="H86" t="s">
        <v>9</v>
      </c>
      <c r="I86" t="n">
        <f>ROUND('밸런스 조정'!$E$4+'밸런스 조정'!$F$4*(D86-1)+'밸런스 조정'!$C$69*MAX(0,D86-3)^2,0)</f>
        <v>1007</v>
      </c>
      <c r="J86" t="s">
        <v>126</v>
      </c>
    </row>
    <row r="87" spans="2:10">
      <c r="B87">
        <v>2</v>
      </c>
      <c r="C87" t="s">
        <v>23</v>
      </c>
      <c r="D87">
        <v>25</v>
      </c>
      <c r="E87" t="s">
        <v>22</v>
      </c>
      <c r="F87">
        <f>'밸런스 조정'!$C$4+'밸런스 조정'!$D$4*D87+'밸런스 조정'!$C$66*D87*(D87-1)</f>
        <v>3500</v>
      </c>
      <c r="G87" t="s">
        <v>63</v>
      </c>
      <c r="H87" t="s">
        <v>9</v>
      </c>
      <c r="I87" t="n">
        <f>ROUND('밸런스 조정'!$E$4+'밸런스 조정'!$F$4*(D87-1)+'밸런스 조정'!$C$69*MAX(0,D87-3)^2,0)</f>
        <v>1098</v>
      </c>
      <c r="J87" t="s">
        <v>126</v>
      </c>
    </row>
    <row r="88" spans="2:10">
      <c r="B88">
        <v>2</v>
      </c>
      <c r="C88" t="s">
        <v>23</v>
      </c>
      <c r="D88">
        <v>26</v>
      </c>
      <c r="E88" t="s">
        <v>22</v>
      </c>
      <c r="F88">
        <f>'밸런스 조정'!$C$4+'밸런스 조정'!$D$4*D88+'밸런스 조정'!$C$66*D88*(D88-1)</f>
        <v>3770</v>
      </c>
      <c r="G88" t="s">
        <v>63</v>
      </c>
      <c r="H88" t="s">
        <v>9</v>
      </c>
      <c r="I88" t="n">
        <f>ROUND('밸런스 조정'!$E$4+'밸런스 조정'!$F$4*(D88-1)+'밸런스 조정'!$C$69*MAX(0,D88-3)^2,0)</f>
        <v>1193</v>
      </c>
      <c r="J88" t="s">
        <v>126</v>
      </c>
    </row>
    <row r="89" spans="2:10">
      <c r="B89">
        <v>2</v>
      </c>
      <c r="C89" t="s">
        <v>23</v>
      </c>
      <c r="D89">
        <v>27</v>
      </c>
      <c r="E89" t="s">
        <v>22</v>
      </c>
      <c r="F89">
        <f>'밸런스 조정'!$C$4+'밸런스 조정'!$D$4*D89+'밸런스 조정'!$C$66*D89*(D89-1)</f>
        <v>4050</v>
      </c>
      <c r="G89" t="s">
        <v>63</v>
      </c>
      <c r="H89" t="s">
        <v>9</v>
      </c>
      <c r="I89" t="n">
        <f>ROUND('밸런스 조정'!$E$4+'밸런스 조정'!$F$4*(D89-1)+'밸런스 조정'!$C$69*MAX(0,D89-3)^2,0)</f>
        <v>1292</v>
      </c>
      <c r="J89" t="s">
        <v>126</v>
      </c>
    </row>
    <row r="90" spans="2:10">
      <c r="B90">
        <v>2</v>
      </c>
      <c r="C90" t="s">
        <v>23</v>
      </c>
      <c r="D90">
        <v>28</v>
      </c>
      <c r="E90" t="s">
        <v>22</v>
      </c>
      <c r="F90">
        <f>'밸런스 조정'!$C$4+'밸런스 조정'!$D$4*D90+'밸런스 조정'!$C$66*D90*(D90-1)</f>
        <v>4340</v>
      </c>
      <c r="G90" t="s">
        <v>63</v>
      </c>
      <c r="H90" t="s">
        <v>9</v>
      </c>
      <c r="I90" t="n">
        <f>ROUND('밸런스 조정'!$E$4+'밸런스 조정'!$F$4*(D90-1)+'밸런스 조정'!$C$69*MAX(0,D90-3)^2,0)</f>
        <v>1395</v>
      </c>
      <c r="J90" t="s">
        <v>126</v>
      </c>
    </row>
    <row r="91" spans="2:10">
      <c r="B91">
        <v>2</v>
      </c>
      <c r="C91" t="s">
        <v>23</v>
      </c>
      <c r="D91">
        <v>29</v>
      </c>
      <c r="E91" t="s">
        <v>22</v>
      </c>
      <c r="F91">
        <f>'밸런스 조정'!$C$4+'밸런스 조정'!$D$4*D91+'밸런스 조정'!$C$66*D91*(D91-1)</f>
        <v>4640</v>
      </c>
      <c r="G91" t="s">
        <v>63</v>
      </c>
      <c r="H91" t="s">
        <v>9</v>
      </c>
      <c r="I91" t="n">
        <f>ROUND('밸런스 조정'!$E$4+'밸런스 조정'!$F$4*(D91-1)+'밸런스 조정'!$C$69*MAX(0,D91-3)^2,0)</f>
        <v>1502</v>
      </c>
      <c r="J91" t="s">
        <v>126</v>
      </c>
    </row>
    <row r="92" spans="2:10">
      <c r="B92">
        <v>2</v>
      </c>
      <c r="C92" t="s">
        <v>23</v>
      </c>
      <c r="D92">
        <v>30</v>
      </c>
      <c r="E92" t="s">
        <v>22</v>
      </c>
      <c r="F92">
        <f>'밸런스 조정'!$C$4+'밸런스 조정'!$D$4*D92+'밸런스 조정'!$C$66*D92*(D92-1)</f>
        <v>4950</v>
      </c>
      <c r="G92" t="s">
        <v>63</v>
      </c>
      <c r="H92" t="s">
        <v>9</v>
      </c>
      <c r="I92" t="n">
        <f>ROUND('밸런스 조정'!$E$4+'밸런스 조정'!$F$4*(D92-1)+'밸런스 조정'!$C$69*MAX(0,D92-3)^2,0)</f>
        <v>1613</v>
      </c>
      <c r="J92" t="s">
        <v>126</v>
      </c>
    </row>
    <row r="93" spans="2:10">
      <c r="B93">
        <v>2</v>
      </c>
      <c r="C93" t="s">
        <v>23</v>
      </c>
      <c r="D93">
        <v>31</v>
      </c>
      <c r="E93" t="s">
        <v>22</v>
      </c>
      <c r="F93">
        <f>'밸런스 조정'!$C$4+'밸런스 조정'!$D$4*D93+'밸런스 조정'!$C$66*D93*(D93-1)</f>
        <v>5270</v>
      </c>
      <c r="G93" t="s">
        <v>63</v>
      </c>
      <c r="H93" t="s">
        <v>9</v>
      </c>
      <c r="I93" t="n">
        <f>ROUND('밸런스 조정'!$E$4+'밸런스 조정'!$F$4*(D93-1)+'밸런스 조정'!$C$69*MAX(0,D93-3)^2,0)</f>
        <v>1728</v>
      </c>
      <c r="J93" t="s">
        <v>126</v>
      </c>
    </row>
    <row r="94" spans="2:10">
      <c r="B94">
        <v>2</v>
      </c>
      <c r="C94" t="s">
        <v>23</v>
      </c>
      <c r="D94">
        <v>32</v>
      </c>
      <c r="E94" t="s">
        <v>22</v>
      </c>
      <c r="F94">
        <f>'밸런스 조정'!$C$4+'밸런스 조정'!$D$4*D94+'밸런스 조정'!$C$66*D94*(D94-1)</f>
        <v>5600</v>
      </c>
      <c r="G94" t="s">
        <v>63</v>
      </c>
      <c r="H94" t="s">
        <v>9</v>
      </c>
      <c r="I94" t="n">
        <f>ROUND('밸런스 조정'!$E$4+'밸런스 조정'!$F$4*(D94-1)+'밸런스 조정'!$C$69*MAX(0,D94-3)^2,0)</f>
        <v>1847</v>
      </c>
      <c r="J94" t="s">
        <v>126</v>
      </c>
    </row>
    <row r="95" spans="2:10">
      <c r="B95">
        <v>2</v>
      </c>
      <c r="C95" t="s">
        <v>23</v>
      </c>
      <c r="D95">
        <v>33</v>
      </c>
      <c r="E95" t="s">
        <v>22</v>
      </c>
      <c r="F95">
        <f>'밸런스 조정'!$C$4+'밸런스 조정'!$D$4*D95+'밸런스 조정'!$C$66*D95*(D95-1)</f>
        <v>5940</v>
      </c>
      <c r="G95" t="s">
        <v>63</v>
      </c>
      <c r="H95" t="s">
        <v>9</v>
      </c>
      <c r="I95" t="n">
        <f>ROUND('밸런스 조정'!$E$4+'밸런스 조정'!$F$4*(D95-1)+'밸런스 조정'!$C$69*MAX(0,D95-3)^2,0)</f>
        <v>1970</v>
      </c>
      <c r="J95" t="s">
        <v>126</v>
      </c>
    </row>
    <row r="96" spans="2:10">
      <c r="B96">
        <v>2</v>
      </c>
      <c r="C96" t="s">
        <v>23</v>
      </c>
      <c r="D96">
        <v>34</v>
      </c>
      <c r="E96" t="s">
        <v>22</v>
      </c>
      <c r="F96">
        <f>'밸런스 조정'!$C$4+'밸런스 조정'!$D$4*D96+'밸런스 조정'!$C$66*D96*(D96-1)</f>
        <v>6290</v>
      </c>
      <c r="G96" t="s">
        <v>63</v>
      </c>
      <c r="H96" t="s">
        <v>9</v>
      </c>
      <c r="I96" t="n">
        <f>ROUND('밸런스 조정'!$E$4+'밸런스 조정'!$F$4*(D96-1)+'밸런스 조정'!$C$69*MAX(0,D96-3)^2,0)</f>
        <v>2097</v>
      </c>
      <c r="J96" t="s">
        <v>126</v>
      </c>
    </row>
    <row r="97" spans="2:10">
      <c r="B97">
        <v>2</v>
      </c>
      <c r="C97" t="s">
        <v>23</v>
      </c>
      <c r="D97">
        <v>35</v>
      </c>
      <c r="E97" t="s">
        <v>22</v>
      </c>
      <c r="F97">
        <f>'밸런스 조정'!$C$4+'밸런스 조정'!$D$4*D97+'밸런스 조정'!$C$66*D97*(D97-1)</f>
        <v>6650</v>
      </c>
      <c r="G97" t="s">
        <v>63</v>
      </c>
      <c r="H97" t="s">
        <v>9</v>
      </c>
      <c r="I97" t="n">
        <f>ROUND('밸런스 조정'!$E$4+'밸런스 조정'!$F$4*(D97-1)+'밸런스 조정'!$C$69*MAX(0,D97-3)^2,0)</f>
        <v>2228</v>
      </c>
      <c r="J97" t="s">
        <v>126</v>
      </c>
    </row>
    <row r="98" spans="2:10">
      <c r="B98">
        <v>2</v>
      </c>
      <c r="C98" t="s">
        <v>23</v>
      </c>
      <c r="D98">
        <v>36</v>
      </c>
      <c r="E98" t="s">
        <v>22</v>
      </c>
      <c r="F98">
        <f>'밸런스 조정'!$C$4+'밸런스 조정'!$D$4*D98+'밸런스 조정'!$C$66*D98*(D98-1)</f>
        <v>7020</v>
      </c>
      <c r="G98" t="s">
        <v>63</v>
      </c>
      <c r="H98" t="s">
        <v>9</v>
      </c>
      <c r="I98" t="n">
        <f>ROUND('밸런스 조정'!$E$4+'밸런스 조정'!$F$4*(D98-1)+'밸런스 조정'!$C$69*MAX(0,D98-3)^2,0)</f>
        <v>2363</v>
      </c>
      <c r="J98" t="s">
        <v>126</v>
      </c>
    </row>
    <row r="99" spans="2:10">
      <c r="B99">
        <v>2</v>
      </c>
      <c r="C99" t="s">
        <v>23</v>
      </c>
      <c r="D99">
        <v>37</v>
      </c>
      <c r="E99" t="s">
        <v>22</v>
      </c>
      <c r="F99">
        <f>'밸런스 조정'!$C$4+'밸런스 조정'!$D$4*D99+'밸런스 조정'!$C$66*D99*(D99-1)</f>
        <v>7400</v>
      </c>
      <c r="G99" t="s">
        <v>63</v>
      </c>
      <c r="H99" t="s">
        <v>9</v>
      </c>
      <c r="I99" t="n">
        <f>ROUND('밸런스 조정'!$E$4+'밸런스 조정'!$F$4*(D99-1)+'밸런스 조정'!$C$69*MAX(0,D99-3)^2,0)</f>
        <v>2502</v>
      </c>
      <c r="J99" t="s">
        <v>126</v>
      </c>
    </row>
    <row r="100" spans="2:10">
      <c r="B100">
        <v>2</v>
      </c>
      <c r="C100" t="s">
        <v>23</v>
      </c>
      <c r="D100">
        <v>38</v>
      </c>
      <c r="E100" t="s">
        <v>22</v>
      </c>
      <c r="F100">
        <f>'밸런스 조정'!$C$4+'밸런스 조정'!$D$4*D100+'밸런스 조정'!$C$66*D100*(D100-1)</f>
        <v>7790</v>
      </c>
      <c r="G100" t="s">
        <v>63</v>
      </c>
      <c r="H100" t="s">
        <v>9</v>
      </c>
      <c r="I100" t="n">
        <f>ROUND('밸런스 조정'!$E$4+'밸런스 조정'!$F$4*(D100-1)+'밸런스 조정'!$C$69*MAX(0,D100-3)^2,0)</f>
        <v>2645</v>
      </c>
      <c r="J100" t="s">
        <v>126</v>
      </c>
    </row>
    <row r="101" spans="2:10">
      <c r="B101">
        <v>2</v>
      </c>
      <c r="C101" t="s">
        <v>23</v>
      </c>
      <c r="D101">
        <v>39</v>
      </c>
      <c r="E101" t="s">
        <v>22</v>
      </c>
      <c r="F101">
        <f>'밸런스 조정'!$C$4+'밸런스 조정'!$D$4*D101+'밸런스 조정'!$C$66*D101*(D101-1)</f>
        <v>8190</v>
      </c>
      <c r="G101" t="s">
        <v>63</v>
      </c>
      <c r="H101" t="s">
        <v>9</v>
      </c>
      <c r="I101" t="n">
        <f>ROUND('밸런스 조정'!$E$4+'밸런스 조정'!$F$4*(D101-1)+'밸런스 조정'!$C$69*MAX(0,D101-3)^2,0)</f>
        <v>2792</v>
      </c>
      <c r="J101" t="s">
        <v>126</v>
      </c>
    </row>
    <row r="102" spans="2:10">
      <c r="B102">
        <v>2</v>
      </c>
      <c r="C102" t="s">
        <v>23</v>
      </c>
      <c r="D102">
        <v>40</v>
      </c>
      <c r="E102" t="s">
        <v>22</v>
      </c>
      <c r="F102">
        <f>'밸런스 조정'!$C$4+'밸런스 조정'!$D$4*D102+'밸런스 조정'!$C$66*D102*(D102-1)</f>
        <v>8600</v>
      </c>
      <c r="G102" t="s">
        <v>63</v>
      </c>
      <c r="H102" t="s">
        <v>9</v>
      </c>
      <c r="I102" t="n">
        <f>ROUND('밸런스 조정'!$E$4+'밸런스 조정'!$F$4*(D102-1)+'밸런스 조정'!$C$69*MAX(0,D102-3)^2,0)</f>
        <v>2943</v>
      </c>
      <c r="J102" t="s">
        <v>126</v>
      </c>
    </row>
    <row r="103" spans="2:10">
      <c r="B103">
        <v>2</v>
      </c>
      <c r="C103" t="s">
        <v>23</v>
      </c>
      <c r="D103">
        <v>41</v>
      </c>
      <c r="E103" t="s">
        <v>22</v>
      </c>
      <c r="F103">
        <f>'밸런스 조정'!$C$4+'밸런스 조정'!$D$4*D103+'밸런스 조정'!$C$66*D103*(D103-1)</f>
        <v>9020</v>
      </c>
      <c r="G103" t="s">
        <v>63</v>
      </c>
      <c r="H103" t="s">
        <v>9</v>
      </c>
      <c r="I103" t="n">
        <f>ROUND('밸런스 조정'!$E$4+'밸런스 조정'!$F$4*(D103-1)+'밸런스 조정'!$C$69*MAX(0,D103-3)^2,0)</f>
        <v>3098</v>
      </c>
      <c r="J103" t="s">
        <v>126</v>
      </c>
    </row>
    <row r="104" spans="2:10">
      <c r="B104">
        <v>2</v>
      </c>
      <c r="C104" t="s">
        <v>23</v>
      </c>
      <c r="D104">
        <v>42</v>
      </c>
      <c r="E104" t="s">
        <v>22</v>
      </c>
      <c r="F104">
        <f>'밸런스 조정'!$C$4+'밸런스 조정'!$D$4*D104+'밸런스 조정'!$C$66*D104*(D104-1)</f>
        <v>9450</v>
      </c>
      <c r="G104" t="s">
        <v>63</v>
      </c>
      <c r="H104" t="s">
        <v>9</v>
      </c>
      <c r="I104" t="n">
        <f>ROUND('밸런스 조정'!$E$4+'밸런스 조정'!$F$4*(D104-1)+'밸런스 조정'!$C$69*MAX(0,D104-3)^2,0)</f>
        <v>3257</v>
      </c>
      <c r="J104" t="s">
        <v>126</v>
      </c>
    </row>
    <row r="105" spans="2:10">
      <c r="B105">
        <v>2</v>
      </c>
      <c r="C105" t="s">
        <v>23</v>
      </c>
      <c r="D105">
        <v>43</v>
      </c>
      <c r="E105" t="s">
        <v>22</v>
      </c>
      <c r="F105">
        <f>'밸런스 조정'!$C$4+'밸런스 조정'!$D$4*D105+'밸런스 조정'!$C$66*D105*(D105-1)</f>
        <v>9890</v>
      </c>
      <c r="G105" t="s">
        <v>63</v>
      </c>
      <c r="H105" t="s">
        <v>9</v>
      </c>
      <c r="I105" t="n">
        <f>ROUND('밸런스 조정'!$E$4+'밸런스 조정'!$F$4*(D105-1)+'밸런스 조정'!$C$69*MAX(0,D105-3)^2,0)</f>
        <v>3420</v>
      </c>
      <c r="J105" t="s">
        <v>126</v>
      </c>
    </row>
    <row r="106" spans="2:10">
      <c r="B106">
        <v>2</v>
      </c>
      <c r="C106" t="s">
        <v>23</v>
      </c>
      <c r="D106">
        <v>44</v>
      </c>
      <c r="E106" t="s">
        <v>22</v>
      </c>
      <c r="F106">
        <f>'밸런스 조정'!$C$4+'밸런스 조정'!$D$4*D106+'밸런스 조정'!$C$66*D106*(D106-1)</f>
        <v>10340</v>
      </c>
      <c r="G106" t="s">
        <v>63</v>
      </c>
      <c r="H106" t="s">
        <v>9</v>
      </c>
      <c r="I106" t="n">
        <f>ROUND('밸런스 조정'!$E$4+'밸런스 조정'!$F$4*(D106-1)+'밸런스 조정'!$C$69*MAX(0,D106-3)^2,0)</f>
        <v>3587</v>
      </c>
      <c r="J106" t="s">
        <v>126</v>
      </c>
    </row>
    <row r="107" spans="2:10">
      <c r="B107">
        <v>2</v>
      </c>
      <c r="C107" t="s">
        <v>23</v>
      </c>
      <c r="D107">
        <v>45</v>
      </c>
      <c r="E107" t="s">
        <v>22</v>
      </c>
      <c r="F107">
        <f>'밸런스 조정'!$C$4+'밸런스 조정'!$D$4*D107+'밸런스 조정'!$C$66*D107*(D107-1)</f>
        <v>10800</v>
      </c>
      <c r="G107" t="s">
        <v>63</v>
      </c>
      <c r="H107" t="s">
        <v>9</v>
      </c>
      <c r="I107" t="n">
        <f>ROUND('밸런스 조정'!$E$4+'밸런스 조정'!$F$4*(D107-1)+'밸런스 조정'!$C$69*MAX(0,D107-3)^2,0)</f>
        <v>3758</v>
      </c>
      <c r="J107" t="s">
        <v>126</v>
      </c>
    </row>
    <row r="108" spans="2:10">
      <c r="B108">
        <v>2</v>
      </c>
      <c r="C108" t="s">
        <v>23</v>
      </c>
      <c r="D108">
        <v>46</v>
      </c>
      <c r="E108" t="s">
        <v>22</v>
      </c>
      <c r="F108">
        <f>'밸런스 조정'!$C$4+'밸런스 조정'!$D$4*D108+'밸런스 조정'!$C$66*D108*(D108-1)</f>
        <v>11270</v>
      </c>
      <c r="G108" t="s">
        <v>63</v>
      </c>
      <c r="H108" t="s">
        <v>9</v>
      </c>
      <c r="I108" t="n">
        <f>ROUND('밸런스 조정'!$E$4+'밸런스 조정'!$F$4*(D108-1)+'밸런스 조정'!$C$69*MAX(0,D108-3)^2,0)</f>
        <v>3933</v>
      </c>
      <c r="J108" t="s">
        <v>126</v>
      </c>
    </row>
    <row r="109" spans="2:10">
      <c r="B109">
        <v>2</v>
      </c>
      <c r="C109" t="s">
        <v>23</v>
      </c>
      <c r="D109">
        <v>47</v>
      </c>
      <c r="E109" t="s">
        <v>22</v>
      </c>
      <c r="F109">
        <f>'밸런스 조정'!$C$4+'밸런스 조정'!$D$4*D109+'밸런스 조정'!$C$66*D109*(D109-1)</f>
        <v>11750</v>
      </c>
      <c r="G109" t="s">
        <v>63</v>
      </c>
      <c r="H109" t="s">
        <v>9</v>
      </c>
      <c r="I109" t="n">
        <f>ROUND('밸런스 조정'!$E$4+'밸런스 조정'!$F$4*(D109-1)+'밸런스 조정'!$C$69*MAX(0,D109-3)^2,0)</f>
        <v>4112</v>
      </c>
      <c r="J109" t="s">
        <v>126</v>
      </c>
    </row>
    <row r="110" spans="2:10">
      <c r="B110">
        <v>2</v>
      </c>
      <c r="C110" t="s">
        <v>23</v>
      </c>
      <c r="D110">
        <v>48</v>
      </c>
      <c r="E110" t="s">
        <v>22</v>
      </c>
      <c r="F110">
        <f>'밸런스 조정'!$C$4+'밸런스 조정'!$D$4*D110+'밸런스 조정'!$C$66*D110*(D110-1)</f>
        <v>12240</v>
      </c>
      <c r="G110" t="s">
        <v>63</v>
      </c>
      <c r="H110" t="s">
        <v>9</v>
      </c>
      <c r="I110" t="n">
        <f>ROUND('밸런스 조정'!$E$4+'밸런스 조정'!$F$4*(D110-1)+'밸런스 조정'!$C$69*MAX(0,D110-3)^2,0)</f>
        <v>4295</v>
      </c>
      <c r="J110" t="s">
        <v>126</v>
      </c>
    </row>
    <row r="111" spans="2:10">
      <c r="B111">
        <v>2</v>
      </c>
      <c r="C111" t="s">
        <v>23</v>
      </c>
      <c r="D111">
        <v>49</v>
      </c>
      <c r="E111" t="s">
        <v>22</v>
      </c>
      <c r="F111">
        <f>'밸런스 조정'!$C$4+'밸런스 조정'!$D$4*D111+'밸런스 조정'!$C$66*D111*(D111-1)</f>
        <v>12740</v>
      </c>
      <c r="G111" t="s">
        <v>63</v>
      </c>
      <c r="H111" t="s">
        <v>9</v>
      </c>
      <c r="I111" t="n">
        <f>ROUND('밸런스 조정'!$E$4+'밸런스 조정'!$F$4*(D111-1)+'밸런스 조정'!$C$69*MAX(0,D111-3)^2,0)</f>
        <v>4482</v>
      </c>
      <c r="J111" t="s">
        <v>126</v>
      </c>
    </row>
    <row r="112" spans="2:10">
      <c r="B112">
        <v>2</v>
      </c>
      <c r="C112" t="s">
        <v>23</v>
      </c>
      <c r="D112">
        <v>50</v>
      </c>
      <c r="E112" t="s">
        <v>22</v>
      </c>
      <c r="F112">
        <f>'밸런스 조정'!$C$4+'밸런스 조정'!$D$4*D112+'밸런스 조정'!$C$66*D112*(D112-1)</f>
        <v>13250</v>
      </c>
      <c r="G112" t="s">
        <v>63</v>
      </c>
      <c r="H112" t="s">
        <v>9</v>
      </c>
      <c r="I112" t="n">
        <f>ROUND('밸런스 조정'!$E$4+'밸런스 조정'!$F$4*(D112-1)+'밸런스 조정'!$C$69*MAX(0,D112-3)^2,0)</f>
        <v>4673</v>
      </c>
      <c r="J112" t="s">
        <v>126</v>
      </c>
    </row>
    <row r="113" spans="2:10">
      <c r="B113">
        <v>2</v>
      </c>
      <c r="C113" t="s">
        <v>23</v>
      </c>
      <c r="D113">
        <v>51</v>
      </c>
      <c r="E113" t="s">
        <v>22</v>
      </c>
      <c r="F113">
        <f>'밸런스 조정'!$C$4+'밸런스 조정'!$D$4*D113+'밸런스 조정'!$C$66*D113*(D113-1)</f>
        <v>13770</v>
      </c>
      <c r="G113" t="s">
        <v>63</v>
      </c>
      <c r="H113" t="s">
        <v>9</v>
      </c>
      <c r="I113" t="n">
        <f>ROUND('밸런스 조정'!$E$4+'밸런스 조정'!$F$4*(D113-1)+'밸런스 조정'!$C$69*MAX(0,D113-3)^2,0)</f>
        <v>4868</v>
      </c>
      <c r="J113" t="s">
        <v>126</v>
      </c>
    </row>
    <row r="114" spans="2:10">
      <c r="B114">
        <v>2</v>
      </c>
      <c r="C114" t="s">
        <v>23</v>
      </c>
      <c r="D114">
        <v>52</v>
      </c>
      <c r="E114" t="s">
        <v>22</v>
      </c>
      <c r="F114">
        <f>'밸런스 조정'!$C$4+'밸런스 조정'!$D$4*D114+'밸런스 조정'!$C$66*D114*(D114-1)</f>
        <v>14300</v>
      </c>
      <c r="G114" t="s">
        <v>63</v>
      </c>
      <c r="H114" t="s">
        <v>9</v>
      </c>
      <c r="I114" t="n">
        <f>ROUND('밸런스 조정'!$E$4+'밸런스 조정'!$F$4*(D114-1)+'밸런스 조정'!$C$69*MAX(0,D114-3)^2,0)</f>
        <v>5067</v>
      </c>
      <c r="J114" t="s">
        <v>126</v>
      </c>
    </row>
    <row r="115" spans="2:10">
      <c r="B115">
        <v>2</v>
      </c>
      <c r="C115" t="s">
        <v>23</v>
      </c>
      <c r="D115">
        <v>53</v>
      </c>
      <c r="E115" t="s">
        <v>22</v>
      </c>
      <c r="F115">
        <f>'밸런스 조정'!$C$4+'밸런스 조정'!$D$4*D115+'밸런스 조정'!$C$66*D115*(D115-1)</f>
        <v>14840</v>
      </c>
      <c r="G115" t="s">
        <v>63</v>
      </c>
      <c r="H115" t="s">
        <v>9</v>
      </c>
      <c r="I115" t="n">
        <f>ROUND('밸런스 조정'!$E$4+'밸런스 조정'!$F$4*(D115-1)+'밸런스 조정'!$C$69*MAX(0,D115-3)^2,0)</f>
        <v>5270</v>
      </c>
      <c r="J115" t="s">
        <v>126</v>
      </c>
    </row>
    <row r="116" spans="2:10">
      <c r="B116">
        <v>2</v>
      </c>
      <c r="C116" t="s">
        <v>23</v>
      </c>
      <c r="D116">
        <v>54</v>
      </c>
      <c r="E116" t="s">
        <v>22</v>
      </c>
      <c r="F116">
        <f>'밸런스 조정'!$C$4+'밸런스 조정'!$D$4*D116+'밸런스 조정'!$C$66*D116*(D116-1)</f>
        <v>15390</v>
      </c>
      <c r="G116" t="s">
        <v>63</v>
      </c>
      <c r="H116" t="s">
        <v>9</v>
      </c>
      <c r="I116" t="n">
        <f>ROUND('밸런스 조정'!$E$4+'밸런스 조정'!$F$4*(D116-1)+'밸런스 조정'!$C$69*MAX(0,D116-3)^2,0)</f>
        <v>5477</v>
      </c>
      <c r="J116" t="s">
        <v>126</v>
      </c>
    </row>
    <row r="117" spans="2:10">
      <c r="B117">
        <v>2</v>
      </c>
      <c r="C117" t="s">
        <v>23</v>
      </c>
      <c r="D117">
        <v>55</v>
      </c>
      <c r="E117" t="s">
        <v>22</v>
      </c>
      <c r="F117">
        <f>'밸런스 조정'!$C$4+'밸런스 조정'!$D$4*D117+'밸런스 조정'!$C$66*D117*(D117-1)</f>
        <v>15950</v>
      </c>
      <c r="G117" t="s">
        <v>63</v>
      </c>
      <c r="H117" t="s">
        <v>9</v>
      </c>
      <c r="I117" t="n">
        <f>ROUND('밸런스 조정'!$E$4+'밸런스 조정'!$F$4*(D117-1)+'밸런스 조정'!$C$69*MAX(0,D117-3)^2,0)</f>
        <v>5688</v>
      </c>
      <c r="J117" t="s">
        <v>126</v>
      </c>
    </row>
    <row r="118" spans="2:10">
      <c r="B118">
        <v>2</v>
      </c>
      <c r="C118" t="s">
        <v>23</v>
      </c>
      <c r="D118">
        <v>56</v>
      </c>
      <c r="E118" t="s">
        <v>22</v>
      </c>
      <c r="F118">
        <f>'밸런스 조정'!$C$4+'밸런스 조정'!$D$4*D118+'밸런스 조정'!$C$66*D118*(D118-1)</f>
        <v>16520</v>
      </c>
      <c r="G118" t="s">
        <v>63</v>
      </c>
      <c r="H118" t="s">
        <v>9</v>
      </c>
      <c r="I118" t="n">
        <f>ROUND('밸런스 조정'!$E$4+'밸런스 조정'!$F$4*(D118-1)+'밸런스 조정'!$C$69*MAX(0,D118-3)^2,0)</f>
        <v>5903</v>
      </c>
      <c r="J118" t="s">
        <v>126</v>
      </c>
    </row>
    <row r="119" spans="2:10">
      <c r="B119">
        <v>2</v>
      </c>
      <c r="C119" t="s">
        <v>23</v>
      </c>
      <c r="D119">
        <v>57</v>
      </c>
      <c r="E119" t="s">
        <v>22</v>
      </c>
      <c r="F119">
        <f>'밸런스 조정'!$C$4+'밸런스 조정'!$D$4*D119+'밸런스 조정'!$C$66*D119*(D119-1)</f>
        <v>17100</v>
      </c>
      <c r="G119" t="s">
        <v>63</v>
      </c>
      <c r="H119" t="s">
        <v>9</v>
      </c>
      <c r="I119" t="n">
        <f>ROUND('밸런스 조정'!$E$4+'밸런스 조정'!$F$4*(D119-1)+'밸런스 조정'!$C$69*MAX(0,D119-3)^2,0)</f>
        <v>6122</v>
      </c>
      <c r="J119" t="s">
        <v>126</v>
      </c>
    </row>
    <row r="120" spans="2:10">
      <c r="B120">
        <v>2</v>
      </c>
      <c r="C120" t="s">
        <v>23</v>
      </c>
      <c r="D120">
        <v>58</v>
      </c>
      <c r="E120" t="s">
        <v>22</v>
      </c>
      <c r="F120">
        <f>'밸런스 조정'!$C$4+'밸런스 조정'!$D$4*D120+'밸런스 조정'!$C$66*D120*(D120-1)</f>
        <v>17690</v>
      </c>
      <c r="G120" t="s">
        <v>63</v>
      </c>
      <c r="H120" t="s">
        <v>9</v>
      </c>
      <c r="I120" t="n">
        <f>ROUND('밸런스 조정'!$E$4+'밸런스 조정'!$F$4*(D120-1)+'밸런스 조정'!$C$69*MAX(0,D120-3)^2,0)</f>
        <v>6345</v>
      </c>
      <c r="J120" t="s">
        <v>126</v>
      </c>
    </row>
    <row r="121" spans="2:10">
      <c r="B121">
        <v>2</v>
      </c>
      <c r="C121" t="s">
        <v>23</v>
      </c>
      <c r="D121">
        <v>59</v>
      </c>
      <c r="E121" t="s">
        <v>22</v>
      </c>
      <c r="F121">
        <f>'밸런스 조정'!$C$4+'밸런스 조정'!$D$4*D121+'밸런스 조정'!$C$66*D121*(D121-1)</f>
        <v>18290</v>
      </c>
      <c r="G121" t="s">
        <v>63</v>
      </c>
      <c r="H121" t="s">
        <v>9</v>
      </c>
      <c r="I121" t="n">
        <f>ROUND('밸런스 조정'!$E$4+'밸런스 조정'!$F$4*(D121-1)+'밸런스 조정'!$C$69*MAX(0,D121-3)^2,0)</f>
        <v>6572</v>
      </c>
      <c r="J121" t="s">
        <v>126</v>
      </c>
    </row>
    <row r="122" spans="2:10">
      <c r="B122">
        <v>2</v>
      </c>
      <c r="C122" t="s">
        <v>23</v>
      </c>
      <c r="D122">
        <v>60</v>
      </c>
      <c r="E122" t="s">
        <v>22</v>
      </c>
      <c r="F122">
        <f>'밸런스 조정'!$C$4+'밸런스 조정'!$D$4*D122+'밸런스 조정'!$C$66*D122*(D122-1)</f>
        <v>18900</v>
      </c>
      <c r="G122" t="s">
        <v>63</v>
      </c>
      <c r="H122" t="s">
        <v>9</v>
      </c>
      <c r="I122" t="n">
        <f>ROUND('밸런스 조정'!$E$4+'밸런스 조정'!$F$4*(D122-1)+'밸런스 조정'!$C$69*MAX(0,D122-3)^2,0)</f>
        <v>6803</v>
      </c>
      <c r="J122" t="s">
        <v>126</v>
      </c>
    </row>
    <row r="123" spans="2:10">
      <c r="B123">
        <v>3</v>
      </c>
      <c r="C123" t="s">
        <v>19</v>
      </c>
      <c r="D123">
        <v>1</v>
      </c>
      <c r="E123" t="s">
        <v>18</v>
      </c>
      <c r="F123">
        <f>'밸런스 조정'!$C$5+'밸런스 조정'!$D$5*D123</f>
        <v>5</v>
      </c>
      <c r="G123" t="s">
        <v>49</v>
      </c>
      <c r="H123" t="s">
        <v>9</v>
      </c>
      <c r="I123">
        <f>ROUND('밸런스 조정'!$E$5+'밸런스 조정'!$F$5*(D123-1),0)</f>
        <v>45</v>
      </c>
      <c r="J123" t="s">
        <v>127</v>
      </c>
    </row>
    <row r="124" spans="2:10">
      <c r="B124">
        <v>3</v>
      </c>
      <c r="C124" t="s">
        <v>19</v>
      </c>
      <c r="D124">
        <v>2</v>
      </c>
      <c r="E124" t="s">
        <v>18</v>
      </c>
      <c r="F124">
        <f>'밸런스 조정'!$C$5+'밸런스 조정'!$D$5*D124</f>
        <v>10</v>
      </c>
      <c r="G124" t="s">
        <v>49</v>
      </c>
      <c r="H124" t="s">
        <v>9</v>
      </c>
      <c r="I124">
        <f>ROUND('밸런스 조정'!$E$5+'밸런스 조정'!$F$5*(D124-1),0)</f>
        <v>65</v>
      </c>
      <c r="J124" t="s">
        <v>127</v>
      </c>
    </row>
    <row r="125" spans="2:10">
      <c r="B125">
        <v>3</v>
      </c>
      <c r="C125" t="s">
        <v>19</v>
      </c>
      <c r="D125">
        <v>3</v>
      </c>
      <c r="E125" t="s">
        <v>18</v>
      </c>
      <c r="F125">
        <f>'밸런스 조정'!$C$5+'밸런스 조정'!$D$5*D125</f>
        <v>15</v>
      </c>
      <c r="G125" t="s">
        <v>49</v>
      </c>
      <c r="H125" t="s">
        <v>9</v>
      </c>
      <c r="I125">
        <f>ROUND('밸런스 조정'!$E$5+'밸런스 조정'!$F$5*(D125-1),0)</f>
        <v>85</v>
      </c>
      <c r="J125" t="s">
        <v>127</v>
      </c>
    </row>
    <row r="126" spans="2:10">
      <c r="B126">
        <v>3</v>
      </c>
      <c r="C126" t="s">
        <v>19</v>
      </c>
      <c r="D126">
        <v>4</v>
      </c>
      <c r="E126" t="s">
        <v>18</v>
      </c>
      <c r="F126">
        <f>'밸런스 조정'!$C$5+'밸런스 조정'!$D$5*D126</f>
        <v>20</v>
      </c>
      <c r="G126" t="s">
        <v>49</v>
      </c>
      <c r="H126" t="s">
        <v>9</v>
      </c>
      <c r="I126">
        <f>ROUND('밸런스 조정'!$E$5+'밸런스 조정'!$F$5*(D126-1),0)</f>
        <v>105</v>
      </c>
      <c r="J126" t="s">
        <v>127</v>
      </c>
    </row>
    <row r="127" spans="2:10">
      <c r="B127">
        <v>3</v>
      </c>
      <c r="C127" t="s">
        <v>19</v>
      </c>
      <c r="D127">
        <v>5</v>
      </c>
      <c r="E127" t="s">
        <v>18</v>
      </c>
      <c r="F127">
        <f>'밸런스 조정'!$C$5+'밸런스 조정'!$D$5*D127</f>
        <v>25</v>
      </c>
      <c r="G127" t="s">
        <v>49</v>
      </c>
      <c r="H127" t="s">
        <v>9</v>
      </c>
      <c r="I127">
        <f>ROUND('밸런스 조정'!$E$5+'밸런스 조정'!$F$5*(D127-1),0)</f>
        <v>125</v>
      </c>
      <c r="J127" t="s">
        <v>127</v>
      </c>
    </row>
    <row r="128" spans="2:10">
      <c r="B128">
        <v>3</v>
      </c>
      <c r="C128" t="s">
        <v>19</v>
      </c>
      <c r="D128">
        <v>6</v>
      </c>
      <c r="E128" t="s">
        <v>18</v>
      </c>
      <c r="F128">
        <f>'밸런스 조정'!$C$5+'밸런스 조정'!$D$5*D128</f>
        <v>30</v>
      </c>
      <c r="G128" t="s">
        <v>49</v>
      </c>
      <c r="H128" t="s">
        <v>9</v>
      </c>
      <c r="I128">
        <f>ROUND('밸런스 조정'!$E$5+'밸런스 조정'!$F$5*(D128-1),0)</f>
        <v>145</v>
      </c>
      <c r="J128" t="s">
        <v>127</v>
      </c>
    </row>
    <row r="129" spans="2:10">
      <c r="B129">
        <v>3</v>
      </c>
      <c r="C129" t="s">
        <v>19</v>
      </c>
      <c r="D129">
        <v>7</v>
      </c>
      <c r="E129" t="s">
        <v>18</v>
      </c>
      <c r="F129">
        <f>'밸런스 조정'!$C$5+'밸런스 조정'!$D$5*D129</f>
        <v>35</v>
      </c>
      <c r="G129" t="s">
        <v>49</v>
      </c>
      <c r="H129" t="s">
        <v>9</v>
      </c>
      <c r="I129">
        <f>ROUND('밸런스 조정'!$E$5+'밸런스 조정'!$F$5*(D129-1),0)</f>
        <v>165</v>
      </c>
      <c r="J129" t="s">
        <v>127</v>
      </c>
    </row>
    <row r="130" spans="2:10">
      <c r="B130">
        <v>3</v>
      </c>
      <c r="C130" t="s">
        <v>19</v>
      </c>
      <c r="D130">
        <v>8</v>
      </c>
      <c r="E130" t="s">
        <v>18</v>
      </c>
      <c r="F130">
        <f>'밸런스 조정'!$C$5+'밸런스 조정'!$D$5*D130</f>
        <v>40</v>
      </c>
      <c r="G130" t="s">
        <v>49</v>
      </c>
      <c r="H130" t="s">
        <v>9</v>
      </c>
      <c r="I130">
        <f>ROUND('밸런스 조정'!$E$5+'밸런스 조정'!$F$5*(D130-1),0)</f>
        <v>185</v>
      </c>
      <c r="J130" t="s">
        <v>127</v>
      </c>
    </row>
    <row r="131" spans="2:10">
      <c r="B131">
        <v>3</v>
      </c>
      <c r="C131" t="s">
        <v>19</v>
      </c>
      <c r="D131">
        <v>9</v>
      </c>
      <c r="E131" t="s">
        <v>18</v>
      </c>
      <c r="F131">
        <f>'밸런스 조정'!$C$5+'밸런스 조정'!$D$5*D131</f>
        <v>45</v>
      </c>
      <c r="G131" t="s">
        <v>49</v>
      </c>
      <c r="H131" t="s">
        <v>9</v>
      </c>
      <c r="I131">
        <f>ROUND('밸런스 조정'!$E$5+'밸런스 조정'!$F$5*(D131-1),0)</f>
        <v>205</v>
      </c>
      <c r="J131" t="s">
        <v>127</v>
      </c>
    </row>
    <row r="132" spans="2:10">
      <c r="B132">
        <v>3</v>
      </c>
      <c r="C132" t="s">
        <v>19</v>
      </c>
      <c r="D132">
        <v>10</v>
      </c>
      <c r="E132" t="s">
        <v>18</v>
      </c>
      <c r="F132">
        <f>'밸런스 조정'!$C$5+'밸런스 조정'!$D$5*D132</f>
        <v>50</v>
      </c>
      <c r="G132" t="s">
        <v>49</v>
      </c>
      <c r="H132" t="s">
        <v>9</v>
      </c>
      <c r="I132">
        <f>ROUND('밸런스 조정'!$E$5+'밸런스 조정'!$F$5*(D132-1),0)</f>
        <v>225</v>
      </c>
      <c r="J132" t="s">
        <v>127</v>
      </c>
    </row>
    <row r="133" spans="2:10">
      <c r="B133">
        <v>3</v>
      </c>
      <c r="C133" t="s">
        <v>19</v>
      </c>
      <c r="D133">
        <v>11</v>
      </c>
      <c r="E133" t="s">
        <v>18</v>
      </c>
      <c r="F133">
        <f>'밸런스 조정'!$C$5+'밸런스 조정'!$D$5*D133</f>
        <v>55</v>
      </c>
      <c r="G133" t="s">
        <v>49</v>
      </c>
      <c r="H133" t="s">
        <v>9</v>
      </c>
      <c r="I133">
        <f>ROUND('밸런스 조정'!$E$5+'밸런스 조정'!$F$5*(D133-1),0)</f>
        <v>245</v>
      </c>
      <c r="J133" t="s">
        <v>127</v>
      </c>
    </row>
    <row r="134" spans="2:10">
      <c r="B134">
        <v>3</v>
      </c>
      <c r="C134" t="s">
        <v>19</v>
      </c>
      <c r="D134">
        <v>12</v>
      </c>
      <c r="E134" t="s">
        <v>18</v>
      </c>
      <c r="F134">
        <f>'밸런스 조정'!$C$5+'밸런스 조정'!$D$5*D134</f>
        <v>60</v>
      </c>
      <c r="G134" t="s">
        <v>49</v>
      </c>
      <c r="H134" t="s">
        <v>9</v>
      </c>
      <c r="I134">
        <f>ROUND('밸런스 조정'!$E$5+'밸런스 조정'!$F$5*(D134-1),0)</f>
        <v>265</v>
      </c>
      <c r="J134" t="s">
        <v>127</v>
      </c>
    </row>
    <row r="135" spans="2:10">
      <c r="B135">
        <v>3</v>
      </c>
      <c r="C135" t="s">
        <v>19</v>
      </c>
      <c r="D135">
        <v>13</v>
      </c>
      <c r="E135" t="s">
        <v>18</v>
      </c>
      <c r="F135">
        <f>'밸런스 조정'!$C$5+'밸런스 조정'!$D$5*D135</f>
        <v>65</v>
      </c>
      <c r="G135" t="s">
        <v>49</v>
      </c>
      <c r="H135" t="s">
        <v>9</v>
      </c>
      <c r="I135">
        <f>ROUND('밸런스 조정'!$E$5+'밸런스 조정'!$F$5*(D135-1),0)</f>
        <v>285</v>
      </c>
      <c r="J135" t="s">
        <v>127</v>
      </c>
    </row>
    <row r="136" spans="2:10">
      <c r="B136">
        <v>3</v>
      </c>
      <c r="C136" t="s">
        <v>19</v>
      </c>
      <c r="D136">
        <v>14</v>
      </c>
      <c r="E136" t="s">
        <v>18</v>
      </c>
      <c r="F136">
        <f>'밸런스 조정'!$C$5+'밸런스 조정'!$D$5*D136</f>
        <v>70</v>
      </c>
      <c r="G136" t="s">
        <v>49</v>
      </c>
      <c r="H136" t="s">
        <v>9</v>
      </c>
      <c r="I136">
        <f>ROUND('밸런스 조정'!$E$5+'밸런스 조정'!$F$5*(D136-1),0)</f>
        <v>305</v>
      </c>
      <c r="J136" t="s">
        <v>127</v>
      </c>
    </row>
    <row r="137" spans="2:10">
      <c r="B137">
        <v>3</v>
      </c>
      <c r="C137" t="s">
        <v>19</v>
      </c>
      <c r="D137">
        <v>15</v>
      </c>
      <c r="E137" t="s">
        <v>18</v>
      </c>
      <c r="F137">
        <f>'밸런스 조정'!$C$5+'밸런스 조정'!$D$5*D137</f>
        <v>75</v>
      </c>
      <c r="G137" t="s">
        <v>49</v>
      </c>
      <c r="H137" t="s">
        <v>9</v>
      </c>
      <c r="I137">
        <f>ROUND('밸런스 조정'!$E$5+'밸런스 조정'!$F$5*(D137-1),0)</f>
        <v>325</v>
      </c>
      <c r="J137" t="s">
        <v>127</v>
      </c>
    </row>
    <row r="138" spans="2:10">
      <c r="B138">
        <v>3</v>
      </c>
      <c r="C138" t="s">
        <v>19</v>
      </c>
      <c r="D138">
        <v>16</v>
      </c>
      <c r="E138" t="s">
        <v>18</v>
      </c>
      <c r="F138">
        <f>'밸런스 조정'!$C$5+'밸런스 조정'!$D$5*D138</f>
        <v>80</v>
      </c>
      <c r="G138" t="s">
        <v>49</v>
      </c>
      <c r="H138" t="s">
        <v>9</v>
      </c>
      <c r="I138">
        <f>ROUND('밸런스 조정'!$E$5+'밸런스 조정'!$F$5*(D138-1),0)</f>
        <v>345</v>
      </c>
      <c r="J138" t="s">
        <v>127</v>
      </c>
    </row>
    <row r="139" spans="2:10">
      <c r="B139">
        <v>3</v>
      </c>
      <c r="C139" t="s">
        <v>19</v>
      </c>
      <c r="D139">
        <v>17</v>
      </c>
      <c r="E139" t="s">
        <v>18</v>
      </c>
      <c r="F139">
        <f>'밸런스 조정'!$C$5+'밸런스 조정'!$D$5*D139</f>
        <v>85</v>
      </c>
      <c r="G139" t="s">
        <v>49</v>
      </c>
      <c r="H139" t="s">
        <v>9</v>
      </c>
      <c r="I139">
        <f>ROUND('밸런스 조정'!$E$5+'밸런스 조정'!$F$5*(D139-1),0)</f>
        <v>365</v>
      </c>
      <c r="J139" t="s">
        <v>127</v>
      </c>
    </row>
    <row r="140" spans="2:10">
      <c r="B140">
        <v>3</v>
      </c>
      <c r="C140" t="s">
        <v>19</v>
      </c>
      <c r="D140">
        <v>18</v>
      </c>
      <c r="E140" t="s">
        <v>18</v>
      </c>
      <c r="F140">
        <f>'밸런스 조정'!$C$5+'밸런스 조정'!$D$5*D140</f>
        <v>90</v>
      </c>
      <c r="G140" t="s">
        <v>49</v>
      </c>
      <c r="H140" t="s">
        <v>9</v>
      </c>
      <c r="I140">
        <f>ROUND('밸런스 조정'!$E$5+'밸런스 조정'!$F$5*(D140-1),0)</f>
        <v>385</v>
      </c>
      <c r="J140" t="s">
        <v>127</v>
      </c>
    </row>
    <row r="141" spans="2:10">
      <c r="B141">
        <v>3</v>
      </c>
      <c r="C141" t="s">
        <v>19</v>
      </c>
      <c r="D141">
        <v>19</v>
      </c>
      <c r="E141" t="s">
        <v>18</v>
      </c>
      <c r="F141">
        <f>'밸런스 조정'!$C$5+'밸런스 조정'!$D$5*D141</f>
        <v>95</v>
      </c>
      <c r="G141" t="s">
        <v>49</v>
      </c>
      <c r="H141" t="s">
        <v>9</v>
      </c>
      <c r="I141">
        <f>ROUND('밸런스 조정'!$E$5+'밸런스 조정'!$F$5*(D141-1),0)</f>
        <v>405</v>
      </c>
      <c r="J141" t="s">
        <v>127</v>
      </c>
    </row>
    <row r="142" spans="2:10">
      <c r="B142">
        <v>3</v>
      </c>
      <c r="C142" t="s">
        <v>19</v>
      </c>
      <c r="D142">
        <v>20</v>
      </c>
      <c r="E142" t="s">
        <v>18</v>
      </c>
      <c r="F142">
        <f>'밸런스 조정'!$C$5+'밸런스 조정'!$D$5*D142</f>
        <v>100</v>
      </c>
      <c r="G142" t="s">
        <v>49</v>
      </c>
      <c r="H142" t="s">
        <v>9</v>
      </c>
      <c r="I142">
        <f>ROUND('밸런스 조정'!$E$5+'밸런스 조정'!$F$5*(D142-1),0)</f>
        <v>425</v>
      </c>
      <c r="J142" t="s">
        <v>127</v>
      </c>
    </row>
    <row r="143" spans="2:10">
      <c r="B143">
        <v>3</v>
      </c>
      <c r="C143" t="s">
        <v>19</v>
      </c>
      <c r="D143">
        <v>21</v>
      </c>
      <c r="E143" t="s">
        <v>18</v>
      </c>
      <c r="F143">
        <f>'밸런스 조정'!$C$5+'밸런스 조정'!$D$5*D143</f>
        <v>105</v>
      </c>
      <c r="G143" t="s">
        <v>49</v>
      </c>
      <c r="H143" t="s">
        <v>9</v>
      </c>
      <c r="I143">
        <f>ROUND('밸런스 조정'!$E$5+'밸런스 조정'!$F$5*(D143-1),0)</f>
        <v>445</v>
      </c>
      <c r="J143" t="s">
        <v>127</v>
      </c>
    </row>
    <row r="144" spans="2:10">
      <c r="B144">
        <v>3</v>
      </c>
      <c r="C144" t="s">
        <v>19</v>
      </c>
      <c r="D144">
        <v>22</v>
      </c>
      <c r="E144" t="s">
        <v>18</v>
      </c>
      <c r="F144">
        <f>'밸런스 조정'!$C$5+'밸런스 조정'!$D$5*D144</f>
        <v>110</v>
      </c>
      <c r="G144" t="s">
        <v>49</v>
      </c>
      <c r="H144" t="s">
        <v>9</v>
      </c>
      <c r="I144">
        <f>ROUND('밸런스 조정'!$E$5+'밸런스 조정'!$F$5*(D144-1),0)</f>
        <v>465</v>
      </c>
      <c r="J144" t="s">
        <v>127</v>
      </c>
    </row>
    <row r="145" spans="2:10">
      <c r="B145">
        <v>3</v>
      </c>
      <c r="C145" t="s">
        <v>19</v>
      </c>
      <c r="D145">
        <v>23</v>
      </c>
      <c r="E145" t="s">
        <v>18</v>
      </c>
      <c r="F145">
        <f>'밸런스 조정'!$C$5+'밸런스 조정'!$D$5*D145</f>
        <v>115</v>
      </c>
      <c r="G145" t="s">
        <v>49</v>
      </c>
      <c r="H145" t="s">
        <v>9</v>
      </c>
      <c r="I145">
        <f>ROUND('밸런스 조정'!$E$5+'밸런스 조정'!$F$5*(D145-1),0)</f>
        <v>485</v>
      </c>
      <c r="J145" t="s">
        <v>127</v>
      </c>
    </row>
    <row r="146" spans="2:10">
      <c r="B146">
        <v>3</v>
      </c>
      <c r="C146" t="s">
        <v>19</v>
      </c>
      <c r="D146">
        <v>24</v>
      </c>
      <c r="E146" t="s">
        <v>18</v>
      </c>
      <c r="F146">
        <f>'밸런스 조정'!$C$5+'밸런스 조정'!$D$5*D146</f>
        <v>120</v>
      </c>
      <c r="G146" t="s">
        <v>49</v>
      </c>
      <c r="H146" t="s">
        <v>9</v>
      </c>
      <c r="I146">
        <f>ROUND('밸런스 조정'!$E$5+'밸런스 조정'!$F$5*(D146-1),0)</f>
        <v>505</v>
      </c>
      <c r="J146" t="s">
        <v>127</v>
      </c>
    </row>
    <row r="147" spans="2:10">
      <c r="B147">
        <v>3</v>
      </c>
      <c r="C147" t="s">
        <v>19</v>
      </c>
      <c r="D147">
        <v>25</v>
      </c>
      <c r="E147" t="s">
        <v>18</v>
      </c>
      <c r="F147">
        <f>'밸런스 조정'!$C$5+'밸런스 조정'!$D$5*D147</f>
        <v>125</v>
      </c>
      <c r="G147" t="s">
        <v>49</v>
      </c>
      <c r="H147" t="s">
        <v>9</v>
      </c>
      <c r="I147">
        <f>ROUND('밸런스 조정'!$E$5+'밸런스 조정'!$F$5*(D147-1),0)</f>
        <v>525</v>
      </c>
      <c r="J147" t="s">
        <v>127</v>
      </c>
    </row>
    <row r="148" spans="2:10">
      <c r="B148">
        <v>3</v>
      </c>
      <c r="C148" t="s">
        <v>19</v>
      </c>
      <c r="D148">
        <v>26</v>
      </c>
      <c r="E148" t="s">
        <v>18</v>
      </c>
      <c r="F148">
        <f>'밸런스 조정'!$C$5+'밸런스 조정'!$D$5*D148</f>
        <v>130</v>
      </c>
      <c r="G148" t="s">
        <v>49</v>
      </c>
      <c r="H148" t="s">
        <v>9</v>
      </c>
      <c r="I148">
        <f>ROUND('밸런스 조정'!$E$5+'밸런스 조정'!$F$5*(D148-1),0)</f>
        <v>545</v>
      </c>
      <c r="J148" t="s">
        <v>127</v>
      </c>
    </row>
    <row r="149" spans="2:10">
      <c r="B149">
        <v>3</v>
      </c>
      <c r="C149" t="s">
        <v>19</v>
      </c>
      <c r="D149">
        <v>27</v>
      </c>
      <c r="E149" t="s">
        <v>18</v>
      </c>
      <c r="F149">
        <f>'밸런스 조정'!$C$5+'밸런스 조정'!$D$5*D149</f>
        <v>135</v>
      </c>
      <c r="G149" t="s">
        <v>49</v>
      </c>
      <c r="H149" t="s">
        <v>9</v>
      </c>
      <c r="I149">
        <f>ROUND('밸런스 조정'!$E$5+'밸런스 조정'!$F$5*(D149-1),0)</f>
        <v>565</v>
      </c>
      <c r="J149" t="s">
        <v>127</v>
      </c>
    </row>
    <row r="150" spans="2:10">
      <c r="B150">
        <v>3</v>
      </c>
      <c r="C150" t="s">
        <v>19</v>
      </c>
      <c r="D150">
        <v>28</v>
      </c>
      <c r="E150" t="s">
        <v>18</v>
      </c>
      <c r="F150">
        <f>'밸런스 조정'!$C$5+'밸런스 조정'!$D$5*D150</f>
        <v>140</v>
      </c>
      <c r="G150" t="s">
        <v>49</v>
      </c>
      <c r="H150" t="s">
        <v>9</v>
      </c>
      <c r="I150">
        <f>ROUND('밸런스 조정'!$E$5+'밸런스 조정'!$F$5*(D150-1),0)</f>
        <v>585</v>
      </c>
      <c r="J150" t="s">
        <v>127</v>
      </c>
    </row>
    <row r="151" spans="2:10">
      <c r="B151">
        <v>3</v>
      </c>
      <c r="C151" t="s">
        <v>19</v>
      </c>
      <c r="D151">
        <v>29</v>
      </c>
      <c r="E151" t="s">
        <v>18</v>
      </c>
      <c r="F151">
        <f>'밸런스 조정'!$C$5+'밸런스 조정'!$D$5*D151</f>
        <v>145</v>
      </c>
      <c r="G151" t="s">
        <v>49</v>
      </c>
      <c r="H151" t="s">
        <v>9</v>
      </c>
      <c r="I151">
        <f>ROUND('밸런스 조정'!$E$5+'밸런스 조정'!$F$5*(D151-1),0)</f>
        <v>605</v>
      </c>
      <c r="J151" t="s">
        <v>127</v>
      </c>
    </row>
    <row r="152" spans="2:10">
      <c r="B152">
        <v>3</v>
      </c>
      <c r="C152" t="s">
        <v>19</v>
      </c>
      <c r="D152">
        <v>30</v>
      </c>
      <c r="E152" t="s">
        <v>18</v>
      </c>
      <c r="F152">
        <f>'밸런스 조정'!$C$5+'밸런스 조정'!$D$5*D152</f>
        <v>150</v>
      </c>
      <c r="G152" t="s">
        <v>49</v>
      </c>
      <c r="H152" t="s">
        <v>9</v>
      </c>
      <c r="I152">
        <f>ROUND('밸런스 조정'!$E$5+'밸런스 조정'!$F$5*(D152-1),0)</f>
        <v>625</v>
      </c>
      <c r="J152" t="s">
        <v>127</v>
      </c>
    </row>
    <row r="153" spans="2:10">
      <c r="B153">
        <v>4</v>
      </c>
      <c r="C153" t="s">
        <v>128</v>
      </c>
      <c r="D153">
        <v>1</v>
      </c>
      <c r="E153" t="s">
        <v>129</v>
      </c>
      <c r="F153">
        <f>'밸런스 조정'!$C$6+'밸런스 조정'!$D$6*D153</f>
        <v>4</v>
      </c>
      <c r="G153" t="s">
        <v>49</v>
      </c>
      <c r="H153" t="s">
        <v>9</v>
      </c>
      <c r="I153">
        <f>ROUND('밸런스 조정'!$E$6+'밸런스 조정'!$F$6*(D153-1),0)</f>
        <v>40</v>
      </c>
      <c r="J153" t="s">
        <v>130</v>
      </c>
    </row>
    <row r="154" spans="2:10">
      <c r="B154">
        <v>4</v>
      </c>
      <c r="C154" t="s">
        <v>128</v>
      </c>
      <c r="D154">
        <v>2</v>
      </c>
      <c r="E154" t="s">
        <v>129</v>
      </c>
      <c r="F154">
        <f>'밸런스 조정'!$C$6+'밸런스 조정'!$D$6*D154</f>
        <v>8</v>
      </c>
      <c r="G154" t="s">
        <v>49</v>
      </c>
      <c r="H154" t="s">
        <v>9</v>
      </c>
      <c r="I154">
        <f>ROUND('밸런스 조정'!$E$6+'밸런스 조정'!$F$6*(D154-1),0)</f>
        <v>56</v>
      </c>
      <c r="J154" t="s">
        <v>130</v>
      </c>
    </row>
    <row r="155" spans="2:10">
      <c r="B155">
        <v>4</v>
      </c>
      <c r="C155" t="s">
        <v>128</v>
      </c>
      <c r="D155">
        <v>3</v>
      </c>
      <c r="E155" t="s">
        <v>129</v>
      </c>
      <c r="F155">
        <f>'밸런스 조정'!$C$6+'밸런스 조정'!$D$6*D155</f>
        <v>12</v>
      </c>
      <c r="G155" t="s">
        <v>49</v>
      </c>
      <c r="H155" t="s">
        <v>9</v>
      </c>
      <c r="I155">
        <f>ROUND('밸런스 조정'!$E$6+'밸런스 조정'!$F$6*(D155-1),0)</f>
        <v>72</v>
      </c>
      <c r="J155" t="s">
        <v>130</v>
      </c>
    </row>
    <row r="156" spans="2:10">
      <c r="B156">
        <v>4</v>
      </c>
      <c r="C156" t="s">
        <v>128</v>
      </c>
      <c r="D156">
        <v>4</v>
      </c>
      <c r="E156" t="s">
        <v>129</v>
      </c>
      <c r="F156">
        <f>'밸런스 조정'!$C$6+'밸런스 조정'!$D$6*D156</f>
        <v>16</v>
      </c>
      <c r="G156" t="s">
        <v>49</v>
      </c>
      <c r="H156" t="s">
        <v>9</v>
      </c>
      <c r="I156">
        <f>ROUND('밸런스 조정'!$E$6+'밸런스 조정'!$F$6*(D156-1),0)</f>
        <v>88</v>
      </c>
      <c r="J156" t="s">
        <v>130</v>
      </c>
    </row>
    <row r="157" spans="2:10">
      <c r="B157">
        <v>4</v>
      </c>
      <c r="C157" t="s">
        <v>128</v>
      </c>
      <c r="D157">
        <v>5</v>
      </c>
      <c r="E157" t="s">
        <v>129</v>
      </c>
      <c r="F157">
        <f>'밸런스 조정'!$C$6+'밸런스 조정'!$D$6*D157</f>
        <v>20</v>
      </c>
      <c r="G157" t="s">
        <v>49</v>
      </c>
      <c r="H157" t="s">
        <v>9</v>
      </c>
      <c r="I157">
        <f>ROUND('밸런스 조정'!$E$6+'밸런스 조정'!$F$6*(D157-1),0)</f>
        <v>104</v>
      </c>
      <c r="J157" t="s">
        <v>130</v>
      </c>
    </row>
    <row r="158" spans="2:10">
      <c r="B158">
        <v>4</v>
      </c>
      <c r="C158" t="s">
        <v>128</v>
      </c>
      <c r="D158">
        <v>6</v>
      </c>
      <c r="E158" t="s">
        <v>129</v>
      </c>
      <c r="F158">
        <f>'밸런스 조정'!$C$6+'밸런스 조정'!$D$6*D158</f>
        <v>24</v>
      </c>
      <c r="G158" t="s">
        <v>49</v>
      </c>
      <c r="H158" t="s">
        <v>9</v>
      </c>
      <c r="I158">
        <f>ROUND('밸런스 조정'!$E$6+'밸런스 조정'!$F$6*(D158-1),0)</f>
        <v>120</v>
      </c>
      <c r="J158" t="s">
        <v>130</v>
      </c>
    </row>
    <row r="159" spans="2:10">
      <c r="B159">
        <v>4</v>
      </c>
      <c r="C159" t="s">
        <v>128</v>
      </c>
      <c r="D159">
        <v>7</v>
      </c>
      <c r="E159" t="s">
        <v>129</v>
      </c>
      <c r="F159">
        <f>'밸런스 조정'!$C$6+'밸런스 조정'!$D$6*D159</f>
        <v>28</v>
      </c>
      <c r="G159" t="s">
        <v>49</v>
      </c>
      <c r="H159" t="s">
        <v>9</v>
      </c>
      <c r="I159">
        <f>ROUND('밸런스 조정'!$E$6+'밸런스 조정'!$F$6*(D159-1),0)</f>
        <v>136</v>
      </c>
      <c r="J159" t="s">
        <v>130</v>
      </c>
    </row>
    <row r="160" spans="2:10">
      <c r="B160">
        <v>4</v>
      </c>
      <c r="C160" t="s">
        <v>128</v>
      </c>
      <c r="D160">
        <v>8</v>
      </c>
      <c r="E160" t="s">
        <v>129</v>
      </c>
      <c r="F160">
        <f>'밸런스 조정'!$C$6+'밸런스 조정'!$D$6*D160</f>
        <v>32</v>
      </c>
      <c r="G160" t="s">
        <v>49</v>
      </c>
      <c r="H160" t="s">
        <v>9</v>
      </c>
      <c r="I160">
        <f>ROUND('밸런스 조정'!$E$6+'밸런스 조정'!$F$6*(D160-1),0)</f>
        <v>152</v>
      </c>
      <c r="J160" t="s">
        <v>130</v>
      </c>
    </row>
    <row r="161" spans="2:10">
      <c r="B161">
        <v>4</v>
      </c>
      <c r="C161" t="s">
        <v>128</v>
      </c>
      <c r="D161">
        <v>9</v>
      </c>
      <c r="E161" t="s">
        <v>129</v>
      </c>
      <c r="F161">
        <f>'밸런스 조정'!$C$6+'밸런스 조정'!$D$6*D161</f>
        <v>36</v>
      </c>
      <c r="G161" t="s">
        <v>49</v>
      </c>
      <c r="H161" t="s">
        <v>9</v>
      </c>
      <c r="I161">
        <f>ROUND('밸런스 조정'!$E$6+'밸런스 조정'!$F$6*(D161-1),0)</f>
        <v>168</v>
      </c>
      <c r="J161" t="s">
        <v>130</v>
      </c>
    </row>
    <row r="162" spans="2:10">
      <c r="B162">
        <v>4</v>
      </c>
      <c r="C162" t="s">
        <v>128</v>
      </c>
      <c r="D162">
        <v>10</v>
      </c>
      <c r="E162" t="s">
        <v>129</v>
      </c>
      <c r="F162">
        <f>'밸런스 조정'!$C$6+'밸런스 조정'!$D$6*D162</f>
        <v>40</v>
      </c>
      <c r="G162" t="s">
        <v>49</v>
      </c>
      <c r="H162" t="s">
        <v>9</v>
      </c>
      <c r="I162">
        <f>ROUND('밸런스 조정'!$E$6+'밸런스 조정'!$F$6*(D162-1),0)</f>
        <v>184</v>
      </c>
      <c r="J162" t="s">
        <v>130</v>
      </c>
    </row>
    <row r="163" spans="2:10">
      <c r="B163">
        <v>4</v>
      </c>
      <c r="C163" t="s">
        <v>128</v>
      </c>
      <c r="D163">
        <v>11</v>
      </c>
      <c r="E163" t="s">
        <v>129</v>
      </c>
      <c r="F163">
        <f>'밸런스 조정'!$C$6+'밸런스 조정'!$D$6*D163</f>
        <v>44</v>
      </c>
      <c r="G163" t="s">
        <v>49</v>
      </c>
      <c r="H163" t="s">
        <v>9</v>
      </c>
      <c r="I163">
        <f>ROUND('밸런스 조정'!$E$6+'밸런스 조정'!$F$6*(D163-1),0)</f>
        <v>200</v>
      </c>
      <c r="J163" t="s">
        <v>130</v>
      </c>
    </row>
    <row r="164" spans="2:10">
      <c r="B164">
        <v>4</v>
      </c>
      <c r="C164" t="s">
        <v>128</v>
      </c>
      <c r="D164">
        <v>12</v>
      </c>
      <c r="E164" t="s">
        <v>129</v>
      </c>
      <c r="F164">
        <f>'밸런스 조정'!$C$6+'밸런스 조정'!$D$6*D164</f>
        <v>48</v>
      </c>
      <c r="G164" t="s">
        <v>49</v>
      </c>
      <c r="H164" t="s">
        <v>9</v>
      </c>
      <c r="I164">
        <f>ROUND('밸런스 조정'!$E$6+'밸런스 조정'!$F$6*(D164-1),0)</f>
        <v>216</v>
      </c>
      <c r="J164" t="s">
        <v>130</v>
      </c>
    </row>
    <row r="165" spans="2:10">
      <c r="B165">
        <v>4</v>
      </c>
      <c r="C165" t="s">
        <v>128</v>
      </c>
      <c r="D165">
        <v>13</v>
      </c>
      <c r="E165" t="s">
        <v>129</v>
      </c>
      <c r="F165">
        <f>'밸런스 조정'!$C$6+'밸런스 조정'!$D$6*D165</f>
        <v>52</v>
      </c>
      <c r="G165" t="s">
        <v>49</v>
      </c>
      <c r="H165" t="s">
        <v>9</v>
      </c>
      <c r="I165">
        <f>ROUND('밸런스 조정'!$E$6+'밸런스 조정'!$F$6*(D165-1),0)</f>
        <v>232</v>
      </c>
      <c r="J165" t="s">
        <v>130</v>
      </c>
    </row>
    <row r="166" spans="2:10">
      <c r="B166">
        <v>4</v>
      </c>
      <c r="C166" t="s">
        <v>128</v>
      </c>
      <c r="D166">
        <v>14</v>
      </c>
      <c r="E166" t="s">
        <v>129</v>
      </c>
      <c r="F166">
        <f>'밸런스 조정'!$C$6+'밸런스 조정'!$D$6*D166</f>
        <v>56</v>
      </c>
      <c r="G166" t="s">
        <v>49</v>
      </c>
      <c r="H166" t="s">
        <v>9</v>
      </c>
      <c r="I166">
        <f>ROUND('밸런스 조정'!$E$6+'밸런스 조정'!$F$6*(D166-1),0)</f>
        <v>248</v>
      </c>
      <c r="J166" t="s">
        <v>130</v>
      </c>
    </row>
    <row r="167" spans="2:10">
      <c r="B167">
        <v>4</v>
      </c>
      <c r="C167" t="s">
        <v>128</v>
      </c>
      <c r="D167">
        <v>15</v>
      </c>
      <c r="E167" t="s">
        <v>129</v>
      </c>
      <c r="F167">
        <f>'밸런스 조정'!$C$6+'밸런스 조정'!$D$6*D167</f>
        <v>60</v>
      </c>
      <c r="G167" t="s">
        <v>49</v>
      </c>
      <c r="H167" t="s">
        <v>9</v>
      </c>
      <c r="I167">
        <f>ROUND('밸런스 조정'!$E$6+'밸런스 조정'!$F$6*(D167-1),0)</f>
        <v>264</v>
      </c>
      <c r="J167" t="s">
        <v>130</v>
      </c>
    </row>
    <row r="168" spans="2:10">
      <c r="B168">
        <v>4</v>
      </c>
      <c r="C168" t="s">
        <v>128</v>
      </c>
      <c r="D168">
        <v>16</v>
      </c>
      <c r="E168" t="s">
        <v>129</v>
      </c>
      <c r="F168">
        <f>'밸런스 조정'!$C$6+'밸런스 조정'!$D$6*D168</f>
        <v>64</v>
      </c>
      <c r="G168" t="s">
        <v>49</v>
      </c>
      <c r="H168" t="s">
        <v>9</v>
      </c>
      <c r="I168">
        <f>ROUND('밸런스 조정'!$E$6+'밸런스 조정'!$F$6*(D168-1),0)</f>
        <v>280</v>
      </c>
      <c r="J168" t="s">
        <v>130</v>
      </c>
    </row>
    <row r="169" spans="2:10">
      <c r="B169">
        <v>4</v>
      </c>
      <c r="C169" t="s">
        <v>128</v>
      </c>
      <c r="D169">
        <v>17</v>
      </c>
      <c r="E169" t="s">
        <v>129</v>
      </c>
      <c r="F169">
        <f>'밸런스 조정'!$C$6+'밸런스 조정'!$D$6*D169</f>
        <v>68</v>
      </c>
      <c r="G169" t="s">
        <v>49</v>
      </c>
      <c r="H169" t="s">
        <v>9</v>
      </c>
      <c r="I169">
        <f>ROUND('밸런스 조정'!$E$6+'밸런스 조정'!$F$6*(D169-1),0)</f>
        <v>296</v>
      </c>
      <c r="J169" t="s">
        <v>130</v>
      </c>
    </row>
    <row r="170" spans="2:10">
      <c r="B170">
        <v>4</v>
      </c>
      <c r="C170" t="s">
        <v>128</v>
      </c>
      <c r="D170">
        <v>18</v>
      </c>
      <c r="E170" t="s">
        <v>129</v>
      </c>
      <c r="F170">
        <f>'밸런스 조정'!$C$6+'밸런스 조정'!$D$6*D170</f>
        <v>72</v>
      </c>
      <c r="G170" t="s">
        <v>49</v>
      </c>
      <c r="H170" t="s">
        <v>9</v>
      </c>
      <c r="I170">
        <f>ROUND('밸런스 조정'!$E$6+'밸런스 조정'!$F$6*(D170-1),0)</f>
        <v>312</v>
      </c>
      <c r="J170" t="s">
        <v>130</v>
      </c>
    </row>
    <row r="171" spans="2:10">
      <c r="B171">
        <v>4</v>
      </c>
      <c r="C171" t="s">
        <v>128</v>
      </c>
      <c r="D171">
        <v>19</v>
      </c>
      <c r="E171" t="s">
        <v>129</v>
      </c>
      <c r="F171">
        <f>'밸런스 조정'!$C$6+'밸런스 조정'!$D$6*D171</f>
        <v>76</v>
      </c>
      <c r="G171" t="s">
        <v>49</v>
      </c>
      <c r="H171" t="s">
        <v>9</v>
      </c>
      <c r="I171">
        <f>ROUND('밸런스 조정'!$E$6+'밸런스 조정'!$F$6*(D171-1),0)</f>
        <v>328</v>
      </c>
      <c r="J171" t="s">
        <v>130</v>
      </c>
    </row>
    <row r="172" spans="2:10">
      <c r="B172">
        <v>4</v>
      </c>
      <c r="C172" t="s">
        <v>128</v>
      </c>
      <c r="D172">
        <v>20</v>
      </c>
      <c r="E172" t="s">
        <v>129</v>
      </c>
      <c r="F172">
        <f>'밸런스 조정'!$C$6+'밸런스 조정'!$D$6*D172</f>
        <v>80</v>
      </c>
      <c r="G172" t="s">
        <v>49</v>
      </c>
      <c r="H172" t="s">
        <v>9</v>
      </c>
      <c r="I172">
        <f>ROUND('밸런스 조정'!$E$6+'밸런스 조정'!$F$6*(D172-1),0)</f>
        <v>344</v>
      </c>
      <c r="J172" t="s">
        <v>130</v>
      </c>
    </row>
    <row r="173" spans="2:10">
      <c r="B173">
        <v>4</v>
      </c>
      <c r="C173" t="s">
        <v>128</v>
      </c>
      <c r="D173">
        <v>21</v>
      </c>
      <c r="E173" t="s">
        <v>129</v>
      </c>
      <c r="F173">
        <f>'밸런스 조정'!$C$6+'밸런스 조정'!$D$6*D173</f>
        <v>84</v>
      </c>
      <c r="G173" t="s">
        <v>49</v>
      </c>
      <c r="H173" t="s">
        <v>9</v>
      </c>
      <c r="I173">
        <f>ROUND('밸런스 조정'!$E$6+'밸런스 조정'!$F$6*(D173-1),0)</f>
        <v>360</v>
      </c>
      <c r="J173" t="s">
        <v>130</v>
      </c>
    </row>
    <row r="174" spans="2:10">
      <c r="B174">
        <v>4</v>
      </c>
      <c r="C174" t="s">
        <v>128</v>
      </c>
      <c r="D174">
        <v>22</v>
      </c>
      <c r="E174" t="s">
        <v>129</v>
      </c>
      <c r="F174">
        <f>'밸런스 조정'!$C$6+'밸런스 조정'!$D$6*D174</f>
        <v>88</v>
      </c>
      <c r="G174" t="s">
        <v>49</v>
      </c>
      <c r="H174" t="s">
        <v>9</v>
      </c>
      <c r="I174">
        <f>ROUND('밸런스 조정'!$E$6+'밸런스 조정'!$F$6*(D174-1),0)</f>
        <v>376</v>
      </c>
      <c r="J174" t="s">
        <v>130</v>
      </c>
    </row>
    <row r="175" spans="2:10">
      <c r="B175">
        <v>4</v>
      </c>
      <c r="C175" t="s">
        <v>128</v>
      </c>
      <c r="D175">
        <v>23</v>
      </c>
      <c r="E175" t="s">
        <v>129</v>
      </c>
      <c r="F175">
        <f>'밸런스 조정'!$C$6+'밸런스 조정'!$D$6*D175</f>
        <v>92</v>
      </c>
      <c r="G175" t="s">
        <v>49</v>
      </c>
      <c r="H175" t="s">
        <v>9</v>
      </c>
      <c r="I175">
        <f>ROUND('밸런스 조정'!$E$6+'밸런스 조정'!$F$6*(D175-1),0)</f>
        <v>392</v>
      </c>
      <c r="J175" t="s">
        <v>130</v>
      </c>
    </row>
    <row r="176" spans="2:10">
      <c r="B176">
        <v>4</v>
      </c>
      <c r="C176" t="s">
        <v>128</v>
      </c>
      <c r="D176">
        <v>24</v>
      </c>
      <c r="E176" t="s">
        <v>129</v>
      </c>
      <c r="F176">
        <f>'밸런스 조정'!$C$6+'밸런스 조정'!$D$6*D176</f>
        <v>96</v>
      </c>
      <c r="G176" t="s">
        <v>49</v>
      </c>
      <c r="H176" t="s">
        <v>9</v>
      </c>
      <c r="I176">
        <f>ROUND('밸런스 조정'!$E$6+'밸런스 조정'!$F$6*(D176-1),0)</f>
        <v>408</v>
      </c>
      <c r="J176" t="s">
        <v>130</v>
      </c>
    </row>
    <row r="177" spans="2:10">
      <c r="B177">
        <v>4</v>
      </c>
      <c r="C177" t="s">
        <v>128</v>
      </c>
      <c r="D177">
        <v>25</v>
      </c>
      <c r="E177" t="s">
        <v>129</v>
      </c>
      <c r="F177">
        <f>'밸런스 조정'!$C$6+'밸런스 조정'!$D$6*D177</f>
        <v>100</v>
      </c>
      <c r="G177" t="s">
        <v>49</v>
      </c>
      <c r="H177" t="s">
        <v>9</v>
      </c>
      <c r="I177">
        <f>ROUND('밸런스 조정'!$E$6+'밸런스 조정'!$F$6*(D177-1),0)</f>
        <v>424</v>
      </c>
      <c r="J177" t="s">
        <v>130</v>
      </c>
    </row>
    <row r="178" spans="2:10">
      <c r="B178">
        <v>4</v>
      </c>
      <c r="C178" t="s">
        <v>128</v>
      </c>
      <c r="D178">
        <v>26</v>
      </c>
      <c r="E178" t="s">
        <v>129</v>
      </c>
      <c r="F178">
        <f>'밸런스 조정'!$C$6+'밸런스 조정'!$D$6*D178</f>
        <v>104</v>
      </c>
      <c r="G178" t="s">
        <v>49</v>
      </c>
      <c r="H178" t="s">
        <v>9</v>
      </c>
      <c r="I178">
        <f>ROUND('밸런스 조정'!$E$6+'밸런스 조정'!$F$6*(D178-1),0)</f>
        <v>440</v>
      </c>
      <c r="J178" t="s">
        <v>130</v>
      </c>
    </row>
    <row r="179" spans="2:10">
      <c r="B179">
        <v>4</v>
      </c>
      <c r="C179" t="s">
        <v>128</v>
      </c>
      <c r="D179">
        <v>27</v>
      </c>
      <c r="E179" t="s">
        <v>129</v>
      </c>
      <c r="F179">
        <f>'밸런스 조정'!$C$6+'밸런스 조정'!$D$6*D179</f>
        <v>108</v>
      </c>
      <c r="G179" t="s">
        <v>49</v>
      </c>
      <c r="H179" t="s">
        <v>9</v>
      </c>
      <c r="I179">
        <f>ROUND('밸런스 조정'!$E$6+'밸런스 조정'!$F$6*(D179-1),0)</f>
        <v>456</v>
      </c>
      <c r="J179" t="s">
        <v>130</v>
      </c>
    </row>
    <row r="180" spans="2:10">
      <c r="B180">
        <v>4</v>
      </c>
      <c r="C180" t="s">
        <v>128</v>
      </c>
      <c r="D180">
        <v>28</v>
      </c>
      <c r="E180" t="s">
        <v>129</v>
      </c>
      <c r="F180">
        <f>'밸런스 조정'!$C$6+'밸런스 조정'!$D$6*D180</f>
        <v>112</v>
      </c>
      <c r="G180" t="s">
        <v>49</v>
      </c>
      <c r="H180" t="s">
        <v>9</v>
      </c>
      <c r="I180">
        <f>ROUND('밸런스 조정'!$E$6+'밸런스 조정'!$F$6*(D180-1),0)</f>
        <v>472</v>
      </c>
      <c r="J180" t="s">
        <v>130</v>
      </c>
    </row>
    <row r="181" spans="2:10">
      <c r="B181">
        <v>4</v>
      </c>
      <c r="C181" t="s">
        <v>128</v>
      </c>
      <c r="D181">
        <v>29</v>
      </c>
      <c r="E181" t="s">
        <v>129</v>
      </c>
      <c r="F181">
        <f>'밸런스 조정'!$C$6+'밸런스 조정'!$D$6*D181</f>
        <v>116</v>
      </c>
      <c r="G181" t="s">
        <v>49</v>
      </c>
      <c r="H181" t="s">
        <v>9</v>
      </c>
      <c r="I181">
        <f>ROUND('밸런스 조정'!$E$6+'밸런스 조정'!$F$6*(D181-1),0)</f>
        <v>488</v>
      </c>
      <c r="J181" t="s">
        <v>130</v>
      </c>
    </row>
    <row r="182" spans="2:10">
      <c r="B182">
        <v>4</v>
      </c>
      <c r="C182" t="s">
        <v>128</v>
      </c>
      <c r="D182">
        <v>30</v>
      </c>
      <c r="E182" t="s">
        <v>129</v>
      </c>
      <c r="F182">
        <f>'밸런스 조정'!$C$6+'밸런스 조정'!$D$6*D182</f>
        <v>120</v>
      </c>
      <c r="G182" t="s">
        <v>49</v>
      </c>
      <c r="H182" t="s">
        <v>9</v>
      </c>
      <c r="I182">
        <f>ROUND('밸런스 조정'!$E$6+'밸런스 조정'!$F$6*(D182-1),0)</f>
        <v>504</v>
      </c>
      <c r="J182" t="s">
        <v>130</v>
      </c>
    </row>
    <row r="183" spans="2:10">
      <c r="B183">
        <v>5</v>
      </c>
      <c r="C183" t="s">
        <v>12</v>
      </c>
      <c r="D183">
        <v>1</v>
      </c>
      <c r="E183" t="s">
        <v>11</v>
      </c>
      <c r="F183" s="28">
        <f>'밸런스 조정'!$C$7+'밸런스 조정'!$D$7*D183</f>
        <v>8</v>
      </c>
      <c r="G183" t="s">
        <v>49</v>
      </c>
      <c r="H183" t="s">
        <v>9</v>
      </c>
      <c r="I183">
        <f>ROUND('밸런스 조정'!$E$7+'밸런스 조정'!$F$7*(D183-1),0)</f>
        <v>60</v>
      </c>
      <c r="J183" t="s">
        <v>131</v>
      </c>
    </row>
    <row r="184" spans="2:10">
      <c r="B184">
        <v>5</v>
      </c>
      <c r="C184" t="s">
        <v>12</v>
      </c>
      <c r="D184">
        <v>2</v>
      </c>
      <c r="E184" t="s">
        <v>11</v>
      </c>
      <c r="F184" s="28">
        <f>'밸런스 조정'!$C$7+'밸런스 조정'!$D$7*D184</f>
        <v>16</v>
      </c>
      <c r="G184" t="s">
        <v>49</v>
      </c>
      <c r="H184" t="s">
        <v>9</v>
      </c>
      <c r="I184">
        <f>ROUND('밸런스 조정'!$E$7+'밸런스 조정'!$F$7*(D184-1),0)</f>
        <v>85</v>
      </c>
      <c r="J184" t="s">
        <v>131</v>
      </c>
    </row>
    <row r="185" spans="2:10">
      <c r="B185">
        <v>5</v>
      </c>
      <c r="C185" t="s">
        <v>12</v>
      </c>
      <c r="D185">
        <v>3</v>
      </c>
      <c r="E185" t="s">
        <v>11</v>
      </c>
      <c r="F185" s="28">
        <f>'밸런스 조정'!$C$7+'밸런스 조정'!$D$7*D185</f>
        <v>24</v>
      </c>
      <c r="G185" t="s">
        <v>49</v>
      </c>
      <c r="H185" t="s">
        <v>9</v>
      </c>
      <c r="I185">
        <f>ROUND('밸런스 조정'!$E$7+'밸런스 조정'!$F$7*(D185-1),0)</f>
        <v>110</v>
      </c>
      <c r="J185" t="s">
        <v>131</v>
      </c>
    </row>
    <row r="186" spans="2:10">
      <c r="B186">
        <v>5</v>
      </c>
      <c r="C186" t="s">
        <v>12</v>
      </c>
      <c r="D186">
        <v>4</v>
      </c>
      <c r="E186" t="s">
        <v>11</v>
      </c>
      <c r="F186" s="28">
        <f>'밸런스 조정'!$C$7+'밸런스 조정'!$D$7*D186</f>
        <v>32</v>
      </c>
      <c r="G186" t="s">
        <v>49</v>
      </c>
      <c r="H186" t="s">
        <v>9</v>
      </c>
      <c r="I186">
        <f>ROUND('밸런스 조정'!$E$7+'밸런스 조정'!$F$7*(D186-1),0)</f>
        <v>135</v>
      </c>
      <c r="J186" t="s">
        <v>131</v>
      </c>
    </row>
    <row r="187" spans="2:10">
      <c r="B187">
        <v>5</v>
      </c>
      <c r="C187" t="s">
        <v>12</v>
      </c>
      <c r="D187">
        <v>5</v>
      </c>
      <c r="E187" t="s">
        <v>11</v>
      </c>
      <c r="F187" s="28">
        <f>'밸런스 조정'!$C$7+'밸런스 조정'!$D$7*D187</f>
        <v>40</v>
      </c>
      <c r="G187" t="s">
        <v>49</v>
      </c>
      <c r="H187" t="s">
        <v>9</v>
      </c>
      <c r="I187">
        <f>ROUND('밸런스 조정'!$E$7+'밸런스 조정'!$F$7*(D187-1),0)</f>
        <v>160</v>
      </c>
      <c r="J187" t="s">
        <v>131</v>
      </c>
    </row>
    <row r="188" spans="2:10">
      <c r="B188">
        <v>5</v>
      </c>
      <c r="C188" t="s">
        <v>12</v>
      </c>
      <c r="D188">
        <v>6</v>
      </c>
      <c r="E188" t="s">
        <v>11</v>
      </c>
      <c r="F188" s="28">
        <f>'밸런스 조정'!$C$7+'밸런스 조정'!$D$7*D188</f>
        <v>48</v>
      </c>
      <c r="G188" t="s">
        <v>49</v>
      </c>
      <c r="H188" t="s">
        <v>9</v>
      </c>
      <c r="I188">
        <f>ROUND('밸런스 조정'!$E$7+'밸런스 조정'!$F$7*(D188-1),0)</f>
        <v>185</v>
      </c>
      <c r="J188" t="s">
        <v>131</v>
      </c>
    </row>
    <row r="189" spans="2:10">
      <c r="B189">
        <v>5</v>
      </c>
      <c r="C189" t="s">
        <v>12</v>
      </c>
      <c r="D189">
        <v>7</v>
      </c>
      <c r="E189" t="s">
        <v>11</v>
      </c>
      <c r="F189" s="28">
        <f>'밸런스 조정'!$C$7+'밸런스 조정'!$D$7*D189</f>
        <v>56</v>
      </c>
      <c r="G189" t="s">
        <v>49</v>
      </c>
      <c r="H189" t="s">
        <v>9</v>
      </c>
      <c r="I189">
        <f>ROUND('밸런스 조정'!$E$7+'밸런스 조정'!$F$7*(D189-1),0)</f>
        <v>210</v>
      </c>
      <c r="J189" t="s">
        <v>131</v>
      </c>
    </row>
    <row r="190" spans="2:10">
      <c r="B190">
        <v>5</v>
      </c>
      <c r="C190" t="s">
        <v>12</v>
      </c>
      <c r="D190">
        <v>8</v>
      </c>
      <c r="E190" t="s">
        <v>11</v>
      </c>
      <c r="F190" s="28">
        <f>'밸런스 조정'!$C$7+'밸런스 조정'!$D$7*D190</f>
        <v>64</v>
      </c>
      <c r="G190" t="s">
        <v>49</v>
      </c>
      <c r="H190" t="s">
        <v>9</v>
      </c>
      <c r="I190">
        <f>ROUND('밸런스 조정'!$E$7+'밸런스 조정'!$F$7*(D190-1),0)</f>
        <v>235</v>
      </c>
      <c r="J190" t="s">
        <v>131</v>
      </c>
    </row>
    <row r="191" spans="2:10">
      <c r="B191">
        <v>5</v>
      </c>
      <c r="C191" t="s">
        <v>12</v>
      </c>
      <c r="D191">
        <v>9</v>
      </c>
      <c r="E191" t="s">
        <v>11</v>
      </c>
      <c r="F191" s="28">
        <f>'밸런스 조정'!$C$7+'밸런스 조정'!$D$7*D191</f>
        <v>72</v>
      </c>
      <c r="G191" t="s">
        <v>49</v>
      </c>
      <c r="H191" t="s">
        <v>9</v>
      </c>
      <c r="I191">
        <f>ROUND('밸런스 조정'!$E$7+'밸런스 조정'!$F$7*(D191-1),0)</f>
        <v>260</v>
      </c>
      <c r="J191" t="s">
        <v>131</v>
      </c>
    </row>
    <row r="192" spans="2:10">
      <c r="B192">
        <v>5</v>
      </c>
      <c r="C192" t="s">
        <v>12</v>
      </c>
      <c r="D192">
        <v>10</v>
      </c>
      <c r="E192" t="s">
        <v>11</v>
      </c>
      <c r="F192" s="28">
        <f>'밸런스 조정'!$C$7+'밸런스 조정'!$D$7*D192</f>
        <v>80</v>
      </c>
      <c r="G192" t="s">
        <v>49</v>
      </c>
      <c r="H192" t="s">
        <v>9</v>
      </c>
      <c r="I192">
        <f>ROUND('밸런스 조정'!$E$7+'밸런스 조정'!$F$7*(D192-1),0)</f>
        <v>285</v>
      </c>
      <c r="J192" t="s">
        <v>131</v>
      </c>
    </row>
    <row r="193" spans="2:10">
      <c r="B193">
        <v>5</v>
      </c>
      <c r="C193" t="s">
        <v>12</v>
      </c>
      <c r="D193">
        <v>11</v>
      </c>
      <c r="E193" t="s">
        <v>11</v>
      </c>
      <c r="F193" s="28">
        <f>'밸런스 조정'!$C$7+'밸런스 조정'!$D$7*D193</f>
        <v>88</v>
      </c>
      <c r="G193" t="s">
        <v>49</v>
      </c>
      <c r="H193" t="s">
        <v>9</v>
      </c>
      <c r="I193">
        <f>ROUND('밸런스 조정'!$E$7+'밸런스 조정'!$F$7*(D193-1),0)</f>
        <v>310</v>
      </c>
      <c r="J193" t="s">
        <v>131</v>
      </c>
    </row>
    <row r="194" spans="2:10">
      <c r="B194">
        <v>5</v>
      </c>
      <c r="C194" t="s">
        <v>12</v>
      </c>
      <c r="D194">
        <v>12</v>
      </c>
      <c r="E194" t="s">
        <v>11</v>
      </c>
      <c r="F194" s="28">
        <f>'밸런스 조정'!$C$7+'밸런스 조정'!$D$7*D194</f>
        <v>96</v>
      </c>
      <c r="G194" t="s">
        <v>49</v>
      </c>
      <c r="H194" t="s">
        <v>9</v>
      </c>
      <c r="I194">
        <f>ROUND('밸런스 조정'!$E$7+'밸런스 조정'!$F$7*(D194-1),0)</f>
        <v>335</v>
      </c>
      <c r="J194" t="s">
        <v>131</v>
      </c>
    </row>
    <row r="195" spans="2:10">
      <c r="B195">
        <v>5</v>
      </c>
      <c r="C195" t="s">
        <v>12</v>
      </c>
      <c r="D195">
        <v>13</v>
      </c>
      <c r="E195" t="s">
        <v>11</v>
      </c>
      <c r="F195" s="28">
        <f>'밸런스 조정'!$C$7+'밸런스 조정'!$D$7*D195</f>
        <v>104</v>
      </c>
      <c r="G195" t="s">
        <v>49</v>
      </c>
      <c r="H195" t="s">
        <v>9</v>
      </c>
      <c r="I195">
        <f>ROUND('밸런스 조정'!$E$7+'밸런스 조정'!$F$7*(D195-1),0)</f>
        <v>360</v>
      </c>
      <c r="J195" t="s">
        <v>131</v>
      </c>
    </row>
    <row r="196" spans="2:10">
      <c r="B196">
        <v>5</v>
      </c>
      <c r="C196" t="s">
        <v>12</v>
      </c>
      <c r="D196">
        <v>14</v>
      </c>
      <c r="E196" t="s">
        <v>11</v>
      </c>
      <c r="F196" s="28">
        <f>'밸런스 조정'!$C$7+'밸런스 조정'!$D$7*D196</f>
        <v>112</v>
      </c>
      <c r="G196" t="s">
        <v>49</v>
      </c>
      <c r="H196" t="s">
        <v>9</v>
      </c>
      <c r="I196">
        <f>ROUND('밸런스 조정'!$E$7+'밸런스 조정'!$F$7*(D196-1),0)</f>
        <v>385</v>
      </c>
      <c r="J196" t="s">
        <v>131</v>
      </c>
    </row>
    <row r="197" spans="2:10">
      <c r="B197">
        <v>5</v>
      </c>
      <c r="C197" t="s">
        <v>12</v>
      </c>
      <c r="D197">
        <v>15</v>
      </c>
      <c r="E197" t="s">
        <v>11</v>
      </c>
      <c r="F197" s="28">
        <f>'밸런스 조정'!$C$7+'밸런스 조정'!$D$7*D197</f>
        <v>120</v>
      </c>
      <c r="G197" t="s">
        <v>49</v>
      </c>
      <c r="H197" t="s">
        <v>9</v>
      </c>
      <c r="I197">
        <f>ROUND('밸런스 조정'!$E$7+'밸런스 조정'!$F$7*(D197-1),0)</f>
        <v>410</v>
      </c>
      <c r="J197" t="s">
        <v>131</v>
      </c>
    </row>
    <row r="198" spans="2:10">
      <c r="B198">
        <v>5</v>
      </c>
      <c r="C198" t="s">
        <v>12</v>
      </c>
      <c r="D198">
        <v>16</v>
      </c>
      <c r="E198" t="s">
        <v>11</v>
      </c>
      <c r="F198" s="28">
        <f>'밸런스 조정'!$C$7+'밸런스 조정'!$D$7*D198</f>
        <v>128</v>
      </c>
      <c r="G198" t="s">
        <v>49</v>
      </c>
      <c r="H198" t="s">
        <v>9</v>
      </c>
      <c r="I198">
        <f>ROUND('밸런스 조정'!$E$7+'밸런스 조정'!$F$7*(D198-1),0)</f>
        <v>435</v>
      </c>
      <c r="J198" t="s">
        <v>131</v>
      </c>
    </row>
    <row r="199" spans="2:10">
      <c r="B199">
        <v>5</v>
      </c>
      <c r="C199" t="s">
        <v>12</v>
      </c>
      <c r="D199">
        <v>17</v>
      </c>
      <c r="E199" t="s">
        <v>11</v>
      </c>
      <c r="F199" s="28">
        <f>'밸런스 조정'!$C$7+'밸런스 조정'!$D$7*D199</f>
        <v>136</v>
      </c>
      <c r="G199" t="s">
        <v>49</v>
      </c>
      <c r="H199" t="s">
        <v>9</v>
      </c>
      <c r="I199">
        <f>ROUND('밸런스 조정'!$E$7+'밸런스 조정'!$F$7*(D199-1),0)</f>
        <v>460</v>
      </c>
      <c r="J199" t="s">
        <v>131</v>
      </c>
    </row>
    <row r="200" spans="2:10">
      <c r="B200">
        <v>5</v>
      </c>
      <c r="C200" t="s">
        <v>12</v>
      </c>
      <c r="D200">
        <v>18</v>
      </c>
      <c r="E200" t="s">
        <v>11</v>
      </c>
      <c r="F200" s="28">
        <f>'밸런스 조정'!$C$7+'밸런스 조정'!$D$7*D200</f>
        <v>144</v>
      </c>
      <c r="G200" t="s">
        <v>49</v>
      </c>
      <c r="H200" t="s">
        <v>9</v>
      </c>
      <c r="I200">
        <f>ROUND('밸런스 조정'!$E$7+'밸런스 조정'!$F$7*(D200-1),0)</f>
        <v>485</v>
      </c>
      <c r="J200" t="s">
        <v>131</v>
      </c>
    </row>
    <row r="201" spans="2:10">
      <c r="B201">
        <v>5</v>
      </c>
      <c r="C201" t="s">
        <v>12</v>
      </c>
      <c r="D201">
        <v>19</v>
      </c>
      <c r="E201" t="s">
        <v>11</v>
      </c>
      <c r="F201" s="28">
        <f>'밸런스 조정'!$C$7+'밸런스 조정'!$D$7*D201</f>
        <v>152</v>
      </c>
      <c r="G201" t="s">
        <v>49</v>
      </c>
      <c r="H201" t="s">
        <v>9</v>
      </c>
      <c r="I201">
        <f>ROUND('밸런스 조정'!$E$7+'밸런스 조정'!$F$7*(D201-1),0)</f>
        <v>510</v>
      </c>
      <c r="J201" t="s">
        <v>131</v>
      </c>
    </row>
    <row r="202" spans="2:10">
      <c r="B202">
        <v>5</v>
      </c>
      <c r="C202" t="s">
        <v>12</v>
      </c>
      <c r="D202">
        <v>20</v>
      </c>
      <c r="E202" t="s">
        <v>11</v>
      </c>
      <c r="F202" s="28">
        <f>'밸런스 조정'!$C$7+'밸런스 조정'!$D$7*D202</f>
        <v>160</v>
      </c>
      <c r="G202" t="s">
        <v>49</v>
      </c>
      <c r="H202" t="s">
        <v>9</v>
      </c>
      <c r="I202">
        <f>ROUND('밸런스 조정'!$E$7+'밸런스 조정'!$F$7*(D202-1),0)</f>
        <v>535</v>
      </c>
      <c r="J202" t="s">
        <v>131</v>
      </c>
    </row>
    <row r="203" spans="2:10">
      <c r="B203">
        <v>5</v>
      </c>
      <c r="C203" t="s">
        <v>12</v>
      </c>
      <c r="D203">
        <v>21</v>
      </c>
      <c r="E203" t="s">
        <v>11</v>
      </c>
      <c r="F203">
        <f>'밸런스 조정'!$C$7+'밸런스 조정'!$D$7*D203</f>
        <v>168</v>
      </c>
      <c r="G203" t="s">
        <v>49</v>
      </c>
      <c r="H203" t="s">
        <v>9</v>
      </c>
      <c r="I203">
        <f>ROUND('밸런스 조정'!$E$7+'밸런스 조정'!$F$7*(D203-1),0)</f>
        <v>560</v>
      </c>
      <c r="J203" t="s">
        <v>131</v>
      </c>
    </row>
    <row r="204" spans="2:10">
      <c r="B204">
        <v>5</v>
      </c>
      <c r="C204" t="s">
        <v>12</v>
      </c>
      <c r="D204">
        <v>22</v>
      </c>
      <c r="E204" t="s">
        <v>11</v>
      </c>
      <c r="F204">
        <f>'밸런스 조정'!$C$7+'밸런스 조정'!$D$7*D204</f>
        <v>176</v>
      </c>
      <c r="G204" t="s">
        <v>49</v>
      </c>
      <c r="H204" t="s">
        <v>9</v>
      </c>
      <c r="I204">
        <f>ROUND('밸런스 조정'!$E$7+'밸런스 조정'!$F$7*(D204-1),0)</f>
        <v>585</v>
      </c>
      <c r="J204" t="s">
        <v>131</v>
      </c>
    </row>
    <row r="205" spans="2:10">
      <c r="B205">
        <v>5</v>
      </c>
      <c r="C205" t="s">
        <v>12</v>
      </c>
      <c r="D205">
        <v>23</v>
      </c>
      <c r="E205" t="s">
        <v>11</v>
      </c>
      <c r="F205">
        <f>'밸런스 조정'!$C$7+'밸런스 조정'!$D$7*D205</f>
        <v>184</v>
      </c>
      <c r="G205" t="s">
        <v>49</v>
      </c>
      <c r="H205" t="s">
        <v>9</v>
      </c>
      <c r="I205">
        <f>ROUND('밸런스 조정'!$E$7+'밸런스 조정'!$F$7*(D205-1),0)</f>
        <v>610</v>
      </c>
      <c r="J205" t="s">
        <v>131</v>
      </c>
    </row>
    <row r="206" spans="2:10">
      <c r="B206">
        <v>5</v>
      </c>
      <c r="C206" t="s">
        <v>12</v>
      </c>
      <c r="D206">
        <v>24</v>
      </c>
      <c r="E206" t="s">
        <v>11</v>
      </c>
      <c r="F206">
        <f>'밸런스 조정'!$C$7+'밸런스 조정'!$D$7*D206</f>
        <v>192</v>
      </c>
      <c r="G206" t="s">
        <v>49</v>
      </c>
      <c r="H206" t="s">
        <v>9</v>
      </c>
      <c r="I206">
        <f>ROUND('밸런스 조정'!$E$7+'밸런스 조정'!$F$7*(D206-1),0)</f>
        <v>635</v>
      </c>
      <c r="J206" t="s">
        <v>131</v>
      </c>
    </row>
    <row r="207" spans="2:10">
      <c r="B207">
        <v>5</v>
      </c>
      <c r="C207" t="s">
        <v>12</v>
      </c>
      <c r="D207">
        <v>25</v>
      </c>
      <c r="E207" t="s">
        <v>11</v>
      </c>
      <c r="F207">
        <f>'밸런스 조정'!$C$7+'밸런스 조정'!$D$7*D207</f>
        <v>200</v>
      </c>
      <c r="G207" t="s">
        <v>49</v>
      </c>
      <c r="H207" t="s">
        <v>9</v>
      </c>
      <c r="I207">
        <f>ROUND('밸런스 조정'!$E$7+'밸런스 조정'!$F$7*(D207-1),0)</f>
        <v>660</v>
      </c>
      <c r="J207" t="s">
        <v>131</v>
      </c>
    </row>
    <row r="208" spans="2:10">
      <c r="B208">
        <v>5</v>
      </c>
      <c r="C208" t="s">
        <v>12</v>
      </c>
      <c r="D208">
        <v>26</v>
      </c>
      <c r="E208" t="s">
        <v>11</v>
      </c>
      <c r="F208">
        <f>'밸런스 조정'!$C$7+'밸런스 조정'!$D$7*D208</f>
        <v>208</v>
      </c>
      <c r="G208" t="s">
        <v>49</v>
      </c>
      <c r="H208" t="s">
        <v>9</v>
      </c>
      <c r="I208">
        <f>ROUND('밸런스 조정'!$E$7+'밸런스 조정'!$F$7*(D208-1),0)</f>
        <v>685</v>
      </c>
      <c r="J208" t="s">
        <v>131</v>
      </c>
    </row>
    <row r="209" spans="2:10">
      <c r="B209">
        <v>5</v>
      </c>
      <c r="C209" t="s">
        <v>12</v>
      </c>
      <c r="D209">
        <v>27</v>
      </c>
      <c r="E209" t="s">
        <v>11</v>
      </c>
      <c r="F209">
        <f>'밸런스 조정'!$C$7+'밸런스 조정'!$D$7*D209</f>
        <v>216</v>
      </c>
      <c r="G209" t="s">
        <v>49</v>
      </c>
      <c r="H209" t="s">
        <v>9</v>
      </c>
      <c r="I209">
        <f>ROUND('밸런스 조정'!$E$7+'밸런스 조정'!$F$7*(D209-1),0)</f>
        <v>710</v>
      </c>
      <c r="J209" t="s">
        <v>131</v>
      </c>
    </row>
    <row r="210" spans="2:10">
      <c r="B210">
        <v>5</v>
      </c>
      <c r="C210" t="s">
        <v>12</v>
      </c>
      <c r="D210">
        <v>28</v>
      </c>
      <c r="E210" t="s">
        <v>11</v>
      </c>
      <c r="F210">
        <f>'밸런스 조정'!$C$7+'밸런스 조정'!$D$7*D210</f>
        <v>224</v>
      </c>
      <c r="G210" t="s">
        <v>49</v>
      </c>
      <c r="H210" t="s">
        <v>9</v>
      </c>
      <c r="I210">
        <f>ROUND('밸런스 조정'!$E$7+'밸런스 조정'!$F$7*(D210-1),0)</f>
        <v>735</v>
      </c>
      <c r="J210" t="s">
        <v>131</v>
      </c>
    </row>
    <row r="211" spans="2:10">
      <c r="B211">
        <v>5</v>
      </c>
      <c r="C211" t="s">
        <v>12</v>
      </c>
      <c r="D211">
        <v>29</v>
      </c>
      <c r="E211" t="s">
        <v>11</v>
      </c>
      <c r="F211">
        <f>'밸런스 조정'!$C$7+'밸런스 조정'!$D$7*D211</f>
        <v>232</v>
      </c>
      <c r="G211" t="s">
        <v>49</v>
      </c>
      <c r="H211" t="s">
        <v>9</v>
      </c>
      <c r="I211">
        <f>ROUND('밸런스 조정'!$E$7+'밸런스 조정'!$F$7*(D211-1),0)</f>
        <v>760</v>
      </c>
      <c r="J211" t="s">
        <v>131</v>
      </c>
    </row>
    <row r="212" spans="2:10">
      <c r="B212">
        <v>5</v>
      </c>
      <c r="C212" t="s">
        <v>12</v>
      </c>
      <c r="D212">
        <v>30</v>
      </c>
      <c r="E212" t="s">
        <v>11</v>
      </c>
      <c r="F212">
        <f>'밸런스 조정'!$C$7+'밸런스 조정'!$D$7*D212</f>
        <v>240</v>
      </c>
      <c r="G212" t="s">
        <v>49</v>
      </c>
      <c r="H212" t="s">
        <v>9</v>
      </c>
      <c r="I212">
        <f>ROUND('밸런스 조정'!$E$7+'밸런스 조정'!$F$7*(D212-1),0)</f>
        <v>785</v>
      </c>
      <c r="J212" t="s">
        <v>131</v>
      </c>
    </row>
    <row r="213" spans="2:10">
      <c r="B213">
        <v>6</v>
      </c>
      <c r="C213" t="s">
        <v>32</v>
      </c>
      <c r="D213">
        <v>1</v>
      </c>
      <c r="E213" t="s">
        <v>31</v>
      </c>
      <c r="F213">
        <f>'밸런스 조정'!$C$8+'밸런스 조정'!$D$8*D213</f>
        <v>8</v>
      </c>
      <c r="G213" t="s">
        <v>49</v>
      </c>
      <c r="H213" t="s">
        <v>9</v>
      </c>
      <c r="I213">
        <f>ROUND('밸런스 조정'!$E$8+'밸런스 조정'!$F$8*(D213-1),0)</f>
        <v>70</v>
      </c>
      <c r="J213" t="s">
        <v>132</v>
      </c>
    </row>
    <row r="214" spans="2:10">
      <c r="B214">
        <v>6</v>
      </c>
      <c r="C214" t="s">
        <v>32</v>
      </c>
      <c r="D214">
        <v>2</v>
      </c>
      <c r="E214" t="s">
        <v>31</v>
      </c>
      <c r="F214">
        <f>'밸런스 조정'!$C$8+'밸런스 조정'!$D$8*D214</f>
        <v>16</v>
      </c>
      <c r="G214" t="s">
        <v>49</v>
      </c>
      <c r="H214" t="s">
        <v>9</v>
      </c>
      <c r="I214">
        <f>ROUND('밸런스 조정'!$E$8+'밸런스 조정'!$F$8*(D214-1),0)</f>
        <v>105</v>
      </c>
      <c r="J214" t="s">
        <v>132</v>
      </c>
    </row>
    <row r="215" spans="2:10">
      <c r="B215">
        <v>6</v>
      </c>
      <c r="C215" t="s">
        <v>32</v>
      </c>
      <c r="D215">
        <v>3</v>
      </c>
      <c r="E215" t="s">
        <v>31</v>
      </c>
      <c r="F215">
        <f>'밸런스 조정'!$C$8+'밸런스 조정'!$D$8*D215</f>
        <v>24</v>
      </c>
      <c r="G215" t="s">
        <v>49</v>
      </c>
      <c r="H215" t="s">
        <v>9</v>
      </c>
      <c r="I215">
        <f>ROUND('밸런스 조정'!$E$8+'밸런스 조정'!$F$8*(D215-1),0)</f>
        <v>140</v>
      </c>
      <c r="J215" t="s">
        <v>132</v>
      </c>
    </row>
    <row r="216" spans="2:10">
      <c r="B216">
        <v>6</v>
      </c>
      <c r="C216" t="s">
        <v>32</v>
      </c>
      <c r="D216">
        <v>4</v>
      </c>
      <c r="E216" t="s">
        <v>31</v>
      </c>
      <c r="F216">
        <f>'밸런스 조정'!$C$8+'밸런스 조정'!$D$8*D216</f>
        <v>32</v>
      </c>
      <c r="G216" t="s">
        <v>49</v>
      </c>
      <c r="H216" t="s">
        <v>9</v>
      </c>
      <c r="I216">
        <f>ROUND('밸런스 조정'!$E$8+'밸런스 조정'!$F$8*(D216-1),0)</f>
        <v>175</v>
      </c>
      <c r="J216" t="s">
        <v>132</v>
      </c>
    </row>
    <row r="217" spans="2:10">
      <c r="B217">
        <v>6</v>
      </c>
      <c r="C217" t="s">
        <v>32</v>
      </c>
      <c r="D217">
        <v>5</v>
      </c>
      <c r="E217" t="s">
        <v>31</v>
      </c>
      <c r="F217">
        <f>'밸런스 조정'!$C$8+'밸런스 조정'!$D$8*D217</f>
        <v>40</v>
      </c>
      <c r="G217" t="s">
        <v>49</v>
      </c>
      <c r="H217" t="s">
        <v>9</v>
      </c>
      <c r="I217">
        <f>ROUND('밸런스 조정'!$E$8+'밸런스 조정'!$F$8*(D217-1),0)</f>
        <v>210</v>
      </c>
      <c r="J217" t="s">
        <v>132</v>
      </c>
    </row>
    <row r="218" spans="2:10">
      <c r="B218">
        <v>6</v>
      </c>
      <c r="C218" t="s">
        <v>32</v>
      </c>
      <c r="D218">
        <v>6</v>
      </c>
      <c r="E218" t="s">
        <v>31</v>
      </c>
      <c r="F218">
        <f>'밸런스 조정'!$C$8+'밸런스 조정'!$D$8*D218</f>
        <v>48</v>
      </c>
      <c r="G218" t="s">
        <v>49</v>
      </c>
      <c r="H218" t="s">
        <v>9</v>
      </c>
      <c r="I218">
        <f>ROUND('밸런스 조정'!$E$8+'밸런스 조정'!$F$8*(D218-1),0)</f>
        <v>245</v>
      </c>
      <c r="J218" t="s">
        <v>132</v>
      </c>
    </row>
    <row r="219" spans="2:10">
      <c r="B219">
        <v>6</v>
      </c>
      <c r="C219" t="s">
        <v>32</v>
      </c>
      <c r="D219">
        <v>7</v>
      </c>
      <c r="E219" t="s">
        <v>31</v>
      </c>
      <c r="F219">
        <f>'밸런스 조정'!$C$8+'밸런스 조정'!$D$8*D219</f>
        <v>56</v>
      </c>
      <c r="G219" t="s">
        <v>49</v>
      </c>
      <c r="H219" t="s">
        <v>9</v>
      </c>
      <c r="I219">
        <f>ROUND('밸런스 조정'!$E$8+'밸런스 조정'!$F$8*(D219-1),0)</f>
        <v>280</v>
      </c>
      <c r="J219" t="s">
        <v>132</v>
      </c>
    </row>
    <row r="220" spans="2:10">
      <c r="B220">
        <v>6</v>
      </c>
      <c r="C220" t="s">
        <v>32</v>
      </c>
      <c r="D220">
        <v>8</v>
      </c>
      <c r="E220" t="s">
        <v>31</v>
      </c>
      <c r="F220">
        <f>'밸런스 조정'!$C$8+'밸런스 조정'!$D$8*D220</f>
        <v>64</v>
      </c>
      <c r="G220" t="s">
        <v>49</v>
      </c>
      <c r="H220" t="s">
        <v>9</v>
      </c>
      <c r="I220">
        <f>ROUND('밸런스 조정'!$E$8+'밸런스 조정'!$F$8*(D220-1),0)</f>
        <v>315</v>
      </c>
      <c r="J220" t="s">
        <v>132</v>
      </c>
    </row>
    <row r="221" spans="2:10">
      <c r="B221">
        <v>6</v>
      </c>
      <c r="C221" t="s">
        <v>32</v>
      </c>
      <c r="D221">
        <v>9</v>
      </c>
      <c r="E221" t="s">
        <v>31</v>
      </c>
      <c r="F221">
        <f>'밸런스 조정'!$C$8+'밸런스 조정'!$D$8*D221</f>
        <v>72</v>
      </c>
      <c r="G221" t="s">
        <v>49</v>
      </c>
      <c r="H221" t="s">
        <v>9</v>
      </c>
      <c r="I221">
        <f>ROUND('밸런스 조정'!$E$8+'밸런스 조정'!$F$8*(D221-1),0)</f>
        <v>350</v>
      </c>
      <c r="J221" t="s">
        <v>132</v>
      </c>
    </row>
    <row r="222" spans="2:10">
      <c r="B222">
        <v>6</v>
      </c>
      <c r="C222" t="s">
        <v>32</v>
      </c>
      <c r="D222">
        <v>10</v>
      </c>
      <c r="E222" t="s">
        <v>31</v>
      </c>
      <c r="F222">
        <f>'밸런스 조정'!$C$8+'밸런스 조정'!$D$8*D222</f>
        <v>80</v>
      </c>
      <c r="G222" t="s">
        <v>49</v>
      </c>
      <c r="H222" t="s">
        <v>9</v>
      </c>
      <c r="I222">
        <f>ROUND('밸런스 조정'!$E$8+'밸런스 조정'!$F$8*(D222-1),0)</f>
        <v>385</v>
      </c>
      <c r="J222" t="s">
        <v>132</v>
      </c>
    </row>
    <row r="223" spans="2:10">
      <c r="B223">
        <v>6</v>
      </c>
      <c r="C223" t="s">
        <v>32</v>
      </c>
      <c r="D223">
        <v>11</v>
      </c>
      <c r="E223" t="s">
        <v>31</v>
      </c>
      <c r="F223">
        <f>'밸런스 조정'!$C$8+'밸런스 조정'!$D$8*D223</f>
        <v>88</v>
      </c>
      <c r="G223" t="s">
        <v>49</v>
      </c>
      <c r="H223" t="s">
        <v>9</v>
      </c>
      <c r="I223">
        <f>ROUND('밸런스 조정'!$E$8+'밸런스 조정'!$F$8*(D223-1),0)</f>
        <v>420</v>
      </c>
      <c r="J223" t="s">
        <v>132</v>
      </c>
    </row>
    <row r="224" spans="2:10">
      <c r="B224">
        <v>6</v>
      </c>
      <c r="C224" t="s">
        <v>32</v>
      </c>
      <c r="D224">
        <v>12</v>
      </c>
      <c r="E224" t="s">
        <v>31</v>
      </c>
      <c r="F224">
        <f>'밸런스 조정'!$C$8+'밸런스 조정'!$D$8*D224</f>
        <v>96</v>
      </c>
      <c r="G224" t="s">
        <v>49</v>
      </c>
      <c r="H224" t="s">
        <v>9</v>
      </c>
      <c r="I224">
        <f>ROUND('밸런스 조정'!$E$8+'밸런스 조정'!$F$8*(D224-1),0)</f>
        <v>455</v>
      </c>
      <c r="J224" t="s">
        <v>132</v>
      </c>
    </row>
    <row r="225" spans="2:10">
      <c r="B225">
        <v>6</v>
      </c>
      <c r="C225" t="s">
        <v>32</v>
      </c>
      <c r="D225">
        <v>13</v>
      </c>
      <c r="E225" t="s">
        <v>31</v>
      </c>
      <c r="F225">
        <f>'밸런스 조정'!$C$8+'밸런스 조정'!$D$8*D225</f>
        <v>104</v>
      </c>
      <c r="G225" t="s">
        <v>49</v>
      </c>
      <c r="H225" t="s">
        <v>9</v>
      </c>
      <c r="I225">
        <f>ROUND('밸런스 조정'!$E$8+'밸런스 조정'!$F$8*(D225-1),0)</f>
        <v>490</v>
      </c>
      <c r="J225" t="s">
        <v>132</v>
      </c>
    </row>
    <row r="226" spans="2:10">
      <c r="B226">
        <v>6</v>
      </c>
      <c r="C226" t="s">
        <v>32</v>
      </c>
      <c r="D226">
        <v>14</v>
      </c>
      <c r="E226" t="s">
        <v>31</v>
      </c>
      <c r="F226">
        <f>'밸런스 조정'!$C$8+'밸런스 조정'!$D$8*D226</f>
        <v>112</v>
      </c>
      <c r="G226" t="s">
        <v>49</v>
      </c>
      <c r="H226" t="s">
        <v>9</v>
      </c>
      <c r="I226">
        <f>ROUND('밸런스 조정'!$E$8+'밸런스 조정'!$F$8*(D226-1),0)</f>
        <v>525</v>
      </c>
      <c r="J226" t="s">
        <v>132</v>
      </c>
    </row>
    <row r="227" spans="2:10">
      <c r="B227">
        <v>6</v>
      </c>
      <c r="C227" t="s">
        <v>32</v>
      </c>
      <c r="D227">
        <v>15</v>
      </c>
      <c r="E227" t="s">
        <v>31</v>
      </c>
      <c r="F227">
        <f>'밸런스 조정'!$C$8+'밸런스 조정'!$D$8*D227</f>
        <v>120</v>
      </c>
      <c r="G227" t="s">
        <v>49</v>
      </c>
      <c r="H227" t="s">
        <v>9</v>
      </c>
      <c r="I227">
        <f>ROUND('밸런스 조정'!$E$8+'밸런스 조정'!$F$8*(D227-1),0)</f>
        <v>560</v>
      </c>
      <c r="J227" t="s">
        <v>132</v>
      </c>
    </row>
    <row r="228" spans="2:10">
      <c r="B228">
        <v>6</v>
      </c>
      <c r="C228" t="s">
        <v>32</v>
      </c>
      <c r="D228">
        <v>16</v>
      </c>
      <c r="E228" t="s">
        <v>31</v>
      </c>
      <c r="F228">
        <f>'밸런스 조정'!$C$8+'밸런스 조정'!$D$8*D228</f>
        <v>128</v>
      </c>
      <c r="G228" t="s">
        <v>49</v>
      </c>
      <c r="H228" t="s">
        <v>9</v>
      </c>
      <c r="I228">
        <f>ROUND('밸런스 조정'!$E$8+'밸런스 조정'!$F$8*(D228-1),0)</f>
        <v>595</v>
      </c>
      <c r="J228" t="s">
        <v>132</v>
      </c>
    </row>
    <row r="229" spans="2:10">
      <c r="B229">
        <v>6</v>
      </c>
      <c r="C229" t="s">
        <v>32</v>
      </c>
      <c r="D229">
        <v>17</v>
      </c>
      <c r="E229" t="s">
        <v>31</v>
      </c>
      <c r="F229">
        <f>'밸런스 조정'!$C$8+'밸런스 조정'!$D$8*D229</f>
        <v>136</v>
      </c>
      <c r="G229" t="s">
        <v>49</v>
      </c>
      <c r="H229" t="s">
        <v>9</v>
      </c>
      <c r="I229">
        <f>ROUND('밸런스 조정'!$E$8+'밸런스 조정'!$F$8*(D229-1),0)</f>
        <v>630</v>
      </c>
      <c r="J229" t="s">
        <v>132</v>
      </c>
    </row>
    <row r="230" spans="2:10">
      <c r="B230">
        <v>6</v>
      </c>
      <c r="C230" t="s">
        <v>32</v>
      </c>
      <c r="D230">
        <v>18</v>
      </c>
      <c r="E230" t="s">
        <v>31</v>
      </c>
      <c r="F230">
        <f>'밸런스 조정'!$C$8+'밸런스 조정'!$D$8*D230</f>
        <v>144</v>
      </c>
      <c r="G230" t="s">
        <v>49</v>
      </c>
      <c r="H230" t="s">
        <v>9</v>
      </c>
      <c r="I230">
        <f>ROUND('밸런스 조정'!$E$8+'밸런스 조정'!$F$8*(D230-1),0)</f>
        <v>665</v>
      </c>
      <c r="J230" t="s">
        <v>132</v>
      </c>
    </row>
    <row r="231" spans="2:10">
      <c r="B231">
        <v>6</v>
      </c>
      <c r="C231" t="s">
        <v>32</v>
      </c>
      <c r="D231">
        <v>19</v>
      </c>
      <c r="E231" t="s">
        <v>31</v>
      </c>
      <c r="F231">
        <f>'밸런스 조정'!$C$8+'밸런스 조정'!$D$8*D231</f>
        <v>152</v>
      </c>
      <c r="G231" t="s">
        <v>49</v>
      </c>
      <c r="H231" t="s">
        <v>9</v>
      </c>
      <c r="I231">
        <f>ROUND('밸런스 조정'!$E$8+'밸런스 조정'!$F$8*(D231-1),0)</f>
        <v>700</v>
      </c>
      <c r="J231" t="s">
        <v>132</v>
      </c>
    </row>
    <row r="232" spans="2:10">
      <c r="B232">
        <v>6</v>
      </c>
      <c r="C232" t="s">
        <v>32</v>
      </c>
      <c r="D232">
        <v>20</v>
      </c>
      <c r="E232" t="s">
        <v>31</v>
      </c>
      <c r="F232">
        <f>'밸런스 조정'!$C$8+'밸런스 조정'!$D$8*D232</f>
        <v>160</v>
      </c>
      <c r="G232" t="s">
        <v>49</v>
      </c>
      <c r="H232" t="s">
        <v>9</v>
      </c>
      <c r="I232">
        <f>ROUND('밸런스 조정'!$E$8+'밸런스 조정'!$F$8*(D232-1),0)</f>
        <v>735</v>
      </c>
      <c r="J232" t="s">
        <v>132</v>
      </c>
    </row>
    <row r="233" spans="2:10">
      <c r="B233">
        <v>6</v>
      </c>
      <c r="C233" t="s">
        <v>32</v>
      </c>
      <c r="D233">
        <v>21</v>
      </c>
      <c r="E233" t="s">
        <v>31</v>
      </c>
      <c r="F233">
        <f>'밸런스 조정'!$C$8+'밸런스 조정'!$D$8*D233</f>
        <v>168</v>
      </c>
      <c r="G233" t="s">
        <v>49</v>
      </c>
      <c r="H233" t="s">
        <v>9</v>
      </c>
      <c r="I233">
        <f>ROUND('밸런스 조정'!$E$8+'밸런스 조정'!$F$8*(D233-1),0)</f>
        <v>770</v>
      </c>
      <c r="J233" t="s">
        <v>132</v>
      </c>
    </row>
    <row r="234" spans="2:10">
      <c r="B234">
        <v>6</v>
      </c>
      <c r="C234" t="s">
        <v>32</v>
      </c>
      <c r="D234">
        <v>22</v>
      </c>
      <c r="E234" t="s">
        <v>31</v>
      </c>
      <c r="F234">
        <f>'밸런스 조정'!$C$8+'밸런스 조정'!$D$8*D234</f>
        <v>176</v>
      </c>
      <c r="G234" t="s">
        <v>49</v>
      </c>
      <c r="H234" t="s">
        <v>9</v>
      </c>
      <c r="I234">
        <f>ROUND('밸런스 조정'!$E$8+'밸런스 조정'!$F$8*(D234-1),0)</f>
        <v>805</v>
      </c>
      <c r="J234" t="s">
        <v>132</v>
      </c>
    </row>
    <row r="235" spans="2:10">
      <c r="B235">
        <v>6</v>
      </c>
      <c r="C235" t="s">
        <v>32</v>
      </c>
      <c r="D235">
        <v>23</v>
      </c>
      <c r="E235" t="s">
        <v>31</v>
      </c>
      <c r="F235">
        <f>'밸런스 조정'!$C$8+'밸런스 조정'!$D$8*D235</f>
        <v>184</v>
      </c>
      <c r="G235" t="s">
        <v>49</v>
      </c>
      <c r="H235" t="s">
        <v>9</v>
      </c>
      <c r="I235">
        <f>ROUND('밸런스 조정'!$E$8+'밸런스 조정'!$F$8*(D235-1),0)</f>
        <v>840</v>
      </c>
      <c r="J235" t="s">
        <v>132</v>
      </c>
    </row>
    <row r="236" spans="2:10">
      <c r="B236">
        <v>6</v>
      </c>
      <c r="C236" t="s">
        <v>32</v>
      </c>
      <c r="D236">
        <v>24</v>
      </c>
      <c r="E236" t="s">
        <v>31</v>
      </c>
      <c r="F236">
        <f>'밸런스 조정'!$C$8+'밸런스 조정'!$D$8*D236</f>
        <v>192</v>
      </c>
      <c r="G236" t="s">
        <v>49</v>
      </c>
      <c r="H236" t="s">
        <v>9</v>
      </c>
      <c r="I236">
        <f>ROUND('밸런스 조정'!$E$8+'밸런스 조정'!$F$8*(D236-1),0)</f>
        <v>875</v>
      </c>
      <c r="J236" t="s">
        <v>132</v>
      </c>
    </row>
    <row r="237" spans="2:10">
      <c r="B237">
        <v>6</v>
      </c>
      <c r="C237" t="s">
        <v>32</v>
      </c>
      <c r="D237">
        <v>25</v>
      </c>
      <c r="E237" t="s">
        <v>31</v>
      </c>
      <c r="F237">
        <f>'밸런스 조정'!$C$8+'밸런스 조정'!$D$8*D237</f>
        <v>200</v>
      </c>
      <c r="G237" t="s">
        <v>49</v>
      </c>
      <c r="H237" t="s">
        <v>9</v>
      </c>
      <c r="I237">
        <f>ROUND('밸런스 조정'!$E$8+'밸런스 조정'!$F$8*(D237-1),0)</f>
        <v>910</v>
      </c>
      <c r="J237" t="s">
        <v>132</v>
      </c>
    </row>
    <row r="238" spans="2:10">
      <c r="B238">
        <v>6</v>
      </c>
      <c r="C238" t="s">
        <v>32</v>
      </c>
      <c r="D238">
        <v>26</v>
      </c>
      <c r="E238" t="s">
        <v>31</v>
      </c>
      <c r="F238">
        <f>'밸런스 조정'!$C$8+'밸런스 조정'!$D$8*D238</f>
        <v>208</v>
      </c>
      <c r="G238" t="s">
        <v>49</v>
      </c>
      <c r="H238" t="s">
        <v>9</v>
      </c>
      <c r="I238">
        <f>ROUND('밸런스 조정'!$E$8+'밸런스 조정'!$F$8*(D238-1),0)</f>
        <v>945</v>
      </c>
      <c r="J238" t="s">
        <v>132</v>
      </c>
    </row>
    <row r="239" spans="2:10">
      <c r="B239">
        <v>6</v>
      </c>
      <c r="C239" t="s">
        <v>32</v>
      </c>
      <c r="D239">
        <v>27</v>
      </c>
      <c r="E239" t="s">
        <v>31</v>
      </c>
      <c r="F239">
        <f>'밸런스 조정'!$C$8+'밸런스 조정'!$D$8*D239</f>
        <v>216</v>
      </c>
      <c r="G239" t="s">
        <v>49</v>
      </c>
      <c r="H239" t="s">
        <v>9</v>
      </c>
      <c r="I239">
        <f>ROUND('밸런스 조정'!$E$8+'밸런스 조정'!$F$8*(D239-1),0)</f>
        <v>980</v>
      </c>
      <c r="J239" t="s">
        <v>132</v>
      </c>
    </row>
    <row r="240" spans="2:10">
      <c r="B240">
        <v>6</v>
      </c>
      <c r="C240" t="s">
        <v>32</v>
      </c>
      <c r="D240">
        <v>28</v>
      </c>
      <c r="E240" t="s">
        <v>31</v>
      </c>
      <c r="F240">
        <f>'밸런스 조정'!$C$8+'밸런스 조정'!$D$8*D240</f>
        <v>224</v>
      </c>
      <c r="G240" t="s">
        <v>49</v>
      </c>
      <c r="H240" t="s">
        <v>9</v>
      </c>
      <c r="I240">
        <f>ROUND('밸런스 조정'!$E$8+'밸런스 조정'!$F$8*(D240-1),0)</f>
        <v>1015</v>
      </c>
      <c r="J240" t="s">
        <v>132</v>
      </c>
    </row>
    <row r="241" spans="2:10">
      <c r="B241">
        <v>6</v>
      </c>
      <c r="C241" t="s">
        <v>32</v>
      </c>
      <c r="D241">
        <v>29</v>
      </c>
      <c r="E241" t="s">
        <v>31</v>
      </c>
      <c r="F241">
        <f>'밸런스 조정'!$C$8+'밸런스 조정'!$D$8*D241</f>
        <v>232</v>
      </c>
      <c r="G241" t="s">
        <v>49</v>
      </c>
      <c r="H241" t="s">
        <v>9</v>
      </c>
      <c r="I241">
        <f>ROUND('밸런스 조정'!$E$8+'밸런스 조정'!$F$8*(D241-1),0)</f>
        <v>1050</v>
      </c>
      <c r="J241" t="s">
        <v>132</v>
      </c>
    </row>
    <row r="242" spans="2:10">
      <c r="B242">
        <v>6</v>
      </c>
      <c r="C242" t="s">
        <v>32</v>
      </c>
      <c r="D242">
        <v>30</v>
      </c>
      <c r="E242" t="s">
        <v>31</v>
      </c>
      <c r="F242">
        <f>'밸런스 조정'!$C$8+'밸런스 조정'!$D$8*D242</f>
        <v>240</v>
      </c>
      <c r="G242" t="s">
        <v>49</v>
      </c>
      <c r="H242" t="s">
        <v>9</v>
      </c>
      <c r="I242">
        <f>ROUND('밸런스 조정'!$E$8+'밸런스 조정'!$F$8*(D242-1),0)</f>
        <v>1085</v>
      </c>
      <c r="J242" t="s">
        <v>132</v>
      </c>
    </row>
    <row r="243" spans="2:10">
      <c r="B243">
        <v>7</v>
      </c>
      <c r="C243" t="s">
        <v>29</v>
      </c>
      <c r="D243">
        <v>1</v>
      </c>
      <c r="E243" t="s">
        <v>28</v>
      </c>
      <c r="F243">
        <f>'밸런스 조정'!$C$9+'밸런스 조정'!$D$9*D243+'밸런스 조정'!$C$94*D243*(D243-1)</f>
        <v>0.1</v>
      </c>
      <c r="G243" t="s">
        <v>63</v>
      </c>
      <c r="H243" t="s">
        <v>9</v>
      </c>
      <c r="I243">
        <f>ROUND('밸런스 조정'!$E$9+'밸런스 조정'!$F$9*(D243-1),0)</f>
        <v>80</v>
      </c>
      <c r="J243" t="s">
        <v>133</v>
      </c>
    </row>
    <row r="244" spans="2:10">
      <c r="B244">
        <v>7</v>
      </c>
      <c r="C244" t="s">
        <v>29</v>
      </c>
      <c r="D244">
        <v>2</v>
      </c>
      <c r="E244" t="s">
        <v>28</v>
      </c>
      <c r="F244">
        <f>'밸런스 조정'!$C$9+'밸런스 조정'!$D$9*D244+'밸런스 조정'!$C$94*D244*(D244-1)</f>
        <v>0.24000000000000002</v>
      </c>
      <c r="G244" t="s">
        <v>63</v>
      </c>
      <c r="H244" t="s">
        <v>9</v>
      </c>
      <c r="I244">
        <f>ROUND('밸런스 조정'!$E$9+'밸런스 조정'!$F$9*(D244-1),0)</f>
        <v>115</v>
      </c>
      <c r="J244" t="s">
        <v>133</v>
      </c>
    </row>
    <row r="245" spans="2:10">
      <c r="B245">
        <v>7</v>
      </c>
      <c r="C245" t="s">
        <v>29</v>
      </c>
      <c r="D245">
        <v>3</v>
      </c>
      <c r="E245" t="s">
        <v>28</v>
      </c>
      <c r="F245">
        <f>'밸런스 조정'!$C$9+'밸런스 조정'!$D$9*D245+'밸런스 조정'!$C$94*D245*(D245-1)</f>
        <v>0.42000000000000004</v>
      </c>
      <c r="G245" t="s">
        <v>63</v>
      </c>
      <c r="H245" t="s">
        <v>9</v>
      </c>
      <c r="I245">
        <f>ROUND('밸런스 조정'!$E$9+'밸런스 조정'!$F$9*(D245-1),0)</f>
        <v>150</v>
      </c>
      <c r="J245" t="s">
        <v>133</v>
      </c>
    </row>
    <row r="246" spans="2:10">
      <c r="B246">
        <v>7</v>
      </c>
      <c r="C246" t="s">
        <v>29</v>
      </c>
      <c r="D246">
        <v>4</v>
      </c>
      <c r="E246" t="s">
        <v>28</v>
      </c>
      <c r="F246">
        <f>'밸런스 조정'!$C$9+'밸런스 조정'!$D$9*D246+'밸런스 조정'!$C$94*D246*(D246-1)</f>
        <v>0.64</v>
      </c>
      <c r="G246" t="s">
        <v>63</v>
      </c>
      <c r="H246" t="s">
        <v>9</v>
      </c>
      <c r="I246">
        <f>ROUND('밸런스 조정'!$E$9+'밸런스 조정'!$F$9*(D246-1),0)</f>
        <v>185</v>
      </c>
      <c r="J246" t="s">
        <v>133</v>
      </c>
    </row>
    <row r="247" spans="2:10">
      <c r="B247">
        <v>7</v>
      </c>
      <c r="C247" t="s">
        <v>29</v>
      </c>
      <c r="D247">
        <v>5</v>
      </c>
      <c r="E247" t="s">
        <v>28</v>
      </c>
      <c r="F247">
        <f>'밸런스 조정'!$C$9+'밸런스 조정'!$D$9*D247+'밸런스 조정'!$C$94*D247*(D247-1)</f>
        <v>0.9</v>
      </c>
      <c r="G247" t="s">
        <v>63</v>
      </c>
      <c r="H247" t="s">
        <v>9</v>
      </c>
      <c r="I247">
        <f>ROUND('밸런스 조정'!$E$9+'밸런스 조정'!$F$9*(D247-1),0)</f>
        <v>220</v>
      </c>
      <c r="J247" t="s">
        <v>133</v>
      </c>
    </row>
    <row r="248" spans="2:10">
      <c r="B248">
        <v>7</v>
      </c>
      <c r="C248" t="s">
        <v>29</v>
      </c>
      <c r="D248">
        <v>6</v>
      </c>
      <c r="E248" t="s">
        <v>28</v>
      </c>
      <c r="F248">
        <f>'밸런스 조정'!$C$9+'밸런스 조정'!$D$9*D248+'밸런스 조정'!$C$94*D248*(D248-1)</f>
        <v>1.2000000000000002</v>
      </c>
      <c r="G248" t="s">
        <v>63</v>
      </c>
      <c r="H248" t="s">
        <v>9</v>
      </c>
      <c r="I248">
        <f>ROUND('밸런스 조정'!$E$9+'밸런스 조정'!$F$9*(D248-1),0)</f>
        <v>255</v>
      </c>
      <c r="J248" t="s">
        <v>133</v>
      </c>
    </row>
    <row r="249" spans="2:10">
      <c r="B249">
        <v>7</v>
      </c>
      <c r="C249" t="s">
        <v>29</v>
      </c>
      <c r="D249">
        <v>7</v>
      </c>
      <c r="E249" t="s">
        <v>28</v>
      </c>
      <c r="F249">
        <f>'밸런스 조정'!$C$9+'밸런스 조정'!$D$9*D249+'밸런스 조정'!$C$94*D249*(D249-1)</f>
        <v>1.54</v>
      </c>
      <c r="G249" t="s">
        <v>63</v>
      </c>
      <c r="H249" t="s">
        <v>9</v>
      </c>
      <c r="I249">
        <f>ROUND('밸런스 조정'!$E$9+'밸런스 조정'!$F$9*(D249-1),0)</f>
        <v>290</v>
      </c>
      <c r="J249" t="s">
        <v>133</v>
      </c>
    </row>
    <row r="250" spans="2:10">
      <c r="B250">
        <v>7</v>
      </c>
      <c r="C250" t="s">
        <v>29</v>
      </c>
      <c r="D250">
        <v>8</v>
      </c>
      <c r="E250" t="s">
        <v>28</v>
      </c>
      <c r="F250">
        <f>'밸런스 조정'!$C$9+'밸런스 조정'!$D$9*D250+'밸런스 조정'!$C$94*D250*(D250-1)</f>
        <v>1.9200000000000002</v>
      </c>
      <c r="G250" t="s">
        <v>63</v>
      </c>
      <c r="H250" t="s">
        <v>9</v>
      </c>
      <c r="I250">
        <f>ROUND('밸런스 조정'!$E$9+'밸런스 조정'!$F$9*(D250-1),0)</f>
        <v>325</v>
      </c>
      <c r="J250" t="s">
        <v>133</v>
      </c>
    </row>
    <row r="251" spans="2:10">
      <c r="B251">
        <v>7</v>
      </c>
      <c r="C251" t="s">
        <v>29</v>
      </c>
      <c r="D251">
        <v>9</v>
      </c>
      <c r="E251" t="s">
        <v>28</v>
      </c>
      <c r="F251">
        <f>'밸런스 조정'!$C$9+'밸런스 조정'!$D$9*D251+'밸런스 조정'!$C$94*D251*(D251-1)</f>
        <v>2.34</v>
      </c>
      <c r="G251" t="s">
        <v>63</v>
      </c>
      <c r="H251" t="s">
        <v>9</v>
      </c>
      <c r="I251">
        <f>ROUND('밸런스 조정'!$E$9+'밸런스 조정'!$F$9*(D251-1),0)</f>
        <v>360</v>
      </c>
      <c r="J251" t="s">
        <v>133</v>
      </c>
    </row>
    <row r="252" spans="2:10">
      <c r="B252">
        <v>7</v>
      </c>
      <c r="C252" t="s">
        <v>29</v>
      </c>
      <c r="D252">
        <v>10</v>
      </c>
      <c r="E252" t="s">
        <v>28</v>
      </c>
      <c r="F252">
        <f>'밸런스 조정'!$C$9+'밸런스 조정'!$D$9*D252+'밸런스 조정'!$C$94*D252*(D252-1)</f>
        <v>2.8</v>
      </c>
      <c r="G252" t="s">
        <v>63</v>
      </c>
      <c r="H252" t="s">
        <v>9</v>
      </c>
      <c r="I252">
        <f>ROUND('밸런스 조정'!$E$9+'밸런스 조정'!$F$9*(D252-1),0)</f>
        <v>395</v>
      </c>
      <c r="J252" t="s">
        <v>133</v>
      </c>
    </row>
    <row r="253" spans="2:10">
      <c r="B253">
        <v>7</v>
      </c>
      <c r="C253" t="s">
        <v>29</v>
      </c>
      <c r="D253">
        <v>11</v>
      </c>
      <c r="E253" t="s">
        <v>28</v>
      </c>
      <c r="F253">
        <f>'밸런스 조정'!$C$9+'밸런스 조정'!$D$9*D253+'밸런스 조정'!$C$94*D253*(D253-1)</f>
        <v>3.3000000000000003</v>
      </c>
      <c r="G253" t="s">
        <v>63</v>
      </c>
      <c r="H253" t="s">
        <v>9</v>
      </c>
      <c r="I253">
        <f>ROUND('밸런스 조정'!$E$9+'밸런스 조정'!$F$9*(D253-1),0)</f>
        <v>430</v>
      </c>
      <c r="J253" t="s">
        <v>133</v>
      </c>
    </row>
    <row r="254" spans="2:10">
      <c r="B254">
        <v>7</v>
      </c>
      <c r="C254" t="s">
        <v>29</v>
      </c>
      <c r="D254">
        <v>12</v>
      </c>
      <c r="E254" t="s">
        <v>28</v>
      </c>
      <c r="F254">
        <f>'밸런스 조정'!$C$9+'밸런스 조정'!$D$9*D254+'밸런스 조정'!$C$94*D254*(D254-1)</f>
        <v>3.84</v>
      </c>
      <c r="G254" t="s">
        <v>63</v>
      </c>
      <c r="H254" t="s">
        <v>9</v>
      </c>
      <c r="I254">
        <f>ROUND('밸런스 조정'!$E$9+'밸런스 조정'!$F$9*(D254-1),0)</f>
        <v>465</v>
      </c>
      <c r="J254" t="s">
        <v>133</v>
      </c>
    </row>
    <row r="255" spans="2:10">
      <c r="B255">
        <v>7</v>
      </c>
      <c r="C255" t="s">
        <v>29</v>
      </c>
      <c r="D255">
        <v>13</v>
      </c>
      <c r="E255" t="s">
        <v>28</v>
      </c>
      <c r="F255">
        <f>'밸런스 조정'!$C$9+'밸런스 조정'!$D$9*D255+'밸런스 조정'!$C$94*D255*(D255-1)</f>
        <v>4.42</v>
      </c>
      <c r="G255" t="s">
        <v>63</v>
      </c>
      <c r="H255" t="s">
        <v>9</v>
      </c>
      <c r="I255">
        <f>ROUND('밸런스 조정'!$E$9+'밸런스 조정'!$F$9*(D255-1),0)</f>
        <v>500</v>
      </c>
      <c r="J255" t="s">
        <v>133</v>
      </c>
    </row>
    <row r="256" spans="2:10">
      <c r="B256">
        <v>7</v>
      </c>
      <c r="C256" t="s">
        <v>29</v>
      </c>
      <c r="D256">
        <v>14</v>
      </c>
      <c r="E256" t="s">
        <v>28</v>
      </c>
      <c r="F256">
        <f>'밸런스 조정'!$C$9+'밸런스 조정'!$D$9*D256+'밸런스 조정'!$C$94*D256*(D256-1)</f>
        <v>5.0400000000000009</v>
      </c>
      <c r="G256" t="s">
        <v>63</v>
      </c>
      <c r="H256" t="s">
        <v>9</v>
      </c>
      <c r="I256">
        <f>ROUND('밸런스 조정'!$E$9+'밸런스 조정'!$F$9*(D256-1),0)</f>
        <v>535</v>
      </c>
      <c r="J256" t="s">
        <v>133</v>
      </c>
    </row>
    <row r="257" spans="2:10">
      <c r="B257">
        <v>7</v>
      </c>
      <c r="C257" t="s">
        <v>29</v>
      </c>
      <c r="D257">
        <v>15</v>
      </c>
      <c r="E257" t="s">
        <v>28</v>
      </c>
      <c r="F257">
        <f>'밸런스 조정'!$C$9+'밸런스 조정'!$D$9*D257+'밸런스 조정'!$C$94*D257*(D257-1)</f>
        <v>5.7</v>
      </c>
      <c r="G257" t="s">
        <v>63</v>
      </c>
      <c r="H257" t="s">
        <v>9</v>
      </c>
      <c r="I257">
        <f>ROUND('밸런스 조정'!$E$9+'밸런스 조정'!$F$9*(D257-1),0)</f>
        <v>570</v>
      </c>
      <c r="J257" t="s">
        <v>133</v>
      </c>
    </row>
    <row r="258" spans="2:10">
      <c r="B258">
        <v>7</v>
      </c>
      <c r="C258" t="s">
        <v>29</v>
      </c>
      <c r="D258">
        <v>16</v>
      </c>
      <c r="E258" t="s">
        <v>28</v>
      </c>
      <c r="F258">
        <f>'밸런스 조정'!$C$9+'밸런스 조정'!$D$9*D258+'밸런스 조정'!$C$94*D258*(D258-1)</f>
        <v>6.4</v>
      </c>
      <c r="G258" t="s">
        <v>63</v>
      </c>
      <c r="H258" t="s">
        <v>9</v>
      </c>
      <c r="I258">
        <f>ROUND('밸런스 조정'!$E$9+'밸런스 조정'!$F$9*(D258-1),0)</f>
        <v>605</v>
      </c>
      <c r="J258" t="s">
        <v>133</v>
      </c>
    </row>
    <row r="259" spans="2:10">
      <c r="B259">
        <v>7</v>
      </c>
      <c r="C259" t="s">
        <v>29</v>
      </c>
      <c r="D259">
        <v>17</v>
      </c>
      <c r="E259" t="s">
        <v>28</v>
      </c>
      <c r="F259">
        <f>'밸런스 조정'!$C$9+'밸런스 조정'!$D$9*D259+'밸런스 조정'!$C$94*D259*(D259-1)</f>
        <v>7.1400000000000006</v>
      </c>
      <c r="G259" t="s">
        <v>63</v>
      </c>
      <c r="H259" t="s">
        <v>9</v>
      </c>
      <c r="I259">
        <f>ROUND('밸런스 조정'!$E$9+'밸런스 조정'!$F$9*(D259-1),0)</f>
        <v>640</v>
      </c>
      <c r="J259" t="s">
        <v>133</v>
      </c>
    </row>
    <row r="260" spans="2:10">
      <c r="B260">
        <v>7</v>
      </c>
      <c r="C260" t="s">
        <v>29</v>
      </c>
      <c r="D260">
        <v>18</v>
      </c>
      <c r="E260" t="s">
        <v>28</v>
      </c>
      <c r="F260">
        <f>'밸런스 조정'!$C$9+'밸런스 조정'!$D$9*D260+'밸런스 조정'!$C$94*D260*(D260-1)</f>
        <v>7.92</v>
      </c>
      <c r="G260" t="s">
        <v>63</v>
      </c>
      <c r="H260" t="s">
        <v>9</v>
      </c>
      <c r="I260">
        <f>ROUND('밸런스 조정'!$E$9+'밸런스 조정'!$F$9*(D260-1),0)</f>
        <v>675</v>
      </c>
      <c r="J260" t="s">
        <v>133</v>
      </c>
    </row>
    <row r="261" spans="2:10">
      <c r="B261">
        <v>7</v>
      </c>
      <c r="C261" t="s">
        <v>29</v>
      </c>
      <c r="D261">
        <v>19</v>
      </c>
      <c r="E261" t="s">
        <v>28</v>
      </c>
      <c r="F261">
        <f>'밸런스 조정'!$C$9+'밸런스 조정'!$D$9*D261+'밸런스 조정'!$C$94*D261*(D261-1)</f>
        <v>8.74</v>
      </c>
      <c r="G261" t="s">
        <v>63</v>
      </c>
      <c r="H261" t="s">
        <v>9</v>
      </c>
      <c r="I261">
        <f>ROUND('밸런스 조정'!$E$9+'밸런스 조정'!$F$9*(D261-1),0)</f>
        <v>710</v>
      </c>
      <c r="J261" t="s">
        <v>133</v>
      </c>
    </row>
    <row r="262" spans="2:10">
      <c r="B262">
        <v>7</v>
      </c>
      <c r="C262" t="s">
        <v>29</v>
      </c>
      <c r="D262">
        <v>20</v>
      </c>
      <c r="E262" t="s">
        <v>28</v>
      </c>
      <c r="F262">
        <f>'밸런스 조정'!$C$9+'밸런스 조정'!$D$9*D262+'밸런스 조정'!$C$94*D262*(D262-1)</f>
        <v>9.6000000000000014</v>
      </c>
      <c r="G262" t="s">
        <v>63</v>
      </c>
      <c r="H262" t="s">
        <v>9</v>
      </c>
      <c r="I262">
        <f>ROUND('밸런스 조정'!$E$9+'밸런스 조정'!$F$9*(D262-1),0)</f>
        <v>745</v>
      </c>
      <c r="J262" t="s">
        <v>133</v>
      </c>
    </row>
    <row r="263" spans="2:10">
      <c r="B263">
        <v>8</v>
      </c>
      <c r="C263" t="s">
        <v>134</v>
      </c>
      <c r="D263">
        <v>1</v>
      </c>
      <c r="E263" t="s">
        <v>135</v>
      </c>
      <c r="F263">
        <f>'밸런스 조정'!$C$10+'밸런스 조정'!$D$10*D263</f>
        <v>100</v>
      </c>
      <c r="G263" t="s">
        <v>49</v>
      </c>
      <c r="H263" t="s">
        <v>9</v>
      </c>
      <c r="I263">
        <f>ROUND('밸런스 조정'!$E$10+'밸런스 조정'!$F$10*(D263-1),0)</f>
        <v>450</v>
      </c>
      <c r="J263" t="s">
        <v>136</v>
      </c>
    </row>
    <row r="264" spans="2:10">
      <c r="B264">
        <v>8</v>
      </c>
      <c r="C264" t="s">
        <v>134</v>
      </c>
      <c r="D264">
        <v>2</v>
      </c>
      <c r="E264" t="s">
        <v>135</v>
      </c>
      <c r="F264">
        <f>'밸런스 조정'!$C$10+'밸런스 조정'!$D$10*D264</f>
        <v>105</v>
      </c>
      <c r="G264" t="s">
        <v>49</v>
      </c>
      <c r="H264" t="s">
        <v>9</v>
      </c>
      <c r="I264">
        <f>ROUND('밸런스 조정'!$E$10+'밸런스 조정'!$F$10*(D264-1),0)</f>
        <v>570</v>
      </c>
      <c r="J264" t="s">
        <v>136</v>
      </c>
    </row>
    <row r="265" spans="2:10">
      <c r="B265">
        <v>8</v>
      </c>
      <c r="C265" t="s">
        <v>134</v>
      </c>
      <c r="D265">
        <v>3</v>
      </c>
      <c r="E265" t="s">
        <v>135</v>
      </c>
      <c r="F265">
        <f>'밸런스 조정'!$C$10+'밸런스 조정'!$D$10*D265</f>
        <v>110</v>
      </c>
      <c r="G265" t="s">
        <v>49</v>
      </c>
      <c r="H265" t="s">
        <v>9</v>
      </c>
      <c r="I265">
        <f>ROUND('밸런스 조정'!$E$10+'밸런스 조정'!$F$10*(D265-1),0)</f>
        <v>690</v>
      </c>
      <c r="J265" t="s">
        <v>136</v>
      </c>
    </row>
    <row r="266" spans="2:10">
      <c r="B266">
        <v>8</v>
      </c>
      <c r="C266" t="s">
        <v>134</v>
      </c>
      <c r="D266">
        <v>4</v>
      </c>
      <c r="E266" t="s">
        <v>135</v>
      </c>
      <c r="F266">
        <f>'밸런스 조정'!$C$10+'밸런스 조정'!$D$10*D266</f>
        <v>115</v>
      </c>
      <c r="G266" t="s">
        <v>49</v>
      </c>
      <c r="H266" t="s">
        <v>9</v>
      </c>
      <c r="I266">
        <f>ROUND('밸런스 조정'!$E$10+'밸런스 조정'!$F$10*(D266-1),0)</f>
        <v>810</v>
      </c>
      <c r="J266" t="s">
        <v>136</v>
      </c>
    </row>
    <row r="267" spans="2:10">
      <c r="B267">
        <v>8</v>
      </c>
      <c r="C267" t="s">
        <v>134</v>
      </c>
      <c r="D267">
        <v>5</v>
      </c>
      <c r="E267" t="s">
        <v>135</v>
      </c>
      <c r="F267">
        <f>'밸런스 조정'!$C$10+'밸런스 조정'!$D$10*D267</f>
        <v>120</v>
      </c>
      <c r="G267" t="s">
        <v>49</v>
      </c>
      <c r="H267" t="s">
        <v>9</v>
      </c>
      <c r="I267">
        <f>ROUND('밸런스 조정'!$E$10+'밸런스 조정'!$F$10*(D267-1),0)</f>
        <v>930</v>
      </c>
      <c r="J267" t="s">
        <v>136</v>
      </c>
    </row>
    <row r="268" spans="2:10">
      <c r="B268">
        <v>8</v>
      </c>
      <c r="C268" t="s">
        <v>134</v>
      </c>
      <c r="D268">
        <v>6</v>
      </c>
      <c r="E268" t="s">
        <v>135</v>
      </c>
      <c r="F268">
        <f>'밸런스 조정'!$C$10+'밸런스 조정'!$D$10*D268</f>
        <v>125</v>
      </c>
      <c r="G268" t="s">
        <v>49</v>
      </c>
      <c r="H268" t="s">
        <v>9</v>
      </c>
      <c r="I268">
        <f>ROUND('밸런스 조정'!$E$10+'밸런스 조정'!$F$10*(D268-1),0)</f>
        <v>1050</v>
      </c>
      <c r="J268" t="s">
        <v>136</v>
      </c>
    </row>
    <row r="269" spans="2:10">
      <c r="B269">
        <v>8</v>
      </c>
      <c r="C269" t="s">
        <v>134</v>
      </c>
      <c r="D269">
        <v>7</v>
      </c>
      <c r="E269" t="s">
        <v>135</v>
      </c>
      <c r="F269">
        <f>'밸런스 조정'!$C$10+'밸런스 조정'!$D$10*D269</f>
        <v>130</v>
      </c>
      <c r="G269" t="s">
        <v>49</v>
      </c>
      <c r="H269" t="s">
        <v>9</v>
      </c>
      <c r="I269">
        <f>ROUND('밸런스 조정'!$E$10+'밸런스 조정'!$F$10*(D269-1),0)</f>
        <v>1170</v>
      </c>
      <c r="J269" t="s">
        <v>136</v>
      </c>
    </row>
    <row r="270" spans="2:10">
      <c r="B270">
        <v>8</v>
      </c>
      <c r="C270" t="s">
        <v>134</v>
      </c>
      <c r="D270">
        <v>8</v>
      </c>
      <c r="E270" t="s">
        <v>135</v>
      </c>
      <c r="F270">
        <f>'밸런스 조정'!$C$10+'밸런스 조정'!$D$10*D270</f>
        <v>135</v>
      </c>
      <c r="G270" t="s">
        <v>49</v>
      </c>
      <c r="H270" t="s">
        <v>9</v>
      </c>
      <c r="I270">
        <f>ROUND('밸런스 조정'!$E$10+'밸런스 조정'!$F$10*(D270-1),0)</f>
        <v>1290</v>
      </c>
      <c r="J270" t="s">
        <v>136</v>
      </c>
    </row>
    <row r="271" spans="2:10">
      <c r="B271">
        <v>8</v>
      </c>
      <c r="C271" t="s">
        <v>134</v>
      </c>
      <c r="D271">
        <v>9</v>
      </c>
      <c r="E271" t="s">
        <v>135</v>
      </c>
      <c r="F271">
        <f>'밸런스 조정'!$C$10+'밸런스 조정'!$D$10*D271</f>
        <v>140</v>
      </c>
      <c r="G271" t="s">
        <v>49</v>
      </c>
      <c r="H271" t="s">
        <v>9</v>
      </c>
      <c r="I271">
        <f>ROUND('밸런스 조정'!$E$10+'밸런스 조정'!$F$10*(D271-1),0)</f>
        <v>1410</v>
      </c>
      <c r="J271" t="s">
        <v>136</v>
      </c>
    </row>
    <row r="272" spans="2:10">
      <c r="B272">
        <v>8</v>
      </c>
      <c r="C272" t="s">
        <v>134</v>
      </c>
      <c r="D272">
        <v>10</v>
      </c>
      <c r="E272" t="s">
        <v>135</v>
      </c>
      <c r="F272">
        <f>'밸런스 조정'!$C$10+'밸런스 조정'!$D$10*D272</f>
        <v>145</v>
      </c>
      <c r="G272" t="s">
        <v>49</v>
      </c>
      <c r="H272" t="s">
        <v>9</v>
      </c>
      <c r="I272">
        <f>ROUND('밸런스 조정'!$E$10+'밸런스 조정'!$F$10*(D272-1),0)</f>
        <v>1530</v>
      </c>
      <c r="J272" t="s">
        <v>136</v>
      </c>
    </row>
    <row r="273" spans="2:10">
      <c r="B273">
        <v>8</v>
      </c>
      <c r="C273" t="s">
        <v>134</v>
      </c>
      <c r="D273">
        <v>11</v>
      </c>
      <c r="E273" t="s">
        <v>135</v>
      </c>
      <c r="F273">
        <f>'밸런스 조정'!$C$10+'밸런스 조정'!$D$10*D273</f>
        <v>150</v>
      </c>
      <c r="G273" t="s">
        <v>49</v>
      </c>
      <c r="H273" t="s">
        <v>9</v>
      </c>
      <c r="I273">
        <f>ROUND('밸런스 조정'!$E$10+'밸런스 조정'!$F$10*(D273-1),0)</f>
        <v>1650</v>
      </c>
      <c r="J273" t="s">
        <v>136</v>
      </c>
    </row>
    <row r="274" spans="2:10">
      <c r="B274">
        <v>8</v>
      </c>
      <c r="C274" t="s">
        <v>134</v>
      </c>
      <c r="D274">
        <v>12</v>
      </c>
      <c r="E274" t="s">
        <v>135</v>
      </c>
      <c r="F274">
        <f>'밸런스 조정'!$C$10+'밸런스 조정'!$D$10*D274</f>
        <v>155</v>
      </c>
      <c r="G274" t="s">
        <v>49</v>
      </c>
      <c r="H274" t="s">
        <v>9</v>
      </c>
      <c r="I274">
        <f>ROUND('밸런스 조정'!$E$10+'밸런스 조정'!$F$10*(D274-1),0)</f>
        <v>1770</v>
      </c>
      <c r="J274" t="s">
        <v>136</v>
      </c>
    </row>
    <row r="275" spans="2:10">
      <c r="B275">
        <v>8</v>
      </c>
      <c r="C275" t="s">
        <v>134</v>
      </c>
      <c r="D275">
        <v>13</v>
      </c>
      <c r="E275" t="s">
        <v>135</v>
      </c>
      <c r="F275">
        <f>'밸런스 조정'!$C$10+'밸런스 조정'!$D$10*D275</f>
        <v>160</v>
      </c>
      <c r="G275" t="s">
        <v>49</v>
      </c>
      <c r="H275" t="s">
        <v>9</v>
      </c>
      <c r="I275">
        <f>ROUND('밸런스 조정'!$E$10+'밸런스 조정'!$F$10*(D275-1),0)</f>
        <v>1890</v>
      </c>
      <c r="J275" t="s">
        <v>136</v>
      </c>
    </row>
    <row r="276" spans="2:10">
      <c r="B276">
        <v>8</v>
      </c>
      <c r="C276" t="s">
        <v>134</v>
      </c>
      <c r="D276">
        <v>14</v>
      </c>
      <c r="E276" t="s">
        <v>135</v>
      </c>
      <c r="F276">
        <f>'밸런스 조정'!$C$10+'밸런스 조정'!$D$10*D276</f>
        <v>165</v>
      </c>
      <c r="G276" t="s">
        <v>49</v>
      </c>
      <c r="H276" t="s">
        <v>9</v>
      </c>
      <c r="I276">
        <f>ROUND('밸런스 조정'!$E$10+'밸런스 조정'!$F$10*(D276-1),0)</f>
        <v>2010</v>
      </c>
      <c r="J276" t="s">
        <v>136</v>
      </c>
    </row>
    <row r="277" spans="2:10">
      <c r="B277">
        <v>8</v>
      </c>
      <c r="C277" t="s">
        <v>134</v>
      </c>
      <c r="D277">
        <v>15</v>
      </c>
      <c r="E277" t="s">
        <v>135</v>
      </c>
      <c r="F277">
        <f>'밸런스 조정'!$C$10+'밸런스 조정'!$D$10*D277</f>
        <v>170</v>
      </c>
      <c r="G277" t="s">
        <v>49</v>
      </c>
      <c r="H277" t="s">
        <v>9</v>
      </c>
      <c r="I277">
        <f>ROUND('밸런스 조정'!$E$10+'밸런스 조정'!$F$10*(D277-1),0)</f>
        <v>2130</v>
      </c>
      <c r="J277" t="s">
        <v>136</v>
      </c>
    </row>
    <row r="278" spans="2:10">
      <c r="B278">
        <v>8</v>
      </c>
      <c r="C278" t="s">
        <v>134</v>
      </c>
      <c r="D278">
        <v>16</v>
      </c>
      <c r="E278" t="s">
        <v>135</v>
      </c>
      <c r="F278">
        <f>'밸런스 조정'!$C$10+'밸런스 조정'!$D$10*D278</f>
        <v>175</v>
      </c>
      <c r="G278" t="s">
        <v>49</v>
      </c>
      <c r="H278" t="s">
        <v>9</v>
      </c>
      <c r="I278">
        <f>ROUND('밸런스 조정'!$E$10+'밸런스 조정'!$F$10*(D278-1),0)</f>
        <v>2250</v>
      </c>
      <c r="J278" t="s">
        <v>136</v>
      </c>
    </row>
    <row r="279" spans="2:10">
      <c r="B279">
        <v>8</v>
      </c>
      <c r="C279" t="s">
        <v>134</v>
      </c>
      <c r="D279">
        <v>17</v>
      </c>
      <c r="E279" t="s">
        <v>135</v>
      </c>
      <c r="F279">
        <f>'밸런스 조정'!$C$10+'밸런스 조정'!$D$10*D279</f>
        <v>180</v>
      </c>
      <c r="G279" t="s">
        <v>49</v>
      </c>
      <c r="H279" t="s">
        <v>9</v>
      </c>
      <c r="I279">
        <f>ROUND('밸런스 조정'!$E$10+'밸런스 조정'!$F$10*(D279-1),0)</f>
        <v>2370</v>
      </c>
      <c r="J279" t="s">
        <v>136</v>
      </c>
    </row>
    <row r="280" spans="2:10">
      <c r="B280">
        <v>8</v>
      </c>
      <c r="C280" t="s">
        <v>134</v>
      </c>
      <c r="D280">
        <v>18</v>
      </c>
      <c r="E280" t="s">
        <v>135</v>
      </c>
      <c r="F280">
        <f>'밸런스 조정'!$C$10+'밸런스 조정'!$D$10*D280</f>
        <v>185</v>
      </c>
      <c r="G280" t="s">
        <v>49</v>
      </c>
      <c r="H280" t="s">
        <v>9</v>
      </c>
      <c r="I280">
        <f>ROUND('밸런스 조정'!$E$10+'밸런스 조정'!$F$10*(D280-1),0)</f>
        <v>2490</v>
      </c>
      <c r="J280" t="s">
        <v>136</v>
      </c>
    </row>
    <row r="281" spans="2:10">
      <c r="B281">
        <v>8</v>
      </c>
      <c r="C281" t="s">
        <v>134</v>
      </c>
      <c r="D281">
        <v>19</v>
      </c>
      <c r="E281" t="s">
        <v>135</v>
      </c>
      <c r="F281">
        <f>'밸런스 조정'!$C$10+'밸런스 조정'!$D$10*D281</f>
        <v>190</v>
      </c>
      <c r="G281" t="s">
        <v>49</v>
      </c>
      <c r="H281" t="s">
        <v>9</v>
      </c>
      <c r="I281">
        <f>ROUND('밸런스 조정'!$E$10+'밸런스 조정'!$F$10*(D281-1),0)</f>
        <v>2610</v>
      </c>
      <c r="J281" t="s">
        <v>136</v>
      </c>
    </row>
    <row r="282" spans="2:10">
      <c r="B282">
        <v>8</v>
      </c>
      <c r="C282" t="s">
        <v>134</v>
      </c>
      <c r="D282">
        <v>20</v>
      </c>
      <c r="E282" t="s">
        <v>135</v>
      </c>
      <c r="F282">
        <f>'밸런스 조정'!$C$10+'밸런스 조정'!$D$10*D282</f>
        <v>195</v>
      </c>
      <c r="G282" t="s">
        <v>49</v>
      </c>
      <c r="H282" t="s">
        <v>9</v>
      </c>
      <c r="I282">
        <f>ROUND('밸런스 조정'!$E$10+'밸런스 조정'!$F$10*(D282-1),0)</f>
        <v>2730</v>
      </c>
      <c r="J282" t="s">
        <v>136</v>
      </c>
    </row>
    <row r="283" spans="2:10">
      <c r="B283">
        <v>9</v>
      </c>
      <c r="C283" t="s">
        <v>137</v>
      </c>
      <c r="D283">
        <v>1</v>
      </c>
      <c r="E283" t="s">
        <v>138</v>
      </c>
      <c r="F283">
        <f>'밸런스 조정'!$C$11+'밸런스 조정'!$D$11*D283</f>
        <v>130</v>
      </c>
      <c r="G283" t="s">
        <v>49</v>
      </c>
      <c r="H283" t="s">
        <v>9</v>
      </c>
      <c r="I283">
        <f>ROUND('밸런스 조정'!$E$11+'밸런스 조정'!$F$11*(D283-1),0)</f>
        <v>550</v>
      </c>
      <c r="J283" t="s">
        <v>139</v>
      </c>
    </row>
    <row r="284" spans="2:10">
      <c r="B284">
        <v>9</v>
      </c>
      <c r="C284" t="s">
        <v>137</v>
      </c>
      <c r="D284">
        <v>2</v>
      </c>
      <c r="E284" t="s">
        <v>138</v>
      </c>
      <c r="F284">
        <f>'밸런스 조정'!$C$11+'밸런스 조정'!$D$11*D284</f>
        <v>135</v>
      </c>
      <c r="G284" t="s">
        <v>49</v>
      </c>
      <c r="H284" t="s">
        <v>9</v>
      </c>
      <c r="I284">
        <f>ROUND('밸런스 조정'!$E$11+'밸런스 조정'!$F$11*(D284-1),0)</f>
        <v>700</v>
      </c>
      <c r="J284" t="s">
        <v>139</v>
      </c>
    </row>
    <row r="285" spans="2:10">
      <c r="B285">
        <v>9</v>
      </c>
      <c r="C285" t="s">
        <v>137</v>
      </c>
      <c r="D285">
        <v>3</v>
      </c>
      <c r="E285" t="s">
        <v>138</v>
      </c>
      <c r="F285">
        <f>'밸런스 조정'!$C$11+'밸런스 조정'!$D$11*D285</f>
        <v>140</v>
      </c>
      <c r="G285" t="s">
        <v>49</v>
      </c>
      <c r="H285" t="s">
        <v>9</v>
      </c>
      <c r="I285">
        <f>ROUND('밸런스 조정'!$E$11+'밸런스 조정'!$F$11*(D285-1),0)</f>
        <v>850</v>
      </c>
      <c r="J285" t="s">
        <v>139</v>
      </c>
    </row>
    <row r="286" spans="2:10">
      <c r="B286">
        <v>9</v>
      </c>
      <c r="C286" t="s">
        <v>137</v>
      </c>
      <c r="D286">
        <v>4</v>
      </c>
      <c r="E286" t="s">
        <v>138</v>
      </c>
      <c r="F286">
        <f>'밸런스 조정'!$C$11+'밸런스 조정'!$D$11*D286</f>
        <v>145</v>
      </c>
      <c r="G286" t="s">
        <v>49</v>
      </c>
      <c r="H286" t="s">
        <v>9</v>
      </c>
      <c r="I286">
        <f>ROUND('밸런스 조정'!$E$11+'밸런스 조정'!$F$11*(D286-1),0)</f>
        <v>1000</v>
      </c>
      <c r="J286" t="s">
        <v>139</v>
      </c>
    </row>
    <row r="287" spans="2:10">
      <c r="B287">
        <v>9</v>
      </c>
      <c r="C287" t="s">
        <v>137</v>
      </c>
      <c r="D287">
        <v>5</v>
      </c>
      <c r="E287" t="s">
        <v>138</v>
      </c>
      <c r="F287">
        <f>'밸런스 조정'!$C$11+'밸런스 조정'!$D$11*D287</f>
        <v>150</v>
      </c>
      <c r="G287" t="s">
        <v>49</v>
      </c>
      <c r="H287" t="s">
        <v>9</v>
      </c>
      <c r="I287">
        <f>ROUND('밸런스 조정'!$E$11+'밸런스 조정'!$F$11*(D287-1),0)</f>
        <v>1150</v>
      </c>
      <c r="J287" t="s">
        <v>139</v>
      </c>
    </row>
    <row r="288" spans="2:10">
      <c r="B288">
        <v>9</v>
      </c>
      <c r="C288" t="s">
        <v>137</v>
      </c>
      <c r="D288">
        <v>6</v>
      </c>
      <c r="E288" t="s">
        <v>138</v>
      </c>
      <c r="F288">
        <f>'밸런스 조정'!$C$11+'밸런스 조정'!$D$11*D288</f>
        <v>155</v>
      </c>
      <c r="G288" t="s">
        <v>49</v>
      </c>
      <c r="H288" t="s">
        <v>9</v>
      </c>
      <c r="I288">
        <f>ROUND('밸런스 조정'!$E$11+'밸런스 조정'!$F$11*(D288-1),0)</f>
        <v>1300</v>
      </c>
      <c r="J288" t="s">
        <v>139</v>
      </c>
    </row>
    <row r="289" spans="2:10">
      <c r="B289">
        <v>9</v>
      </c>
      <c r="C289" t="s">
        <v>137</v>
      </c>
      <c r="D289">
        <v>7</v>
      </c>
      <c r="E289" t="s">
        <v>138</v>
      </c>
      <c r="F289">
        <f>'밸런스 조정'!$C$11+'밸런스 조정'!$D$11*D289</f>
        <v>160</v>
      </c>
      <c r="G289" t="s">
        <v>49</v>
      </c>
      <c r="H289" t="s">
        <v>9</v>
      </c>
      <c r="I289">
        <f>ROUND('밸런스 조정'!$E$11+'밸런스 조정'!$F$11*(D289-1),0)</f>
        <v>1450</v>
      </c>
      <c r="J289" t="s">
        <v>139</v>
      </c>
    </row>
    <row r="290" spans="2:10">
      <c r="B290">
        <v>9</v>
      </c>
      <c r="C290" t="s">
        <v>137</v>
      </c>
      <c r="D290">
        <v>8</v>
      </c>
      <c r="E290" t="s">
        <v>138</v>
      </c>
      <c r="F290">
        <f>'밸런스 조정'!$C$11+'밸런스 조정'!$D$11*D290</f>
        <v>165</v>
      </c>
      <c r="G290" t="s">
        <v>49</v>
      </c>
      <c r="H290" t="s">
        <v>9</v>
      </c>
      <c r="I290">
        <f>ROUND('밸런스 조정'!$E$11+'밸런스 조정'!$F$11*(D290-1),0)</f>
        <v>1600</v>
      </c>
      <c r="J290" t="s">
        <v>139</v>
      </c>
    </row>
    <row r="291" spans="2:10">
      <c r="B291">
        <v>9</v>
      </c>
      <c r="C291" t="s">
        <v>137</v>
      </c>
      <c r="D291">
        <v>9</v>
      </c>
      <c r="E291" t="s">
        <v>138</v>
      </c>
      <c r="F291">
        <f>'밸런스 조정'!$C$11+'밸런스 조정'!$D$11*D291</f>
        <v>170</v>
      </c>
      <c r="G291" t="s">
        <v>49</v>
      </c>
      <c r="H291" t="s">
        <v>9</v>
      </c>
      <c r="I291">
        <f>ROUND('밸런스 조정'!$E$11+'밸런스 조정'!$F$11*(D291-1),0)</f>
        <v>1750</v>
      </c>
      <c r="J291" t="s">
        <v>139</v>
      </c>
    </row>
    <row r="292" spans="2:10">
      <c r="B292">
        <v>9</v>
      </c>
      <c r="C292" t="s">
        <v>137</v>
      </c>
      <c r="D292">
        <v>10</v>
      </c>
      <c r="E292" t="s">
        <v>138</v>
      </c>
      <c r="F292">
        <f>'밸런스 조정'!$C$11+'밸런스 조정'!$D$11*D292</f>
        <v>175</v>
      </c>
      <c r="G292" t="s">
        <v>49</v>
      </c>
      <c r="H292" t="s">
        <v>9</v>
      </c>
      <c r="I292">
        <f>ROUND('밸런스 조정'!$E$11+'밸런스 조정'!$F$11*(D292-1),0)</f>
        <v>1900</v>
      </c>
      <c r="J292" t="s">
        <v>139</v>
      </c>
    </row>
    <row r="293" spans="2:10">
      <c r="B293">
        <v>9</v>
      </c>
      <c r="C293" t="s">
        <v>137</v>
      </c>
      <c r="D293">
        <v>11</v>
      </c>
      <c r="E293" t="s">
        <v>138</v>
      </c>
      <c r="F293">
        <f>'밸런스 조정'!$C$11+'밸런스 조정'!$D$11*D293</f>
        <v>180</v>
      </c>
      <c r="G293" t="s">
        <v>49</v>
      </c>
      <c r="H293" t="s">
        <v>9</v>
      </c>
      <c r="I293">
        <f>ROUND('밸런스 조정'!$E$11+'밸런스 조정'!$F$11*(D293-1),0)</f>
        <v>2050</v>
      </c>
      <c r="J293" t="s">
        <v>139</v>
      </c>
    </row>
    <row r="294" spans="2:10">
      <c r="B294">
        <v>9</v>
      </c>
      <c r="C294" t="s">
        <v>137</v>
      </c>
      <c r="D294">
        <v>12</v>
      </c>
      <c r="E294" t="s">
        <v>138</v>
      </c>
      <c r="F294">
        <f>'밸런스 조정'!$C$11+'밸런스 조정'!$D$11*D294</f>
        <v>185</v>
      </c>
      <c r="G294" t="s">
        <v>49</v>
      </c>
      <c r="H294" t="s">
        <v>9</v>
      </c>
      <c r="I294">
        <f>ROUND('밸런스 조정'!$E$11+'밸런스 조정'!$F$11*(D294-1),0)</f>
        <v>2200</v>
      </c>
      <c r="J294" t="s">
        <v>139</v>
      </c>
    </row>
    <row r="295" spans="2:10">
      <c r="B295">
        <v>9</v>
      </c>
      <c r="C295" t="s">
        <v>137</v>
      </c>
      <c r="D295">
        <v>13</v>
      </c>
      <c r="E295" t="s">
        <v>138</v>
      </c>
      <c r="F295">
        <f>'밸런스 조정'!$C$11+'밸런스 조정'!$D$11*D295</f>
        <v>190</v>
      </c>
      <c r="G295" t="s">
        <v>49</v>
      </c>
      <c r="H295" t="s">
        <v>9</v>
      </c>
      <c r="I295">
        <f>ROUND('밸런스 조정'!$E$11+'밸런스 조정'!$F$11*(D295-1),0)</f>
        <v>2350</v>
      </c>
      <c r="J295" t="s">
        <v>139</v>
      </c>
    </row>
    <row r="296" spans="2:10">
      <c r="B296">
        <v>9</v>
      </c>
      <c r="C296" t="s">
        <v>137</v>
      </c>
      <c r="D296">
        <v>14</v>
      </c>
      <c r="E296" t="s">
        <v>138</v>
      </c>
      <c r="F296">
        <f>'밸런스 조정'!$C$11+'밸런스 조정'!$D$11*D296</f>
        <v>195</v>
      </c>
      <c r="G296" t="s">
        <v>49</v>
      </c>
      <c r="H296" t="s">
        <v>9</v>
      </c>
      <c r="I296">
        <f>ROUND('밸런스 조정'!$E$11+'밸런스 조정'!$F$11*(D296-1),0)</f>
        <v>2500</v>
      </c>
      <c r="J296" t="s">
        <v>139</v>
      </c>
    </row>
    <row r="297" spans="2:10">
      <c r="B297">
        <v>9</v>
      </c>
      <c r="C297" t="s">
        <v>137</v>
      </c>
      <c r="D297">
        <v>15</v>
      </c>
      <c r="E297" t="s">
        <v>138</v>
      </c>
      <c r="F297">
        <f>'밸런스 조정'!$C$11+'밸런스 조정'!$D$11*D297</f>
        <v>200</v>
      </c>
      <c r="G297" t="s">
        <v>49</v>
      </c>
      <c r="H297" t="s">
        <v>9</v>
      </c>
      <c r="I297">
        <f>ROUND('밸런스 조정'!$E$11+'밸런스 조정'!$F$11*(D297-1),0)</f>
        <v>2650</v>
      </c>
      <c r="J297" t="s">
        <v>139</v>
      </c>
    </row>
    <row r="298" spans="2:10">
      <c r="B298">
        <v>9</v>
      </c>
      <c r="C298" t="s">
        <v>137</v>
      </c>
      <c r="D298">
        <v>16</v>
      </c>
      <c r="E298" t="s">
        <v>138</v>
      </c>
      <c r="F298">
        <f>'밸런스 조정'!$C$11+'밸런스 조정'!$D$11*D298</f>
        <v>205</v>
      </c>
      <c r="G298" t="s">
        <v>49</v>
      </c>
      <c r="H298" t="s">
        <v>9</v>
      </c>
      <c r="I298">
        <f>ROUND('밸런스 조정'!$E$11+'밸런스 조정'!$F$11*(D298-1),0)</f>
        <v>2800</v>
      </c>
      <c r="J298" t="s">
        <v>139</v>
      </c>
    </row>
    <row r="299" spans="2:10">
      <c r="B299">
        <v>9</v>
      </c>
      <c r="C299" t="s">
        <v>137</v>
      </c>
      <c r="D299">
        <v>17</v>
      </c>
      <c r="E299" t="s">
        <v>138</v>
      </c>
      <c r="F299">
        <f>'밸런스 조정'!$C$11+'밸런스 조정'!$D$11*D299</f>
        <v>210</v>
      </c>
      <c r="G299" t="s">
        <v>49</v>
      </c>
      <c r="H299" t="s">
        <v>9</v>
      </c>
      <c r="I299">
        <f>ROUND('밸런스 조정'!$E$11+'밸런스 조정'!$F$11*(D299-1),0)</f>
        <v>2950</v>
      </c>
      <c r="J299" t="s">
        <v>139</v>
      </c>
    </row>
    <row r="300" spans="2:10">
      <c r="B300">
        <v>9</v>
      </c>
      <c r="C300" t="s">
        <v>137</v>
      </c>
      <c r="D300">
        <v>18</v>
      </c>
      <c r="E300" t="s">
        <v>138</v>
      </c>
      <c r="F300">
        <f>'밸런스 조정'!$C$11+'밸런스 조정'!$D$11*D300</f>
        <v>215</v>
      </c>
      <c r="G300" t="s">
        <v>49</v>
      </c>
      <c r="H300" t="s">
        <v>9</v>
      </c>
      <c r="I300">
        <f>ROUND('밸런스 조정'!$E$11+'밸런스 조정'!$F$11*(D300-1),0)</f>
        <v>3100</v>
      </c>
      <c r="J300" t="s">
        <v>139</v>
      </c>
    </row>
    <row r="301" spans="2:10">
      <c r="B301">
        <v>9</v>
      </c>
      <c r="C301" t="s">
        <v>137</v>
      </c>
      <c r="D301">
        <v>19</v>
      </c>
      <c r="E301" t="s">
        <v>138</v>
      </c>
      <c r="F301">
        <f>'밸런스 조정'!$C$11+'밸런스 조정'!$D$11*D301</f>
        <v>220</v>
      </c>
      <c r="G301" t="s">
        <v>49</v>
      </c>
      <c r="H301" t="s">
        <v>9</v>
      </c>
      <c r="I301">
        <f>ROUND('밸런스 조정'!$E$11+'밸런스 조정'!$F$11*(D301-1),0)</f>
        <v>3250</v>
      </c>
      <c r="J301" t="s">
        <v>139</v>
      </c>
    </row>
    <row r="302" spans="2:10">
      <c r="B302">
        <v>9</v>
      </c>
      <c r="C302" t="s">
        <v>137</v>
      </c>
      <c r="D302">
        <v>20</v>
      </c>
      <c r="E302" t="s">
        <v>138</v>
      </c>
      <c r="F302">
        <f>'밸런스 조정'!$C$11+'밸런스 조정'!$D$11*D302</f>
        <v>225</v>
      </c>
      <c r="G302" t="s">
        <v>49</v>
      </c>
      <c r="H302" t="s">
        <v>9</v>
      </c>
      <c r="I302">
        <f>ROUND('밸런스 조정'!$E$11+'밸런스 조정'!$F$11*(D302-1),0)</f>
        <v>3400</v>
      </c>
      <c r="J302" t="s">
        <v>139</v>
      </c>
    </row>
    <row r="303" spans="2:10" ht="32.1" customHeight="1">
      <c r="B303">
        <v>10</v>
      </c>
      <c r="C303" t="s">
        <v>140</v>
      </c>
      <c r="D303">
        <v>1</v>
      </c>
      <c r="E303" s="40" t="s">
        <v>141</v>
      </c>
      <c r="F303">
        <v>5</v>
      </c>
      <c r="G303" t="s">
        <v>49</v>
      </c>
      <c r="H303" t="s">
        <v>9</v>
      </c>
      <c r="I303">
        <v>70</v>
      </c>
      <c r="J303" s="40" t="s">
        <v>142</v>
      </c>
    </row>
    <row r="304" spans="2:10" ht="32.1" customHeight="1">
      <c r="B304">
        <v>10</v>
      </c>
      <c r="C304" t="s">
        <v>140</v>
      </c>
      <c r="D304">
        <v>2</v>
      </c>
      <c r="E304" s="40" t="s">
        <v>141</v>
      </c>
      <c r="F304">
        <v>10</v>
      </c>
      <c r="G304" t="s">
        <v>49</v>
      </c>
      <c r="H304" t="s">
        <v>9</v>
      </c>
      <c r="I304">
        <v>105</v>
      </c>
      <c r="J304" s="40" t="s">
        <v>142</v>
      </c>
    </row>
    <row r="305" spans="2:10" ht="32.1" customHeight="1">
      <c r="B305">
        <v>10</v>
      </c>
      <c r="C305" t="s">
        <v>140</v>
      </c>
      <c r="D305">
        <v>3</v>
      </c>
      <c r="E305" s="40" t="s">
        <v>141</v>
      </c>
      <c r="F305">
        <v>15</v>
      </c>
      <c r="G305" t="s">
        <v>49</v>
      </c>
      <c r="H305" t="s">
        <v>9</v>
      </c>
      <c r="I305">
        <v>140</v>
      </c>
      <c r="J305" s="40" t="s">
        <v>142</v>
      </c>
    </row>
    <row r="306" spans="2:10" ht="32.1" customHeight="1">
      <c r="B306">
        <v>10</v>
      </c>
      <c r="C306" t="s">
        <v>140</v>
      </c>
      <c r="D306">
        <v>4</v>
      </c>
      <c r="E306" s="40" t="s">
        <v>141</v>
      </c>
      <c r="F306">
        <v>20</v>
      </c>
      <c r="G306" t="s">
        <v>49</v>
      </c>
      <c r="H306" t="s">
        <v>9</v>
      </c>
      <c r="I306">
        <v>175</v>
      </c>
      <c r="J306" s="40" t="s">
        <v>142</v>
      </c>
    </row>
    <row r="307" spans="2:10" ht="32.1" customHeight="1">
      <c r="B307">
        <v>10</v>
      </c>
      <c r="C307" t="s">
        <v>140</v>
      </c>
      <c r="D307">
        <v>5</v>
      </c>
      <c r="E307" s="40" t="s">
        <v>141</v>
      </c>
      <c r="F307">
        <v>25</v>
      </c>
      <c r="G307" t="s">
        <v>49</v>
      </c>
      <c r="H307" t="s">
        <v>9</v>
      </c>
      <c r="I307">
        <v>210</v>
      </c>
      <c r="J307" s="40" t="s">
        <v>142</v>
      </c>
    </row>
    <row r="308" spans="2:10" ht="32.1" customHeight="1">
      <c r="B308">
        <v>10</v>
      </c>
      <c r="C308" t="s">
        <v>140</v>
      </c>
      <c r="D308">
        <v>6</v>
      </c>
      <c r="E308" s="40" t="s">
        <v>141</v>
      </c>
      <c r="F308">
        <v>30</v>
      </c>
      <c r="G308" t="s">
        <v>49</v>
      </c>
      <c r="H308" t="s">
        <v>9</v>
      </c>
      <c r="I308">
        <v>245</v>
      </c>
      <c r="J308" s="40" t="s">
        <v>142</v>
      </c>
    </row>
    <row r="309" spans="2:10" ht="32.1" customHeight="1">
      <c r="B309">
        <v>10</v>
      </c>
      <c r="C309" t="s">
        <v>140</v>
      </c>
      <c r="D309">
        <v>7</v>
      </c>
      <c r="E309" s="40" t="s">
        <v>141</v>
      </c>
      <c r="F309">
        <v>35</v>
      </c>
      <c r="G309" t="s">
        <v>49</v>
      </c>
      <c r="H309" t="s">
        <v>9</v>
      </c>
      <c r="I309">
        <v>280</v>
      </c>
      <c r="J309" s="40" t="s">
        <v>142</v>
      </c>
    </row>
    <row r="310" spans="2:10" ht="32.1" customHeight="1">
      <c r="B310">
        <v>10</v>
      </c>
      <c r="C310" t="s">
        <v>140</v>
      </c>
      <c r="D310">
        <v>8</v>
      </c>
      <c r="E310" s="40" t="s">
        <v>141</v>
      </c>
      <c r="F310">
        <v>40</v>
      </c>
      <c r="G310" t="s">
        <v>49</v>
      </c>
      <c r="H310" t="s">
        <v>9</v>
      </c>
      <c r="I310">
        <v>315</v>
      </c>
      <c r="J310" s="40" t="s">
        <v>142</v>
      </c>
    </row>
    <row r="311" spans="2:10" ht="32.1" customHeight="1">
      <c r="B311">
        <v>10</v>
      </c>
      <c r="C311" t="s">
        <v>140</v>
      </c>
      <c r="D311">
        <v>9</v>
      </c>
      <c r="E311" s="40" t="s">
        <v>141</v>
      </c>
      <c r="F311">
        <v>45</v>
      </c>
      <c r="G311" t="s">
        <v>49</v>
      </c>
      <c r="H311" t="s">
        <v>9</v>
      </c>
      <c r="I311">
        <v>350</v>
      </c>
      <c r="J311" s="40" t="s">
        <v>142</v>
      </c>
    </row>
    <row r="312" spans="2:10" ht="32.1" customHeight="1">
      <c r="B312">
        <v>10</v>
      </c>
      <c r="C312" t="s">
        <v>140</v>
      </c>
      <c r="D312">
        <v>10</v>
      </c>
      <c r="E312" s="40" t="s">
        <v>141</v>
      </c>
      <c r="F312">
        <v>50</v>
      </c>
      <c r="G312" t="s">
        <v>49</v>
      </c>
      <c r="H312" t="s">
        <v>9</v>
      </c>
      <c r="I312">
        <v>385</v>
      </c>
      <c r="J312" s="40" t="s">
        <v>142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/>
  </sheetViews>
  <sheetFormatPr defaultRowHeight="16.5"/>
  <cols>
    <col min="2" max="2" width="9.625" customWidth="1"/>
    <col min="3" max="3" width="10.25" customWidth="1"/>
    <col min="4" max="5" width="9.625" customWidth="1"/>
    <col min="6" max="6" width="11.625" customWidth="1"/>
    <col min="7" max="7" width="18.625" customWidth="1"/>
    <col min="8" max="8" width="14.375" customWidth="1"/>
    <col min="9" max="9" width="11.625" customWidth="1"/>
  </cols>
  <sheetData>
    <row r="2" spans="2:9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9">
      <c r="B3" s="11">
        <v>1</v>
      </c>
      <c r="C3" s="11" t="s">
        <v>8</v>
      </c>
      <c r="D3" s="11" t="s">
        <v>9</v>
      </c>
      <c r="E3" s="11"/>
      <c r="F3" s="11"/>
      <c r="G3" s="11"/>
      <c r="H3" s="11"/>
      <c r="I3" s="11"/>
    </row>
    <row r="4" spans="2:9">
      <c r="B4" s="11">
        <v>2</v>
      </c>
      <c r="C4" s="11" t="s">
        <v>10</v>
      </c>
      <c r="D4" s="11" t="s">
        <v>9</v>
      </c>
      <c r="E4" s="11">
        <v>5000</v>
      </c>
      <c r="F4" s="11" t="s">
        <v>11</v>
      </c>
      <c r="G4" s="11" t="s">
        <v>12</v>
      </c>
      <c r="H4" s="11" t="s">
        <v>13</v>
      </c>
      <c r="I4" s="11">
        <v>50</v>
      </c>
    </row>
    <row r="5" spans="2:9">
      <c r="B5" s="11">
        <v>3</v>
      </c>
      <c r="C5" s="11" t="s">
        <v>14</v>
      </c>
      <c r="D5" s="11" t="s">
        <v>9</v>
      </c>
      <c r="E5" s="11">
        <v>5000</v>
      </c>
      <c r="F5" s="11" t="s">
        <v>15</v>
      </c>
      <c r="G5" s="11" t="s">
        <v>16</v>
      </c>
      <c r="H5" s="11" t="s">
        <v>13</v>
      </c>
      <c r="I5" s="11">
        <v>30</v>
      </c>
    </row>
    <row r="6" spans="2:9">
      <c r="B6" s="11">
        <v>4</v>
      </c>
      <c r="C6" s="11" t="s">
        <v>17</v>
      </c>
      <c r="D6" s="11" t="s">
        <v>9</v>
      </c>
      <c r="E6" s="11">
        <v>5000</v>
      </c>
      <c r="F6" s="11" t="s">
        <v>18</v>
      </c>
      <c r="G6" s="11" t="s">
        <v>19</v>
      </c>
      <c r="H6" s="11" t="s">
        <v>20</v>
      </c>
      <c r="I6" s="11">
        <v>20</v>
      </c>
    </row>
    <row r="7" spans="2:9">
      <c r="B7" s="11">
        <v>5</v>
      </c>
      <c r="C7" s="11" t="s">
        <v>21</v>
      </c>
      <c r="D7" s="11" t="s">
        <v>9</v>
      </c>
      <c r="E7" s="11">
        <v>5000</v>
      </c>
      <c r="F7" s="11" t="s">
        <v>22</v>
      </c>
      <c r="G7" s="11" t="s">
        <v>23</v>
      </c>
      <c r="H7" s="11" t="s">
        <v>13</v>
      </c>
      <c r="I7" s="11">
        <v>50</v>
      </c>
    </row>
    <row r="8" spans="2:9">
      <c r="B8" s="11">
        <v>6</v>
      </c>
      <c r="C8" s="11" t="s">
        <v>24</v>
      </c>
      <c r="D8" s="11" t="s">
        <v>25</v>
      </c>
      <c r="E8" s="11">
        <v>1000</v>
      </c>
      <c r="F8" s="11" t="s">
        <v>11</v>
      </c>
      <c r="G8" s="11" t="s">
        <v>12</v>
      </c>
      <c r="H8" s="11" t="s">
        <v>20</v>
      </c>
      <c r="I8" s="11">
        <v>50</v>
      </c>
    </row>
    <row r="9" spans="2:9">
      <c r="B9" s="11">
        <v>7</v>
      </c>
      <c r="C9" s="11" t="s">
        <v>26</v>
      </c>
      <c r="D9" s="11" t="s">
        <v>25</v>
      </c>
      <c r="E9" s="11">
        <v>1000</v>
      </c>
      <c r="F9" s="11" t="s">
        <v>15</v>
      </c>
      <c r="G9" s="11" t="s">
        <v>16</v>
      </c>
      <c r="H9" s="11" t="s">
        <v>20</v>
      </c>
      <c r="I9" s="11">
        <v>30</v>
      </c>
    </row>
    <row r="10" spans="2:9">
      <c r="B10" s="11">
        <v>8</v>
      </c>
      <c r="C10" s="11" t="s">
        <v>27</v>
      </c>
      <c r="D10" s="11" t="s">
        <v>25</v>
      </c>
      <c r="E10" s="11">
        <v>1500</v>
      </c>
      <c r="F10" s="11" t="s">
        <v>28</v>
      </c>
      <c r="G10" s="11" t="s">
        <v>29</v>
      </c>
      <c r="H10" s="11" t="s">
        <v>13</v>
      </c>
      <c r="I10" s="11">
        <v>10</v>
      </c>
    </row>
    <row r="11" spans="2:9">
      <c r="B11" s="11">
        <v>9</v>
      </c>
      <c r="C11" s="11" t="s">
        <v>30</v>
      </c>
      <c r="D11" s="11" t="s">
        <v>25</v>
      </c>
      <c r="E11" s="11">
        <v>1500</v>
      </c>
      <c r="F11" s="11" t="s">
        <v>31</v>
      </c>
      <c r="G11" s="11" t="s">
        <v>32</v>
      </c>
      <c r="H11" s="11" t="s">
        <v>20</v>
      </c>
      <c r="I11" s="11">
        <v>100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2:N23"/>
  <sheetViews>
    <sheetView workbookViewId="0"/>
  </sheetViews>
  <sheetFormatPr defaultRowHeight="16.5"/>
  <cols>
    <col min="3" max="3" width="18.625" customWidth="1"/>
    <col min="5" max="5" width="14.25" customWidth="1"/>
    <col min="7" max="7" width="13" customWidth="1"/>
    <col min="12" max="12" width="25.75" customWidth="1"/>
  </cols>
  <sheetData>
    <row r="2" spans="2:14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</v>
      </c>
      <c r="H2" t="s">
        <v>38</v>
      </c>
      <c r="I2" t="s">
        <v>39</v>
      </c>
      <c r="J2" t="s">
        <v>2</v>
      </c>
      <c r="K2" t="s">
        <v>3</v>
      </c>
      <c r="L2" t="s">
        <v>40</v>
      </c>
      <c r="M2" t="s">
        <v>41</v>
      </c>
      <c r="N2" t="s">
        <v>42</v>
      </c>
    </row>
    <row r="3" spans="2:14">
      <c r="B3">
        <v>1</v>
      </c>
      <c r="C3" t="s">
        <v>43</v>
      </c>
      <c r="D3">
        <v>1</v>
      </c>
      <c r="E3" t="s">
        <v>44</v>
      </c>
      <c r="F3" t="s">
        <v>15</v>
      </c>
      <c r="G3" t="s">
        <v>45</v>
      </c>
      <c r="I3" t="inlineStr">
        <is>
          <t>value</t>
        </is>
      </c>
      <c r="M3" s="2" t="n">
        <v>12</v>
      </c>
      <c r="N3" s="2" t="n">
        <v>18</v>
      </c>
    </row>
    <row r="4" spans="2:14">
      <c r="B4">
        <v>2</v>
      </c>
      <c r="C4" t="s">
        <v>43</v>
      </c>
      <c r="D4">
        <v>1</v>
      </c>
      <c r="E4" t="s">
        <v>47</v>
      </c>
      <c r="F4" t="s">
        <v>15</v>
      </c>
      <c r="G4" t="s">
        <v>48</v>
      </c>
      <c r="I4" t="s">
        <v>49</v>
      </c>
      <c r="M4" s="3">
        <v>10</v>
      </c>
      <c r="N4" s="3">
        <v>15</v>
      </c>
    </row>
    <row r="5" spans="2:14">
      <c r="B5">
        <v>3</v>
      </c>
      <c r="C5" t="s">
        <v>43</v>
      </c>
      <c r="D5">
        <v>1</v>
      </c>
      <c r="E5" t="s">
        <v>50</v>
      </c>
      <c r="F5" t="s">
        <v>18</v>
      </c>
      <c r="G5" t="s">
        <v>51</v>
      </c>
      <c r="I5" t="s">
        <v>49</v>
      </c>
      <c r="M5" s="5">
        <v>8</v>
      </c>
      <c r="N5" s="5">
        <v>14</v>
      </c>
    </row>
    <row r="6" spans="2:14">
      <c r="B6">
        <v>4</v>
      </c>
      <c r="C6" t="s">
        <v>43</v>
      </c>
      <c r="D6">
        <v>1</v>
      </c>
      <c r="E6" t="s">
        <v>52</v>
      </c>
      <c r="F6" t="s">
        <v>53</v>
      </c>
      <c r="G6" t="s">
        <v>54</v>
      </c>
      <c r="I6" t="s">
        <v>49</v>
      </c>
      <c r="M6" s="6">
        <v>15</v>
      </c>
      <c r="N6" s="6">
        <v>23</v>
      </c>
    </row>
    <row r="7" spans="2:14">
      <c r="B7">
        <v>5</v>
      </c>
      <c r="C7" t="s">
        <v>43</v>
      </c>
      <c r="D7">
        <v>1</v>
      </c>
      <c r="E7" t="s">
        <v>55</v>
      </c>
      <c r="F7" t="s">
        <v>22</v>
      </c>
      <c r="G7" t="s">
        <v>56</v>
      </c>
      <c r="I7" t="inlineStr">
        <is>
          <t>value</t>
        </is>
      </c>
      <c r="L7" t="s">
        <v>143</v>
      </c>
      <c r="M7" s="7" t="n">
        <v>12</v>
      </c>
      <c r="N7" s="7" t="n">
        <v>20</v>
      </c>
    </row>
    <row r="8" spans="2:14">
      <c r="B8">
        <v>6</v>
      </c>
      <c r="C8" t="s">
        <v>43</v>
      </c>
      <c r="D8">
        <v>1</v>
      </c>
      <c r="E8" t="s">
        <v>57</v>
      </c>
      <c r="F8" t="s">
        <v>22</v>
      </c>
      <c r="G8" t="s">
        <v>58</v>
      </c>
      <c r="I8" t="s">
        <v>49</v>
      </c>
      <c r="L8" t="s">
        <v>143</v>
      </c>
      <c r="M8" s="8">
        <v>10</v>
      </c>
      <c r="N8" s="8">
        <v>17</v>
      </c>
    </row>
    <row r="9" spans="2:14">
      <c r="B9">
        <v>7</v>
      </c>
      <c r="C9" t="s">
        <v>59</v>
      </c>
      <c r="D9">
        <v>1</v>
      </c>
      <c r="E9" t="s">
        <v>60</v>
      </c>
      <c r="F9" t="s">
        <v>61</v>
      </c>
      <c r="G9" t="s">
        <v>62</v>
      </c>
      <c r="I9" t="s">
        <v>63</v>
      </c>
      <c r="M9">
        <v>1</v>
      </c>
      <c r="N9">
        <v>1</v>
      </c>
    </row>
    <row r="10" spans="2:14">
      <c r="B10">
        <v>8</v>
      </c>
      <c r="C10" t="s">
        <v>59</v>
      </c>
      <c r="D10">
        <v>1</v>
      </c>
      <c r="E10" t="s">
        <v>64</v>
      </c>
      <c r="F10" t="s">
        <v>65</v>
      </c>
      <c r="G10" t="s">
        <v>66</v>
      </c>
      <c r="I10" t="s">
        <v>63</v>
      </c>
      <c r="M10">
        <v>1</v>
      </c>
      <c r="N10">
        <v>1</v>
      </c>
    </row>
    <row r="11" spans="2:14">
      <c r="B11">
        <v>9</v>
      </c>
      <c r="C11" t="s">
        <v>67</v>
      </c>
      <c r="D11">
        <v>1</v>
      </c>
      <c r="E11" t="s">
        <v>68</v>
      </c>
      <c r="F11" t="s">
        <v>69</v>
      </c>
      <c r="G11" t="s">
        <v>70</v>
      </c>
      <c r="I11" t="s">
        <v>63</v>
      </c>
      <c r="M11">
        <v>1</v>
      </c>
      <c r="N11">
        <v>1</v>
      </c>
    </row>
    <row r="12" spans="2:14">
      <c r="B12">
        <v>10</v>
      </c>
      <c r="C12" t="s">
        <v>67</v>
      </c>
      <c r="D12">
        <v>1</v>
      </c>
      <c r="E12" t="s">
        <v>71</v>
      </c>
      <c r="F12" t="s">
        <v>15</v>
      </c>
      <c r="G12" t="s">
        <v>45</v>
      </c>
      <c r="I12" t="inlineStr">
        <is>
          <t>value</t>
        </is>
      </c>
      <c r="M12" s="2" t="n">
        <v>36</v>
      </c>
      <c r="N12" s="2" t="n">
        <v>54</v>
      </c>
    </row>
    <row r="13" spans="2:14">
      <c r="B13">
        <v>11</v>
      </c>
      <c r="C13" t="s">
        <v>67</v>
      </c>
      <c r="D13">
        <v>1</v>
      </c>
      <c r="E13" t="s">
        <v>72</v>
      </c>
      <c r="F13" t="s">
        <v>15</v>
      </c>
      <c r="G13" t="s">
        <v>48</v>
      </c>
      <c r="I13" t="s">
        <v>49</v>
      </c>
      <c r="M13" s="3">
        <f t="shared" ref="M13:M17" si="0">M4*3</f>
        <v>30</v>
      </c>
      <c r="N13" s="3">
        <f t="shared" ref="N13:N17" si="1">M13*1.5</f>
        <v>45</v>
      </c>
    </row>
    <row r="14" spans="2:14">
      <c r="B14">
        <v>12</v>
      </c>
      <c r="C14" t="s">
        <v>67</v>
      </c>
      <c r="D14">
        <v>1</v>
      </c>
      <c r="E14" t="s">
        <v>73</v>
      </c>
      <c r="F14" t="s">
        <v>18</v>
      </c>
      <c r="G14" t="s">
        <v>51</v>
      </c>
      <c r="I14" t="s">
        <v>49</v>
      </c>
      <c r="M14" s="5">
        <f t="shared" si="0"/>
        <v>24</v>
      </c>
      <c r="N14" s="5">
        <f t="shared" si="1"/>
        <v>36</v>
      </c>
    </row>
    <row r="15" spans="2:14">
      <c r="B15">
        <v>13</v>
      </c>
      <c r="C15" t="s">
        <v>67</v>
      </c>
      <c r="D15">
        <v>1</v>
      </c>
      <c r="E15" t="s">
        <v>74</v>
      </c>
      <c r="F15" t="s">
        <v>53</v>
      </c>
      <c r="G15" t="s">
        <v>54</v>
      </c>
      <c r="I15" t="s">
        <v>49</v>
      </c>
      <c r="M15" s="6">
        <f t="shared" si="0"/>
        <v>45</v>
      </c>
      <c r="N15" s="6">
        <f>ROUND(M15*1.5,0)</f>
        <v>68</v>
      </c>
    </row>
    <row r="16" spans="2:14">
      <c r="B16">
        <v>14</v>
      </c>
      <c r="C16" t="s">
        <v>67</v>
      </c>
      <c r="D16">
        <v>1</v>
      </c>
      <c r="E16" t="s">
        <v>75</v>
      </c>
      <c r="F16" t="s">
        <v>22</v>
      </c>
      <c r="G16" t="s">
        <v>56</v>
      </c>
      <c r="I16" t="inlineStr">
        <is>
          <t>value</t>
        </is>
      </c>
      <c r="L16" t="s">
        <v>143</v>
      </c>
      <c r="M16" s="7" t="n">
        <f t="shared" si="0"/>
        <v>36</v>
      </c>
      <c r="N16" s="7" t="n">
        <f t="shared" si="1"/>
        <v>54</v>
      </c>
    </row>
    <row r="17" spans="2:14">
      <c r="B17">
        <v>15</v>
      </c>
      <c r="C17" t="s">
        <v>67</v>
      </c>
      <c r="D17">
        <v>1</v>
      </c>
      <c r="E17" t="s">
        <v>76</v>
      </c>
      <c r="F17" t="s">
        <v>22</v>
      </c>
      <c r="G17" t="s">
        <v>58</v>
      </c>
      <c r="I17" t="s">
        <v>49</v>
      </c>
      <c r="L17" t="s">
        <v>143</v>
      </c>
      <c r="M17" s="8">
        <f t="shared" si="0"/>
        <v>30</v>
      </c>
      <c r="N17" s="8">
        <f t="shared" si="1"/>
        <v>45</v>
      </c>
    </row>
    <row r="23" spans="2:14">
      <c r="G23" s="4"/>
      <c r="J23" s="4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/>
  </sheetViews>
  <sheetFormatPr defaultRowHeight="16.5"/>
  <sheetData>
    <row r="2" spans="2:8">
      <c r="B2" t="s">
        <v>77</v>
      </c>
      <c r="C2" t="s">
        <v>78</v>
      </c>
      <c r="D2" t="s">
        <v>79</v>
      </c>
      <c r="E2" t="s">
        <v>80</v>
      </c>
      <c r="F2" t="s">
        <v>15</v>
      </c>
      <c r="G2" t="s">
        <v>22</v>
      </c>
      <c r="H2" t="s">
        <v>40</v>
      </c>
    </row>
    <row r="3" spans="2:8">
      <c r="B3">
        <v>1</v>
      </c>
      <c r="C3">
        <v>1</v>
      </c>
      <c r="D3">
        <v>1</v>
      </c>
      <c r="E3" t="s">
        <v>43</v>
      </c>
      <c r="F3">
        <v>33</v>
      </c>
      <c r="G3">
        <v>55</v>
      </c>
    </row>
    <row r="4" spans="2:8">
      <c r="B4">
        <v>2</v>
      </c>
      <c r="C4">
        <v>1</v>
      </c>
      <c r="D4">
        <v>1</v>
      </c>
      <c r="E4" t="s">
        <v>81</v>
      </c>
      <c r="F4">
        <v>55</v>
      </c>
      <c r="G4">
        <f>G3*2</f>
        <v>110</v>
      </c>
    </row>
    <row r="5" spans="2:8">
      <c r="B5">
        <v>3</v>
      </c>
      <c r="C5">
        <v>1</v>
      </c>
      <c r="D5">
        <v>1</v>
      </c>
      <c r="E5" t="s">
        <v>82</v>
      </c>
      <c r="F5">
        <v>165</v>
      </c>
      <c r="G5">
        <f>ROUNDUP(G4*1.7,-1)</f>
        <v>190</v>
      </c>
    </row>
    <row r="6" spans="2:8">
      <c r="B6">
        <v>4</v>
      </c>
      <c r="C6">
        <v>1</v>
      </c>
      <c r="D6">
        <v>2</v>
      </c>
      <c r="E6" t="s">
        <v>43</v>
      </c>
      <c r="F6">
        <v>36</v>
      </c>
      <c r="G6">
        <f>G3+5</f>
        <v>60</v>
      </c>
    </row>
    <row r="7" spans="2:8">
      <c r="B7">
        <v>5</v>
      </c>
      <c r="C7">
        <v>1</v>
      </c>
      <c r="D7">
        <v>2</v>
      </c>
      <c r="E7" t="s">
        <v>81</v>
      </c>
      <c r="F7">
        <v>60</v>
      </c>
      <c r="G7">
        <f>G6*2</f>
        <v>120</v>
      </c>
    </row>
    <row r="8" spans="2:8">
      <c r="B8">
        <v>6</v>
      </c>
      <c r="C8">
        <v>1</v>
      </c>
      <c r="D8">
        <v>2</v>
      </c>
      <c r="E8" t="s">
        <v>82</v>
      </c>
      <c r="F8">
        <v>180</v>
      </c>
      <c r="G8">
        <f>ROUNDUP(G7*1.7,-1)</f>
        <v>210</v>
      </c>
    </row>
    <row r="9" spans="2:8">
      <c r="B9">
        <v>7</v>
      </c>
      <c r="C9">
        <v>1</v>
      </c>
      <c r="D9">
        <v>3</v>
      </c>
      <c r="E9" t="s">
        <v>43</v>
      </c>
      <c r="F9">
        <v>39</v>
      </c>
      <c r="G9">
        <f>G6+5</f>
        <v>65</v>
      </c>
    </row>
    <row r="10" spans="2:8">
      <c r="B10">
        <v>8</v>
      </c>
      <c r="C10">
        <v>1</v>
      </c>
      <c r="D10">
        <v>3</v>
      </c>
      <c r="E10" t="s">
        <v>81</v>
      </c>
      <c r="F10">
        <v>65</v>
      </c>
      <c r="G10">
        <f>G9*2</f>
        <v>130</v>
      </c>
    </row>
    <row r="11" spans="2:8">
      <c r="B11">
        <v>9</v>
      </c>
      <c r="C11">
        <v>1</v>
      </c>
      <c r="D11">
        <v>3</v>
      </c>
      <c r="E11" t="s">
        <v>82</v>
      </c>
      <c r="F11">
        <v>195</v>
      </c>
      <c r="G11">
        <f>ROUNDUP(G10*1.7,-1)</f>
        <v>230</v>
      </c>
    </row>
    <row r="12" spans="2:8">
      <c r="B12">
        <v>10</v>
      </c>
      <c r="C12">
        <v>1</v>
      </c>
      <c r="D12">
        <v>4</v>
      </c>
      <c r="E12" t="s">
        <v>43</v>
      </c>
      <c r="F12">
        <v>42</v>
      </c>
      <c r="G12">
        <f>G9+5</f>
        <v>70</v>
      </c>
    </row>
    <row r="13" spans="2:8">
      <c r="B13">
        <v>11</v>
      </c>
      <c r="C13">
        <v>1</v>
      </c>
      <c r="D13">
        <v>4</v>
      </c>
      <c r="E13" t="s">
        <v>81</v>
      </c>
      <c r="F13">
        <v>70</v>
      </c>
      <c r="G13">
        <f>G12*2</f>
        <v>140</v>
      </c>
    </row>
    <row r="14" spans="2:8">
      <c r="B14">
        <v>12</v>
      </c>
      <c r="C14">
        <v>1</v>
      </c>
      <c r="D14">
        <v>4</v>
      </c>
      <c r="E14" t="s">
        <v>82</v>
      </c>
      <c r="F14">
        <v>210</v>
      </c>
      <c r="G14">
        <f>ROUNDUP(G13*1.7,-1)</f>
        <v>240</v>
      </c>
    </row>
    <row r="15" spans="2:8">
      <c r="B15">
        <v>13</v>
      </c>
      <c r="C15">
        <v>1</v>
      </c>
      <c r="D15">
        <v>5</v>
      </c>
      <c r="E15" t="s">
        <v>43</v>
      </c>
      <c r="F15">
        <v>45</v>
      </c>
      <c r="G15">
        <f>G12+5</f>
        <v>75</v>
      </c>
    </row>
    <row r="16" spans="2:8">
      <c r="B16">
        <v>14</v>
      </c>
      <c r="C16">
        <v>1</v>
      </c>
      <c r="D16">
        <v>5</v>
      </c>
      <c r="E16" t="s">
        <v>81</v>
      </c>
      <c r="F16">
        <v>75</v>
      </c>
      <c r="G16">
        <f>G15*2</f>
        <v>150</v>
      </c>
    </row>
    <row r="17" spans="2:7">
      <c r="B17">
        <v>15</v>
      </c>
      <c r="C17">
        <v>1</v>
      </c>
      <c r="D17">
        <v>5</v>
      </c>
      <c r="E17" t="s">
        <v>82</v>
      </c>
      <c r="F17">
        <v>225</v>
      </c>
      <c r="G17">
        <f>ROUNDUP(G16*1.7,-1)</f>
        <v>260</v>
      </c>
    </row>
    <row r="18" spans="2:7">
      <c r="B18">
        <v>16</v>
      </c>
      <c r="C18">
        <v>1</v>
      </c>
      <c r="D18">
        <v>6</v>
      </c>
      <c r="E18" t="s">
        <v>43</v>
      </c>
      <c r="F18">
        <v>48</v>
      </c>
      <c r="G18">
        <f>G15+5</f>
        <v>80</v>
      </c>
    </row>
    <row r="19" spans="2:7">
      <c r="B19">
        <v>17</v>
      </c>
      <c r="C19">
        <v>1</v>
      </c>
      <c r="D19">
        <v>6</v>
      </c>
      <c r="E19" t="s">
        <v>81</v>
      </c>
      <c r="F19">
        <v>80</v>
      </c>
      <c r="G19">
        <f>G18*2</f>
        <v>160</v>
      </c>
    </row>
    <row r="20" spans="2:7">
      <c r="B20">
        <v>18</v>
      </c>
      <c r="C20">
        <v>1</v>
      </c>
      <c r="D20">
        <v>6</v>
      </c>
      <c r="E20" t="s">
        <v>82</v>
      </c>
      <c r="F20">
        <v>240</v>
      </c>
      <c r="G20">
        <f>ROUNDUP(G19*1.7,-1)</f>
        <v>280</v>
      </c>
    </row>
    <row r="21" spans="2:7">
      <c r="B21">
        <v>19</v>
      </c>
      <c r="C21">
        <v>1</v>
      </c>
      <c r="D21">
        <v>7</v>
      </c>
      <c r="E21" t="s">
        <v>43</v>
      </c>
      <c r="F21">
        <v>51</v>
      </c>
      <c r="G21">
        <f>G18+5</f>
        <v>85</v>
      </c>
    </row>
    <row r="22" spans="2:7">
      <c r="B22">
        <v>20</v>
      </c>
      <c r="C22">
        <v>1</v>
      </c>
      <c r="D22">
        <v>7</v>
      </c>
      <c r="E22" t="s">
        <v>81</v>
      </c>
      <c r="F22">
        <v>85</v>
      </c>
      <c r="G22">
        <f>G21*2</f>
        <v>170</v>
      </c>
    </row>
    <row r="23" spans="2:7">
      <c r="B23">
        <v>21</v>
      </c>
      <c r="C23">
        <v>1</v>
      </c>
      <c r="D23">
        <v>7</v>
      </c>
      <c r="E23" t="s">
        <v>82</v>
      </c>
      <c r="F23">
        <v>255</v>
      </c>
      <c r="G23">
        <f>ROUNDUP(G22*1.7,-1)</f>
        <v>290</v>
      </c>
    </row>
    <row r="24" spans="2:7">
      <c r="B24">
        <v>22</v>
      </c>
      <c r="C24">
        <v>1</v>
      </c>
      <c r="D24">
        <v>8</v>
      </c>
      <c r="E24" t="s">
        <v>43</v>
      </c>
      <c r="F24">
        <v>54</v>
      </c>
      <c r="G24">
        <f>G21+5</f>
        <v>90</v>
      </c>
    </row>
    <row r="25" spans="2:7">
      <c r="B25">
        <v>23</v>
      </c>
      <c r="C25">
        <v>1</v>
      </c>
      <c r="D25">
        <v>8</v>
      </c>
      <c r="E25" t="s">
        <v>81</v>
      </c>
      <c r="F25">
        <v>90</v>
      </c>
      <c r="G25">
        <f>G24*2</f>
        <v>180</v>
      </c>
    </row>
    <row r="26" spans="2:7">
      <c r="B26">
        <v>24</v>
      </c>
      <c r="C26">
        <v>1</v>
      </c>
      <c r="D26">
        <v>8</v>
      </c>
      <c r="E26" t="s">
        <v>82</v>
      </c>
      <c r="F26">
        <v>270</v>
      </c>
      <c r="G26">
        <f>ROUNDUP(G25*1.7,-1)</f>
        <v>310</v>
      </c>
    </row>
    <row r="27" spans="2:7">
      <c r="B27">
        <v>25</v>
      </c>
      <c r="C27">
        <v>1</v>
      </c>
      <c r="D27">
        <v>9</v>
      </c>
      <c r="E27" t="s">
        <v>43</v>
      </c>
      <c r="F27">
        <v>57</v>
      </c>
      <c r="G27">
        <f>G24+5</f>
        <v>95</v>
      </c>
    </row>
    <row r="28" spans="2:7">
      <c r="B28">
        <v>26</v>
      </c>
      <c r="C28">
        <v>1</v>
      </c>
      <c r="D28">
        <v>9</v>
      </c>
      <c r="E28" t="s">
        <v>81</v>
      </c>
      <c r="F28">
        <v>95</v>
      </c>
      <c r="G28">
        <f>G27*2</f>
        <v>190</v>
      </c>
    </row>
    <row r="29" spans="2:7">
      <c r="B29">
        <v>27</v>
      </c>
      <c r="C29">
        <v>1</v>
      </c>
      <c r="D29">
        <v>9</v>
      </c>
      <c r="E29" t="s">
        <v>82</v>
      </c>
      <c r="F29">
        <v>285</v>
      </c>
      <c r="G29">
        <f>ROUNDUP(G28*1.7,-1)</f>
        <v>330</v>
      </c>
    </row>
    <row r="30" spans="2:7">
      <c r="B30">
        <v>28</v>
      </c>
      <c r="C30">
        <v>1</v>
      </c>
      <c r="D30">
        <v>10</v>
      </c>
      <c r="E30" t="s">
        <v>43</v>
      </c>
      <c r="F30">
        <v>60</v>
      </c>
      <c r="G30">
        <f>G27+5</f>
        <v>100</v>
      </c>
    </row>
    <row r="31" spans="2:7">
      <c r="B31">
        <v>29</v>
      </c>
      <c r="C31">
        <v>1</v>
      </c>
      <c r="D31">
        <v>10</v>
      </c>
      <c r="E31" t="s">
        <v>81</v>
      </c>
      <c r="F31">
        <v>100</v>
      </c>
      <c r="G31">
        <f>G30*2</f>
        <v>200</v>
      </c>
    </row>
    <row r="32" spans="2:7">
      <c r="B32">
        <v>30</v>
      </c>
      <c r="C32">
        <v>1</v>
      </c>
      <c r="D32">
        <v>10</v>
      </c>
      <c r="E32" t="s">
        <v>82</v>
      </c>
      <c r="F32">
        <v>300</v>
      </c>
      <c r="G32">
        <f>ROUNDUP(G31*1.7,-1)</f>
        <v>340</v>
      </c>
    </row>
    <row r="33" spans="2:7">
      <c r="B33">
        <v>31</v>
      </c>
      <c r="C33">
        <v>2</v>
      </c>
      <c r="D33">
        <v>1</v>
      </c>
      <c r="E33" t="s">
        <v>43</v>
      </c>
      <c r="F33">
        <v>63</v>
      </c>
      <c r="G33">
        <f>G30+5</f>
        <v>105</v>
      </c>
    </row>
    <row r="34" spans="2:7">
      <c r="B34">
        <v>32</v>
      </c>
      <c r="C34">
        <v>2</v>
      </c>
      <c r="D34">
        <v>1</v>
      </c>
      <c r="E34" t="s">
        <v>81</v>
      </c>
      <c r="F34">
        <v>105</v>
      </c>
      <c r="G34">
        <f>G33*2</f>
        <v>210</v>
      </c>
    </row>
    <row r="35" spans="2:7">
      <c r="B35">
        <v>33</v>
      </c>
      <c r="C35">
        <v>2</v>
      </c>
      <c r="D35">
        <v>1</v>
      </c>
      <c r="E35" t="s">
        <v>82</v>
      </c>
      <c r="F35">
        <v>315</v>
      </c>
      <c r="G35">
        <f>ROUNDUP(G34*1.7,-1)</f>
        <v>360</v>
      </c>
    </row>
    <row r="36" spans="2:7">
      <c r="B36">
        <v>34</v>
      </c>
      <c r="C36">
        <v>2</v>
      </c>
      <c r="D36">
        <v>2</v>
      </c>
      <c r="E36" t="s">
        <v>43</v>
      </c>
      <c r="F36">
        <v>66</v>
      </c>
      <c r="G36">
        <f>G33+5</f>
        <v>110</v>
      </c>
    </row>
    <row r="37" spans="2:7">
      <c r="B37">
        <v>35</v>
      </c>
      <c r="C37">
        <v>2</v>
      </c>
      <c r="D37">
        <v>2</v>
      </c>
      <c r="E37" t="s">
        <v>81</v>
      </c>
      <c r="F37">
        <v>110</v>
      </c>
      <c r="G37">
        <f>G36*2</f>
        <v>220</v>
      </c>
    </row>
    <row r="38" spans="2:7">
      <c r="B38">
        <v>36</v>
      </c>
      <c r="C38">
        <v>2</v>
      </c>
      <c r="D38">
        <v>2</v>
      </c>
      <c r="E38" t="s">
        <v>82</v>
      </c>
      <c r="F38">
        <v>330</v>
      </c>
      <c r="G38">
        <f>ROUNDUP(G37*1.7,-1)</f>
        <v>380</v>
      </c>
    </row>
    <row r="39" spans="2:7">
      <c r="B39">
        <v>37</v>
      </c>
      <c r="C39">
        <v>2</v>
      </c>
      <c r="D39">
        <v>3</v>
      </c>
      <c r="E39" t="s">
        <v>43</v>
      </c>
      <c r="F39">
        <v>69</v>
      </c>
      <c r="G39">
        <f>G36+5</f>
        <v>115</v>
      </c>
    </row>
    <row r="40" spans="2:7">
      <c r="B40">
        <v>38</v>
      </c>
      <c r="C40">
        <v>2</v>
      </c>
      <c r="D40">
        <v>3</v>
      </c>
      <c r="E40" t="s">
        <v>81</v>
      </c>
      <c r="F40">
        <v>115</v>
      </c>
      <c r="G40">
        <f>G39*2</f>
        <v>230</v>
      </c>
    </row>
    <row r="41" spans="2:7">
      <c r="B41">
        <v>39</v>
      </c>
      <c r="C41">
        <v>2</v>
      </c>
      <c r="D41">
        <v>3</v>
      </c>
      <c r="E41" t="s">
        <v>82</v>
      </c>
      <c r="F41">
        <v>345</v>
      </c>
      <c r="G41">
        <f>ROUNDUP(G40*1.7,-1)</f>
        <v>400</v>
      </c>
    </row>
    <row r="42" spans="2:7">
      <c r="B42">
        <v>40</v>
      </c>
      <c r="C42">
        <v>2</v>
      </c>
      <c r="D42">
        <v>4</v>
      </c>
      <c r="E42" t="s">
        <v>43</v>
      </c>
      <c r="F42">
        <v>72</v>
      </c>
      <c r="G42">
        <f>G39+5</f>
        <v>120</v>
      </c>
    </row>
    <row r="43" spans="2:7">
      <c r="B43">
        <v>41</v>
      </c>
      <c r="C43">
        <v>2</v>
      </c>
      <c r="D43">
        <v>4</v>
      </c>
      <c r="E43" t="s">
        <v>81</v>
      </c>
      <c r="F43">
        <v>120</v>
      </c>
      <c r="G43">
        <f>G42*2</f>
        <v>240</v>
      </c>
    </row>
    <row r="44" spans="2:7">
      <c r="B44">
        <v>42</v>
      </c>
      <c r="C44">
        <v>2</v>
      </c>
      <c r="D44">
        <v>4</v>
      </c>
      <c r="E44" t="s">
        <v>82</v>
      </c>
      <c r="F44">
        <v>360</v>
      </c>
      <c r="G44">
        <f>ROUNDUP(G43*1.7,-1)</f>
        <v>410</v>
      </c>
    </row>
    <row r="45" spans="2:7">
      <c r="B45">
        <v>43</v>
      </c>
      <c r="C45">
        <v>2</v>
      </c>
      <c r="D45">
        <v>5</v>
      </c>
      <c r="E45" t="s">
        <v>43</v>
      </c>
      <c r="F45">
        <v>75</v>
      </c>
      <c r="G45">
        <f>G42+5</f>
        <v>125</v>
      </c>
    </row>
    <row r="46" spans="2:7">
      <c r="B46">
        <v>44</v>
      </c>
      <c r="C46">
        <v>2</v>
      </c>
      <c r="D46">
        <v>5</v>
      </c>
      <c r="E46" t="s">
        <v>81</v>
      </c>
      <c r="F46">
        <v>125</v>
      </c>
      <c r="G46">
        <f>G45*2</f>
        <v>250</v>
      </c>
    </row>
    <row r="47" spans="2:7">
      <c r="B47">
        <v>45</v>
      </c>
      <c r="C47">
        <v>2</v>
      </c>
      <c r="D47">
        <v>5</v>
      </c>
      <c r="E47" t="s">
        <v>82</v>
      </c>
      <c r="F47">
        <v>375</v>
      </c>
      <c r="G47">
        <f>ROUNDUP(G46*1.7,-1)</f>
        <v>430</v>
      </c>
    </row>
    <row r="48" spans="2:7">
      <c r="B48">
        <v>46</v>
      </c>
      <c r="C48">
        <v>2</v>
      </c>
      <c r="D48">
        <v>6</v>
      </c>
      <c r="E48" t="s">
        <v>43</v>
      </c>
      <c r="F48">
        <v>78</v>
      </c>
      <c r="G48">
        <f>G45+5</f>
        <v>130</v>
      </c>
    </row>
    <row r="49" spans="2:7">
      <c r="B49">
        <v>47</v>
      </c>
      <c r="C49">
        <v>2</v>
      </c>
      <c r="D49">
        <v>6</v>
      </c>
      <c r="E49" t="s">
        <v>81</v>
      </c>
      <c r="F49">
        <v>130</v>
      </c>
      <c r="G49">
        <f>G48*2</f>
        <v>260</v>
      </c>
    </row>
    <row r="50" spans="2:7">
      <c r="B50">
        <v>48</v>
      </c>
      <c r="C50">
        <v>2</v>
      </c>
      <c r="D50">
        <v>6</v>
      </c>
      <c r="E50" t="s">
        <v>82</v>
      </c>
      <c r="F50">
        <v>390</v>
      </c>
      <c r="G50">
        <f>ROUNDUP(G49*1.7,-1)</f>
        <v>450</v>
      </c>
    </row>
    <row r="51" spans="2:7">
      <c r="B51">
        <v>49</v>
      </c>
      <c r="C51">
        <v>2</v>
      </c>
      <c r="D51">
        <v>7</v>
      </c>
      <c r="E51" t="s">
        <v>43</v>
      </c>
      <c r="F51">
        <v>81</v>
      </c>
      <c r="G51">
        <f>G48+5</f>
        <v>135</v>
      </c>
    </row>
    <row r="52" spans="2:7">
      <c r="B52">
        <v>50</v>
      </c>
      <c r="C52">
        <v>2</v>
      </c>
      <c r="D52">
        <v>7</v>
      </c>
      <c r="E52" t="s">
        <v>81</v>
      </c>
      <c r="F52">
        <v>135</v>
      </c>
      <c r="G52">
        <f>G51*2</f>
        <v>270</v>
      </c>
    </row>
    <row r="53" spans="2:7">
      <c r="B53">
        <v>51</v>
      </c>
      <c r="C53">
        <v>2</v>
      </c>
      <c r="D53">
        <v>7</v>
      </c>
      <c r="E53" t="s">
        <v>82</v>
      </c>
      <c r="F53">
        <v>405</v>
      </c>
      <c r="G53">
        <f>ROUNDUP(G52*1.7,-1)</f>
        <v>460</v>
      </c>
    </row>
    <row r="54" spans="2:7">
      <c r="B54">
        <v>52</v>
      </c>
      <c r="C54">
        <v>2</v>
      </c>
      <c r="D54">
        <v>8</v>
      </c>
      <c r="E54" t="s">
        <v>43</v>
      </c>
      <c r="F54">
        <v>84</v>
      </c>
      <c r="G54">
        <f>G51+5</f>
        <v>140</v>
      </c>
    </row>
    <row r="55" spans="2:7">
      <c r="B55">
        <v>53</v>
      </c>
      <c r="C55">
        <v>2</v>
      </c>
      <c r="D55">
        <v>8</v>
      </c>
      <c r="E55" t="s">
        <v>81</v>
      </c>
      <c r="F55">
        <v>140</v>
      </c>
      <c r="G55">
        <f>G54*2</f>
        <v>280</v>
      </c>
    </row>
    <row r="56" spans="2:7">
      <c r="B56">
        <v>54</v>
      </c>
      <c r="C56">
        <v>2</v>
      </c>
      <c r="D56">
        <v>8</v>
      </c>
      <c r="E56" t="s">
        <v>82</v>
      </c>
      <c r="F56">
        <v>420</v>
      </c>
      <c r="G56">
        <f>ROUNDUP(G55*1.7,-1)</f>
        <v>480</v>
      </c>
    </row>
    <row r="57" spans="2:7">
      <c r="B57">
        <v>55</v>
      </c>
      <c r="C57">
        <v>2</v>
      </c>
      <c r="D57">
        <v>9</v>
      </c>
      <c r="E57" t="s">
        <v>43</v>
      </c>
      <c r="F57">
        <v>87</v>
      </c>
      <c r="G57">
        <f>G54+5</f>
        <v>145</v>
      </c>
    </row>
    <row r="58" spans="2:7">
      <c r="B58">
        <v>56</v>
      </c>
      <c r="C58">
        <v>2</v>
      </c>
      <c r="D58">
        <v>9</v>
      </c>
      <c r="E58" t="s">
        <v>81</v>
      </c>
      <c r="F58">
        <v>145</v>
      </c>
      <c r="G58">
        <f>G57*2</f>
        <v>290</v>
      </c>
    </row>
    <row r="59" spans="2:7">
      <c r="B59">
        <v>57</v>
      </c>
      <c r="C59">
        <v>2</v>
      </c>
      <c r="D59">
        <v>9</v>
      </c>
      <c r="E59" t="s">
        <v>82</v>
      </c>
      <c r="F59">
        <v>435</v>
      </c>
      <c r="G59">
        <f>ROUNDUP(G58*1.7,-1)</f>
        <v>500</v>
      </c>
    </row>
    <row r="60" spans="2:7">
      <c r="B60">
        <v>58</v>
      </c>
      <c r="C60">
        <v>2</v>
      </c>
      <c r="D60">
        <v>10</v>
      </c>
      <c r="E60" t="s">
        <v>43</v>
      </c>
      <c r="F60">
        <v>90</v>
      </c>
      <c r="G60">
        <f>G57+5</f>
        <v>150</v>
      </c>
    </row>
    <row r="61" spans="2:7">
      <c r="B61">
        <v>59</v>
      </c>
      <c r="C61">
        <v>2</v>
      </c>
      <c r="D61">
        <v>10</v>
      </c>
      <c r="E61" t="s">
        <v>81</v>
      </c>
      <c r="F61">
        <v>150</v>
      </c>
      <c r="G61">
        <f>G60*2</f>
        <v>300</v>
      </c>
    </row>
    <row r="62" spans="2:7">
      <c r="B62">
        <v>60</v>
      </c>
      <c r="C62">
        <v>2</v>
      </c>
      <c r="D62">
        <v>10</v>
      </c>
      <c r="E62" t="s">
        <v>82</v>
      </c>
      <c r="F62">
        <v>450</v>
      </c>
      <c r="G62">
        <f>ROUNDUP(G61*1.7,-1)</f>
        <v>510</v>
      </c>
    </row>
    <row r="63" spans="2:7">
      <c r="B63">
        <v>61</v>
      </c>
      <c r="C63">
        <v>3</v>
      </c>
      <c r="D63">
        <v>1</v>
      </c>
      <c r="E63" t="s">
        <v>43</v>
      </c>
      <c r="F63">
        <v>93</v>
      </c>
      <c r="G63">
        <f>G60+5</f>
        <v>155</v>
      </c>
    </row>
    <row r="64" spans="2:7">
      <c r="B64">
        <v>62</v>
      </c>
      <c r="C64">
        <v>3</v>
      </c>
      <c r="D64">
        <v>1</v>
      </c>
      <c r="E64" t="s">
        <v>81</v>
      </c>
      <c r="F64">
        <v>155</v>
      </c>
      <c r="G64">
        <f>G63*2</f>
        <v>310</v>
      </c>
    </row>
    <row r="65" spans="2:7">
      <c r="B65">
        <v>63</v>
      </c>
      <c r="C65">
        <v>3</v>
      </c>
      <c r="D65">
        <v>1</v>
      </c>
      <c r="E65" t="s">
        <v>82</v>
      </c>
      <c r="F65">
        <v>465</v>
      </c>
      <c r="G65">
        <f>ROUNDUP(G64*1.7,-1)</f>
        <v>530</v>
      </c>
    </row>
    <row r="66" spans="2:7">
      <c r="B66">
        <v>64</v>
      </c>
      <c r="C66">
        <v>3</v>
      </c>
      <c r="D66">
        <v>2</v>
      </c>
      <c r="E66" t="s">
        <v>43</v>
      </c>
      <c r="F66">
        <v>96</v>
      </c>
      <c r="G66">
        <f>G63+5</f>
        <v>160</v>
      </c>
    </row>
    <row r="67" spans="2:7">
      <c r="B67">
        <v>65</v>
      </c>
      <c r="C67">
        <v>3</v>
      </c>
      <c r="D67">
        <v>2</v>
      </c>
      <c r="E67" t="s">
        <v>81</v>
      </c>
      <c r="F67">
        <v>160</v>
      </c>
      <c r="G67">
        <f>G66*2</f>
        <v>320</v>
      </c>
    </row>
    <row r="68" spans="2:7">
      <c r="B68">
        <v>66</v>
      </c>
      <c r="C68">
        <v>3</v>
      </c>
      <c r="D68">
        <v>2</v>
      </c>
      <c r="E68" t="s">
        <v>82</v>
      </c>
      <c r="F68">
        <v>480</v>
      </c>
      <c r="G68">
        <f>ROUNDUP(G67*1.7,-1)</f>
        <v>550</v>
      </c>
    </row>
    <row r="69" spans="2:7">
      <c r="B69">
        <v>67</v>
      </c>
      <c r="C69">
        <v>3</v>
      </c>
      <c r="D69">
        <v>3</v>
      </c>
      <c r="E69" t="s">
        <v>43</v>
      </c>
      <c r="F69">
        <v>99</v>
      </c>
      <c r="G69">
        <f>G66+5</f>
        <v>165</v>
      </c>
    </row>
    <row r="70" spans="2:7">
      <c r="B70">
        <v>68</v>
      </c>
      <c r="C70">
        <v>3</v>
      </c>
      <c r="D70">
        <v>3</v>
      </c>
      <c r="E70" t="s">
        <v>81</v>
      </c>
      <c r="F70">
        <v>165</v>
      </c>
      <c r="G70">
        <f>G69*2</f>
        <v>330</v>
      </c>
    </row>
    <row r="71" spans="2:7">
      <c r="B71">
        <v>69</v>
      </c>
      <c r="C71">
        <v>3</v>
      </c>
      <c r="D71">
        <v>3</v>
      </c>
      <c r="E71" t="s">
        <v>82</v>
      </c>
      <c r="F71">
        <v>495</v>
      </c>
      <c r="G71">
        <f>ROUNDUP(G70*1.7,-1)</f>
        <v>570</v>
      </c>
    </row>
    <row r="72" spans="2:7">
      <c r="B72">
        <v>70</v>
      </c>
      <c r="C72">
        <v>3</v>
      </c>
      <c r="D72">
        <v>4</v>
      </c>
      <c r="E72" t="s">
        <v>43</v>
      </c>
      <c r="F72">
        <v>102</v>
      </c>
      <c r="G72">
        <f>G69+5</f>
        <v>170</v>
      </c>
    </row>
    <row r="73" spans="2:7">
      <c r="B73">
        <v>71</v>
      </c>
      <c r="C73">
        <v>3</v>
      </c>
      <c r="D73">
        <v>4</v>
      </c>
      <c r="E73" t="s">
        <v>81</v>
      </c>
      <c r="F73">
        <v>170</v>
      </c>
      <c r="G73">
        <f>G72*2</f>
        <v>340</v>
      </c>
    </row>
    <row r="74" spans="2:7">
      <c r="B74">
        <v>72</v>
      </c>
      <c r="C74">
        <v>3</v>
      </c>
      <c r="D74">
        <v>4</v>
      </c>
      <c r="E74" t="s">
        <v>82</v>
      </c>
      <c r="F74">
        <v>510</v>
      </c>
      <c r="G74">
        <f>ROUNDUP(G73*1.7,-1)</f>
        <v>580</v>
      </c>
    </row>
    <row r="75" spans="2:7">
      <c r="B75">
        <v>73</v>
      </c>
      <c r="C75">
        <v>3</v>
      </c>
      <c r="D75">
        <v>5</v>
      </c>
      <c r="E75" t="s">
        <v>43</v>
      </c>
      <c r="F75">
        <v>105</v>
      </c>
      <c r="G75">
        <f>G72+5</f>
        <v>175</v>
      </c>
    </row>
    <row r="76" spans="2:7">
      <c r="B76">
        <v>74</v>
      </c>
      <c r="C76">
        <v>3</v>
      </c>
      <c r="D76">
        <v>5</v>
      </c>
      <c r="E76" t="s">
        <v>81</v>
      </c>
      <c r="F76">
        <v>175</v>
      </c>
      <c r="G76">
        <f>G75*2</f>
        <v>350</v>
      </c>
    </row>
    <row r="77" spans="2:7">
      <c r="B77">
        <v>75</v>
      </c>
      <c r="C77">
        <v>3</v>
      </c>
      <c r="D77">
        <v>5</v>
      </c>
      <c r="E77" t="s">
        <v>82</v>
      </c>
      <c r="F77">
        <v>525</v>
      </c>
      <c r="G77">
        <f>ROUNDUP(G76*1.7,-1)</f>
        <v>600</v>
      </c>
    </row>
    <row r="78" spans="2:7">
      <c r="B78">
        <v>76</v>
      </c>
      <c r="C78">
        <v>3</v>
      </c>
      <c r="D78">
        <v>6</v>
      </c>
      <c r="E78" t="s">
        <v>43</v>
      </c>
      <c r="F78">
        <v>108</v>
      </c>
      <c r="G78">
        <f>G75+5</f>
        <v>180</v>
      </c>
    </row>
    <row r="79" spans="2:7">
      <c r="B79">
        <v>77</v>
      </c>
      <c r="C79">
        <v>3</v>
      </c>
      <c r="D79">
        <v>6</v>
      </c>
      <c r="E79" t="s">
        <v>81</v>
      </c>
      <c r="F79">
        <v>180</v>
      </c>
      <c r="G79">
        <f>G78*2</f>
        <v>360</v>
      </c>
    </row>
    <row r="80" spans="2:7">
      <c r="B80">
        <v>78</v>
      </c>
      <c r="C80">
        <v>3</v>
      </c>
      <c r="D80">
        <v>6</v>
      </c>
      <c r="E80" t="s">
        <v>82</v>
      </c>
      <c r="F80">
        <v>540</v>
      </c>
      <c r="G80">
        <f>ROUNDUP(G79*1.7,-1)</f>
        <v>620</v>
      </c>
    </row>
    <row r="81" spans="2:7">
      <c r="B81">
        <v>79</v>
      </c>
      <c r="C81">
        <v>3</v>
      </c>
      <c r="D81">
        <v>7</v>
      </c>
      <c r="E81" t="s">
        <v>43</v>
      </c>
      <c r="F81">
        <v>111</v>
      </c>
      <c r="G81">
        <f>G78+5</f>
        <v>185</v>
      </c>
    </row>
    <row r="82" spans="2:7">
      <c r="B82">
        <v>80</v>
      </c>
      <c r="C82">
        <v>3</v>
      </c>
      <c r="D82">
        <v>7</v>
      </c>
      <c r="E82" t="s">
        <v>81</v>
      </c>
      <c r="F82">
        <v>185</v>
      </c>
      <c r="G82">
        <f>G81*2</f>
        <v>370</v>
      </c>
    </row>
    <row r="83" spans="2:7">
      <c r="B83">
        <v>81</v>
      </c>
      <c r="C83">
        <v>3</v>
      </c>
      <c r="D83">
        <v>7</v>
      </c>
      <c r="E83" t="s">
        <v>82</v>
      </c>
      <c r="F83">
        <v>555</v>
      </c>
      <c r="G83">
        <f>ROUNDUP(G82*1.7,-1)</f>
        <v>630</v>
      </c>
    </row>
    <row r="84" spans="2:7">
      <c r="B84">
        <v>82</v>
      </c>
      <c r="C84">
        <v>3</v>
      </c>
      <c r="D84">
        <v>8</v>
      </c>
      <c r="E84" t="s">
        <v>43</v>
      </c>
      <c r="F84">
        <v>114</v>
      </c>
      <c r="G84">
        <f>G81+5</f>
        <v>190</v>
      </c>
    </row>
    <row r="85" spans="2:7">
      <c r="B85">
        <v>83</v>
      </c>
      <c r="C85">
        <v>3</v>
      </c>
      <c r="D85">
        <v>8</v>
      </c>
      <c r="E85" t="s">
        <v>81</v>
      </c>
      <c r="F85">
        <v>190</v>
      </c>
      <c r="G85">
        <f>G84*2</f>
        <v>380</v>
      </c>
    </row>
    <row r="86" spans="2:7">
      <c r="B86">
        <v>84</v>
      </c>
      <c r="C86">
        <v>3</v>
      </c>
      <c r="D86">
        <v>8</v>
      </c>
      <c r="E86" t="s">
        <v>82</v>
      </c>
      <c r="F86">
        <v>570</v>
      </c>
      <c r="G86">
        <f>ROUNDUP(G85*1.7,-1)</f>
        <v>650</v>
      </c>
    </row>
    <row r="87" spans="2:7">
      <c r="B87">
        <v>85</v>
      </c>
      <c r="C87">
        <v>3</v>
      </c>
      <c r="D87">
        <v>9</v>
      </c>
      <c r="E87" t="s">
        <v>43</v>
      </c>
      <c r="F87">
        <v>117</v>
      </c>
      <c r="G87">
        <f>G84+5</f>
        <v>195</v>
      </c>
    </row>
    <row r="88" spans="2:7">
      <c r="B88">
        <v>86</v>
      </c>
      <c r="C88">
        <v>3</v>
      </c>
      <c r="D88">
        <v>9</v>
      </c>
      <c r="E88" t="s">
        <v>81</v>
      </c>
      <c r="F88">
        <v>195</v>
      </c>
      <c r="G88">
        <f>G87*2</f>
        <v>390</v>
      </c>
    </row>
    <row r="89" spans="2:7">
      <c r="B89">
        <v>87</v>
      </c>
      <c r="C89">
        <v>3</v>
      </c>
      <c r="D89">
        <v>9</v>
      </c>
      <c r="E89" t="s">
        <v>82</v>
      </c>
      <c r="F89">
        <v>585</v>
      </c>
      <c r="G89">
        <f>ROUNDUP(G88*1.7,-1)</f>
        <v>670</v>
      </c>
    </row>
    <row r="90" spans="2:7">
      <c r="B90">
        <v>88</v>
      </c>
      <c r="C90">
        <v>3</v>
      </c>
      <c r="D90">
        <v>10</v>
      </c>
      <c r="E90" t="s">
        <v>43</v>
      </c>
      <c r="F90">
        <v>120</v>
      </c>
      <c r="G90">
        <f>G87+5</f>
        <v>200</v>
      </c>
    </row>
    <row r="91" spans="2:7">
      <c r="B91">
        <v>89</v>
      </c>
      <c r="C91">
        <v>3</v>
      </c>
      <c r="D91">
        <v>10</v>
      </c>
      <c r="E91" t="s">
        <v>81</v>
      </c>
      <c r="F91">
        <v>200</v>
      </c>
      <c r="G91">
        <f>G90*2</f>
        <v>400</v>
      </c>
    </row>
    <row r="92" spans="2:7">
      <c r="B92">
        <v>90</v>
      </c>
      <c r="C92">
        <v>3</v>
      </c>
      <c r="D92">
        <v>10</v>
      </c>
      <c r="E92" t="s">
        <v>82</v>
      </c>
      <c r="F92">
        <v>600</v>
      </c>
      <c r="G92">
        <f>ROUNDUP(G91*1.7,-1)</f>
        <v>680</v>
      </c>
    </row>
    <row r="93" spans="2:7">
      <c r="B93">
        <v>91</v>
      </c>
      <c r="C93">
        <v>4</v>
      </c>
      <c r="D93">
        <v>1</v>
      </c>
      <c r="E93" t="s">
        <v>43</v>
      </c>
      <c r="F93">
        <v>123</v>
      </c>
      <c r="G93">
        <f>G90+5</f>
        <v>205</v>
      </c>
    </row>
    <row r="94" spans="2:7">
      <c r="B94">
        <v>92</v>
      </c>
      <c r="C94">
        <v>4</v>
      </c>
      <c r="D94">
        <v>1</v>
      </c>
      <c r="E94" t="s">
        <v>81</v>
      </c>
      <c r="F94">
        <v>205</v>
      </c>
      <c r="G94">
        <f>G93*2</f>
        <v>410</v>
      </c>
    </row>
    <row r="95" spans="2:7">
      <c r="B95">
        <v>93</v>
      </c>
      <c r="C95">
        <v>4</v>
      </c>
      <c r="D95">
        <v>1</v>
      </c>
      <c r="E95" t="s">
        <v>82</v>
      </c>
      <c r="F95">
        <v>615</v>
      </c>
      <c r="G95">
        <f>ROUNDUP(G94*1.7,-1)</f>
        <v>700</v>
      </c>
    </row>
    <row r="96" spans="2:7">
      <c r="B96">
        <v>94</v>
      </c>
      <c r="C96">
        <v>4</v>
      </c>
      <c r="D96">
        <v>2</v>
      </c>
      <c r="E96" t="s">
        <v>43</v>
      </c>
      <c r="F96">
        <v>126</v>
      </c>
      <c r="G96">
        <f>G93+5</f>
        <v>210</v>
      </c>
    </row>
    <row r="97" spans="2:7">
      <c r="B97">
        <v>95</v>
      </c>
      <c r="C97">
        <v>4</v>
      </c>
      <c r="D97">
        <v>2</v>
      </c>
      <c r="E97" t="s">
        <v>81</v>
      </c>
      <c r="F97">
        <v>210</v>
      </c>
      <c r="G97">
        <f>G96*2</f>
        <v>420</v>
      </c>
    </row>
    <row r="98" spans="2:7">
      <c r="B98">
        <v>96</v>
      </c>
      <c r="C98">
        <v>4</v>
      </c>
      <c r="D98">
        <v>2</v>
      </c>
      <c r="E98" t="s">
        <v>82</v>
      </c>
      <c r="F98">
        <v>630</v>
      </c>
      <c r="G98">
        <f>ROUNDUP(G97*1.7,-1)</f>
        <v>720</v>
      </c>
    </row>
    <row r="99" spans="2:7">
      <c r="B99">
        <v>97</v>
      </c>
      <c r="C99">
        <v>4</v>
      </c>
      <c r="D99">
        <v>3</v>
      </c>
      <c r="E99" t="s">
        <v>43</v>
      </c>
      <c r="F99">
        <v>129</v>
      </c>
      <c r="G99">
        <f>G96+5</f>
        <v>215</v>
      </c>
    </row>
    <row r="100" spans="2:7">
      <c r="B100">
        <v>98</v>
      </c>
      <c r="C100">
        <v>4</v>
      </c>
      <c r="D100">
        <v>3</v>
      </c>
      <c r="E100" t="s">
        <v>81</v>
      </c>
      <c r="F100">
        <v>215</v>
      </c>
      <c r="G100">
        <f>G99*2</f>
        <v>430</v>
      </c>
    </row>
    <row r="101" spans="2:7">
      <c r="B101">
        <v>99</v>
      </c>
      <c r="C101">
        <v>4</v>
      </c>
      <c r="D101">
        <v>3</v>
      </c>
      <c r="E101" t="s">
        <v>82</v>
      </c>
      <c r="F101">
        <v>645</v>
      </c>
      <c r="G101">
        <f>ROUNDUP(G100*1.7,-1)</f>
        <v>740</v>
      </c>
    </row>
    <row r="102" spans="2:7">
      <c r="B102">
        <v>100</v>
      </c>
      <c r="C102">
        <v>4</v>
      </c>
      <c r="D102">
        <v>4</v>
      </c>
      <c r="E102" t="s">
        <v>43</v>
      </c>
      <c r="F102">
        <v>132</v>
      </c>
      <c r="G102">
        <f>G99+5</f>
        <v>220</v>
      </c>
    </row>
    <row r="103" spans="2:7">
      <c r="B103">
        <v>101</v>
      </c>
      <c r="C103">
        <v>4</v>
      </c>
      <c r="D103">
        <v>4</v>
      </c>
      <c r="E103" t="s">
        <v>81</v>
      </c>
      <c r="F103">
        <v>220</v>
      </c>
      <c r="G103">
        <f>G102*2</f>
        <v>440</v>
      </c>
    </row>
    <row r="104" spans="2:7">
      <c r="B104">
        <v>102</v>
      </c>
      <c r="C104">
        <v>4</v>
      </c>
      <c r="D104">
        <v>4</v>
      </c>
      <c r="E104" t="s">
        <v>82</v>
      </c>
      <c r="F104">
        <v>660</v>
      </c>
      <c r="G104">
        <f>ROUNDUP(G103*1.7,-1)</f>
        <v>750</v>
      </c>
    </row>
    <row r="105" spans="2:7">
      <c r="B105">
        <v>103</v>
      </c>
      <c r="C105">
        <v>4</v>
      </c>
      <c r="D105">
        <v>5</v>
      </c>
      <c r="E105" t="s">
        <v>43</v>
      </c>
      <c r="F105">
        <v>135</v>
      </c>
      <c r="G105">
        <f>G102+5</f>
        <v>225</v>
      </c>
    </row>
    <row r="106" spans="2:7">
      <c r="B106">
        <v>104</v>
      </c>
      <c r="C106">
        <v>4</v>
      </c>
      <c r="D106">
        <v>5</v>
      </c>
      <c r="E106" t="s">
        <v>81</v>
      </c>
      <c r="F106">
        <v>225</v>
      </c>
      <c r="G106">
        <f>G105*2</f>
        <v>450</v>
      </c>
    </row>
    <row r="107" spans="2:7">
      <c r="B107">
        <v>105</v>
      </c>
      <c r="C107">
        <v>4</v>
      </c>
      <c r="D107">
        <v>5</v>
      </c>
      <c r="E107" t="s">
        <v>82</v>
      </c>
      <c r="F107">
        <v>675</v>
      </c>
      <c r="G107">
        <f>ROUNDUP(G106*1.7,-1)</f>
        <v>770</v>
      </c>
    </row>
    <row r="108" spans="2:7">
      <c r="B108">
        <v>106</v>
      </c>
      <c r="C108">
        <v>4</v>
      </c>
      <c r="D108">
        <v>6</v>
      </c>
      <c r="E108" t="s">
        <v>43</v>
      </c>
      <c r="F108">
        <v>138</v>
      </c>
      <c r="G108">
        <f>G105+5</f>
        <v>230</v>
      </c>
    </row>
    <row r="109" spans="2:7">
      <c r="B109">
        <v>107</v>
      </c>
      <c r="C109">
        <v>4</v>
      </c>
      <c r="D109">
        <v>6</v>
      </c>
      <c r="E109" t="s">
        <v>81</v>
      </c>
      <c r="F109">
        <v>230</v>
      </c>
      <c r="G109">
        <f>G108*2</f>
        <v>460</v>
      </c>
    </row>
    <row r="110" spans="2:7">
      <c r="B110">
        <v>108</v>
      </c>
      <c r="C110">
        <v>4</v>
      </c>
      <c r="D110">
        <v>6</v>
      </c>
      <c r="E110" t="s">
        <v>82</v>
      </c>
      <c r="F110">
        <v>690</v>
      </c>
      <c r="G110">
        <f>ROUNDUP(G109*1.7,-1)</f>
        <v>790</v>
      </c>
    </row>
    <row r="111" spans="2:7">
      <c r="B111">
        <v>109</v>
      </c>
      <c r="C111">
        <v>4</v>
      </c>
      <c r="D111">
        <v>7</v>
      </c>
      <c r="E111" t="s">
        <v>43</v>
      </c>
      <c r="F111">
        <v>141</v>
      </c>
      <c r="G111">
        <f>G108+5</f>
        <v>235</v>
      </c>
    </row>
    <row r="112" spans="2:7">
      <c r="B112">
        <v>110</v>
      </c>
      <c r="C112">
        <v>4</v>
      </c>
      <c r="D112">
        <v>7</v>
      </c>
      <c r="E112" t="s">
        <v>81</v>
      </c>
      <c r="F112">
        <v>235</v>
      </c>
      <c r="G112">
        <f>G111*2</f>
        <v>470</v>
      </c>
    </row>
    <row r="113" spans="2:7">
      <c r="B113">
        <v>111</v>
      </c>
      <c r="C113">
        <v>4</v>
      </c>
      <c r="D113">
        <v>7</v>
      </c>
      <c r="E113" t="s">
        <v>82</v>
      </c>
      <c r="F113">
        <v>705</v>
      </c>
      <c r="G113">
        <f>ROUNDUP(G112*1.7,-1)</f>
        <v>800</v>
      </c>
    </row>
    <row r="114" spans="2:7">
      <c r="B114">
        <v>112</v>
      </c>
      <c r="C114">
        <v>4</v>
      </c>
      <c r="D114">
        <v>8</v>
      </c>
      <c r="E114" t="s">
        <v>43</v>
      </c>
      <c r="F114">
        <v>144</v>
      </c>
      <c r="G114">
        <f>G111+5</f>
        <v>240</v>
      </c>
    </row>
    <row r="115" spans="2:7">
      <c r="B115">
        <v>113</v>
      </c>
      <c r="C115">
        <v>4</v>
      </c>
      <c r="D115">
        <v>8</v>
      </c>
      <c r="E115" t="s">
        <v>81</v>
      </c>
      <c r="F115">
        <v>240</v>
      </c>
      <c r="G115">
        <f>G114*2</f>
        <v>480</v>
      </c>
    </row>
    <row r="116" spans="2:7">
      <c r="B116">
        <v>114</v>
      </c>
      <c r="C116">
        <v>4</v>
      </c>
      <c r="D116">
        <v>8</v>
      </c>
      <c r="E116" t="s">
        <v>82</v>
      </c>
      <c r="F116">
        <v>720</v>
      </c>
      <c r="G116">
        <f>ROUNDUP(G115*1.7,-1)</f>
        <v>820</v>
      </c>
    </row>
    <row r="117" spans="2:7">
      <c r="B117">
        <v>115</v>
      </c>
      <c r="C117">
        <v>4</v>
      </c>
      <c r="D117">
        <v>9</v>
      </c>
      <c r="E117" t="s">
        <v>43</v>
      </c>
      <c r="F117">
        <v>147</v>
      </c>
      <c r="G117">
        <f>G114+5</f>
        <v>245</v>
      </c>
    </row>
    <row r="118" spans="2:7">
      <c r="B118">
        <v>116</v>
      </c>
      <c r="C118">
        <v>4</v>
      </c>
      <c r="D118">
        <v>9</v>
      </c>
      <c r="E118" t="s">
        <v>81</v>
      </c>
      <c r="F118">
        <v>245</v>
      </c>
      <c r="G118">
        <f>G117*2</f>
        <v>490</v>
      </c>
    </row>
    <row r="119" spans="2:7">
      <c r="B119">
        <v>117</v>
      </c>
      <c r="C119">
        <v>4</v>
      </c>
      <c r="D119">
        <v>9</v>
      </c>
      <c r="E119" t="s">
        <v>82</v>
      </c>
      <c r="F119">
        <v>735</v>
      </c>
      <c r="G119">
        <f>ROUNDUP(G118*1.7,-1)</f>
        <v>840</v>
      </c>
    </row>
    <row r="120" spans="2:7">
      <c r="B120">
        <v>118</v>
      </c>
      <c r="C120">
        <v>4</v>
      </c>
      <c r="D120">
        <v>10</v>
      </c>
      <c r="E120" t="s">
        <v>43</v>
      </c>
      <c r="F120">
        <v>150</v>
      </c>
      <c r="G120">
        <f>G117+5</f>
        <v>250</v>
      </c>
    </row>
    <row r="121" spans="2:7">
      <c r="B121">
        <v>119</v>
      </c>
      <c r="C121">
        <v>4</v>
      </c>
      <c r="D121">
        <v>10</v>
      </c>
      <c r="E121" t="s">
        <v>81</v>
      </c>
      <c r="F121">
        <v>250</v>
      </c>
      <c r="G121">
        <f>G120*2</f>
        <v>500</v>
      </c>
    </row>
    <row r="122" spans="2:7">
      <c r="B122">
        <v>120</v>
      </c>
      <c r="C122">
        <v>4</v>
      </c>
      <c r="D122">
        <v>10</v>
      </c>
      <c r="E122" t="s">
        <v>82</v>
      </c>
      <c r="F122">
        <v>750</v>
      </c>
      <c r="G122">
        <f>ROUNDUP(G121*1.7,-1)</f>
        <v>850</v>
      </c>
    </row>
    <row r="123" spans="2:7">
      <c r="B123">
        <v>121</v>
      </c>
      <c r="C123">
        <v>5</v>
      </c>
      <c r="D123">
        <v>1</v>
      </c>
      <c r="E123" t="s">
        <v>43</v>
      </c>
      <c r="F123">
        <v>153</v>
      </c>
      <c r="G123">
        <f>G120+5</f>
        <v>255</v>
      </c>
    </row>
    <row r="124" spans="2:7">
      <c r="B124">
        <v>122</v>
      </c>
      <c r="C124">
        <v>5</v>
      </c>
      <c r="D124">
        <v>1</v>
      </c>
      <c r="E124" t="s">
        <v>81</v>
      </c>
      <c r="F124">
        <v>255</v>
      </c>
      <c r="G124">
        <f>G123*2</f>
        <v>510</v>
      </c>
    </row>
    <row r="125" spans="2:7">
      <c r="B125">
        <v>123</v>
      </c>
      <c r="C125">
        <v>5</v>
      </c>
      <c r="D125">
        <v>1</v>
      </c>
      <c r="E125" t="s">
        <v>82</v>
      </c>
      <c r="F125">
        <v>765</v>
      </c>
      <c r="G125">
        <f>ROUNDUP(G124*1.7,-1)</f>
        <v>870</v>
      </c>
    </row>
    <row r="126" spans="2:7">
      <c r="B126">
        <v>124</v>
      </c>
      <c r="C126">
        <v>5</v>
      </c>
      <c r="D126">
        <v>2</v>
      </c>
      <c r="E126" t="s">
        <v>43</v>
      </c>
      <c r="F126">
        <v>156</v>
      </c>
      <c r="G126">
        <f>G123+5</f>
        <v>260</v>
      </c>
    </row>
    <row r="127" spans="2:7">
      <c r="B127">
        <v>125</v>
      </c>
      <c r="C127">
        <v>5</v>
      </c>
      <c r="D127">
        <v>2</v>
      </c>
      <c r="E127" t="s">
        <v>81</v>
      </c>
      <c r="F127">
        <v>260</v>
      </c>
      <c r="G127">
        <f>G126*2</f>
        <v>520</v>
      </c>
    </row>
    <row r="128" spans="2:7">
      <c r="B128">
        <v>126</v>
      </c>
      <c r="C128">
        <v>5</v>
      </c>
      <c r="D128">
        <v>2</v>
      </c>
      <c r="E128" t="s">
        <v>82</v>
      </c>
      <c r="F128">
        <v>780</v>
      </c>
      <c r="G128">
        <f>ROUNDUP(G127*1.7,-1)</f>
        <v>890</v>
      </c>
    </row>
    <row r="129" spans="2:7">
      <c r="B129">
        <v>127</v>
      </c>
      <c r="C129">
        <v>5</v>
      </c>
      <c r="D129">
        <v>3</v>
      </c>
      <c r="E129" t="s">
        <v>43</v>
      </c>
      <c r="F129">
        <v>159</v>
      </c>
      <c r="G129">
        <f>G126+5</f>
        <v>265</v>
      </c>
    </row>
    <row r="130" spans="2:7">
      <c r="B130">
        <v>128</v>
      </c>
      <c r="C130">
        <v>5</v>
      </c>
      <c r="D130">
        <v>3</v>
      </c>
      <c r="E130" t="s">
        <v>81</v>
      </c>
      <c r="F130">
        <v>265</v>
      </c>
      <c r="G130">
        <f>G129*2</f>
        <v>530</v>
      </c>
    </row>
    <row r="131" spans="2:7">
      <c r="B131">
        <v>129</v>
      </c>
      <c r="C131">
        <v>5</v>
      </c>
      <c r="D131">
        <v>3</v>
      </c>
      <c r="E131" t="s">
        <v>82</v>
      </c>
      <c r="F131">
        <v>795</v>
      </c>
      <c r="G131">
        <f>ROUNDUP(G130*1.7,-1)</f>
        <v>910</v>
      </c>
    </row>
    <row r="132" spans="2:7">
      <c r="B132">
        <v>130</v>
      </c>
      <c r="C132">
        <v>5</v>
      </c>
      <c r="D132">
        <v>4</v>
      </c>
      <c r="E132" t="s">
        <v>43</v>
      </c>
      <c r="F132">
        <v>162</v>
      </c>
      <c r="G132">
        <f>G129+5</f>
        <v>270</v>
      </c>
    </row>
    <row r="133" spans="2:7">
      <c r="B133">
        <v>131</v>
      </c>
      <c r="C133">
        <v>5</v>
      </c>
      <c r="D133">
        <v>4</v>
      </c>
      <c r="E133" t="s">
        <v>81</v>
      </c>
      <c r="F133">
        <v>270</v>
      </c>
      <c r="G133">
        <f>G132*2</f>
        <v>540</v>
      </c>
    </row>
    <row r="134" spans="2:7">
      <c r="B134">
        <v>132</v>
      </c>
      <c r="C134">
        <v>5</v>
      </c>
      <c r="D134">
        <v>4</v>
      </c>
      <c r="E134" t="s">
        <v>82</v>
      </c>
      <c r="F134">
        <v>810</v>
      </c>
      <c r="G134">
        <f>ROUNDUP(G133*1.7,-1)</f>
        <v>920</v>
      </c>
    </row>
    <row r="135" spans="2:7">
      <c r="B135">
        <v>133</v>
      </c>
      <c r="C135">
        <v>5</v>
      </c>
      <c r="D135">
        <v>5</v>
      </c>
      <c r="E135" t="s">
        <v>43</v>
      </c>
      <c r="F135">
        <v>165</v>
      </c>
      <c r="G135">
        <f>G132+5</f>
        <v>275</v>
      </c>
    </row>
    <row r="136" spans="2:7">
      <c r="B136">
        <v>134</v>
      </c>
      <c r="C136">
        <v>5</v>
      </c>
      <c r="D136">
        <v>5</v>
      </c>
      <c r="E136" t="s">
        <v>81</v>
      </c>
      <c r="F136">
        <v>275</v>
      </c>
      <c r="G136">
        <f>G135*2</f>
        <v>550</v>
      </c>
    </row>
    <row r="137" spans="2:7">
      <c r="B137">
        <v>135</v>
      </c>
      <c r="C137">
        <v>5</v>
      </c>
      <c r="D137">
        <v>5</v>
      </c>
      <c r="E137" t="s">
        <v>82</v>
      </c>
      <c r="F137">
        <v>825</v>
      </c>
      <c r="G137">
        <f>ROUNDUP(G136*1.7,-1)</f>
        <v>940</v>
      </c>
    </row>
    <row r="138" spans="2:7">
      <c r="B138">
        <v>136</v>
      </c>
      <c r="C138">
        <v>5</v>
      </c>
      <c r="D138">
        <v>6</v>
      </c>
      <c r="E138" t="s">
        <v>43</v>
      </c>
      <c r="F138">
        <v>168</v>
      </c>
      <c r="G138">
        <f>G135+5</f>
        <v>280</v>
      </c>
    </row>
    <row r="139" spans="2:7">
      <c r="B139">
        <v>137</v>
      </c>
      <c r="C139">
        <v>5</v>
      </c>
      <c r="D139">
        <v>6</v>
      </c>
      <c r="E139" t="s">
        <v>81</v>
      </c>
      <c r="F139">
        <v>280</v>
      </c>
      <c r="G139">
        <f>G138*2</f>
        <v>560</v>
      </c>
    </row>
    <row r="140" spans="2:7">
      <c r="B140">
        <v>138</v>
      </c>
      <c r="C140">
        <v>5</v>
      </c>
      <c r="D140">
        <v>6</v>
      </c>
      <c r="E140" t="s">
        <v>82</v>
      </c>
      <c r="F140">
        <v>840</v>
      </c>
      <c r="G140">
        <f>ROUNDUP(G139*1.7,-1)</f>
        <v>960</v>
      </c>
    </row>
    <row r="141" spans="2:7">
      <c r="B141">
        <v>139</v>
      </c>
      <c r="C141">
        <v>5</v>
      </c>
      <c r="D141">
        <v>7</v>
      </c>
      <c r="E141" t="s">
        <v>43</v>
      </c>
      <c r="F141">
        <v>171</v>
      </c>
      <c r="G141">
        <f>G138+5</f>
        <v>285</v>
      </c>
    </row>
    <row r="142" spans="2:7">
      <c r="B142">
        <v>140</v>
      </c>
      <c r="C142">
        <v>5</v>
      </c>
      <c r="D142">
        <v>7</v>
      </c>
      <c r="E142" t="s">
        <v>81</v>
      </c>
      <c r="F142">
        <v>285</v>
      </c>
      <c r="G142">
        <f>G141*2</f>
        <v>570</v>
      </c>
    </row>
    <row r="143" spans="2:7">
      <c r="B143">
        <v>141</v>
      </c>
      <c r="C143">
        <v>5</v>
      </c>
      <c r="D143">
        <v>7</v>
      </c>
      <c r="E143" t="s">
        <v>82</v>
      </c>
      <c r="F143">
        <v>855</v>
      </c>
      <c r="G143">
        <f>ROUNDUP(G142*1.7,-1)</f>
        <v>970</v>
      </c>
    </row>
    <row r="144" spans="2:7">
      <c r="B144">
        <v>142</v>
      </c>
      <c r="C144">
        <v>5</v>
      </c>
      <c r="D144">
        <v>8</v>
      </c>
      <c r="E144" t="s">
        <v>43</v>
      </c>
      <c r="F144">
        <v>174</v>
      </c>
      <c r="G144">
        <f>G141+5</f>
        <v>290</v>
      </c>
    </row>
    <row r="145" spans="2:7">
      <c r="B145">
        <v>143</v>
      </c>
      <c r="C145">
        <v>5</v>
      </c>
      <c r="D145">
        <v>8</v>
      </c>
      <c r="E145" t="s">
        <v>81</v>
      </c>
      <c r="F145">
        <v>290</v>
      </c>
      <c r="G145">
        <f>G144*2</f>
        <v>580</v>
      </c>
    </row>
    <row r="146" spans="2:7">
      <c r="B146">
        <v>144</v>
      </c>
      <c r="C146">
        <v>5</v>
      </c>
      <c r="D146">
        <v>8</v>
      </c>
      <c r="E146" t="s">
        <v>82</v>
      </c>
      <c r="F146">
        <v>870</v>
      </c>
      <c r="G146">
        <f>ROUNDUP(G145*1.7,-1)</f>
        <v>990</v>
      </c>
    </row>
    <row r="147" spans="2:7">
      <c r="B147">
        <v>145</v>
      </c>
      <c r="C147">
        <v>5</v>
      </c>
      <c r="D147">
        <v>9</v>
      </c>
      <c r="E147" t="s">
        <v>43</v>
      </c>
      <c r="F147">
        <v>177</v>
      </c>
      <c r="G147">
        <f>G144+5</f>
        <v>295</v>
      </c>
    </row>
    <row r="148" spans="2:7">
      <c r="B148">
        <v>146</v>
      </c>
      <c r="C148">
        <v>5</v>
      </c>
      <c r="D148">
        <v>9</v>
      </c>
      <c r="E148" t="s">
        <v>81</v>
      </c>
      <c r="F148">
        <v>295</v>
      </c>
      <c r="G148">
        <f>G147*2</f>
        <v>590</v>
      </c>
    </row>
    <row r="149" spans="2:7">
      <c r="B149">
        <v>147</v>
      </c>
      <c r="C149">
        <v>5</v>
      </c>
      <c r="D149">
        <v>9</v>
      </c>
      <c r="E149" t="s">
        <v>82</v>
      </c>
      <c r="F149">
        <v>885</v>
      </c>
      <c r="G149">
        <f>ROUNDUP(G148*1.7,-1)</f>
        <v>1010</v>
      </c>
    </row>
    <row r="150" spans="2:7">
      <c r="B150">
        <v>148</v>
      </c>
      <c r="C150">
        <v>5</v>
      </c>
      <c r="D150">
        <v>10</v>
      </c>
      <c r="E150" t="s">
        <v>43</v>
      </c>
      <c r="F150">
        <v>180</v>
      </c>
      <c r="G150">
        <f>G147+5</f>
        <v>300</v>
      </c>
    </row>
    <row r="151" spans="2:7">
      <c r="B151">
        <v>149</v>
      </c>
      <c r="C151">
        <v>5</v>
      </c>
      <c r="D151">
        <v>10</v>
      </c>
      <c r="E151" t="s">
        <v>81</v>
      </c>
      <c r="F151">
        <v>300</v>
      </c>
      <c r="G151">
        <f>G150*2</f>
        <v>600</v>
      </c>
    </row>
    <row r="152" spans="2:7">
      <c r="B152">
        <v>150</v>
      </c>
      <c r="C152">
        <v>5</v>
      </c>
      <c r="D152">
        <v>10</v>
      </c>
      <c r="E152" t="s">
        <v>82</v>
      </c>
      <c r="F152">
        <v>900</v>
      </c>
      <c r="G152">
        <f>ROUNDUP(G151*1.7,-1)</f>
        <v>1020</v>
      </c>
    </row>
    <row r="153" spans="2:7">
      <c r="B153">
        <v>151</v>
      </c>
      <c r="C153">
        <v>6</v>
      </c>
      <c r="D153">
        <v>1</v>
      </c>
      <c r="E153" t="s">
        <v>43</v>
      </c>
      <c r="F153">
        <v>183</v>
      </c>
      <c r="G153">
        <f>G150+5</f>
        <v>305</v>
      </c>
    </row>
    <row r="154" spans="2:7">
      <c r="B154">
        <v>152</v>
      </c>
      <c r="C154">
        <v>6</v>
      </c>
      <c r="D154">
        <v>1</v>
      </c>
      <c r="E154" t="s">
        <v>81</v>
      </c>
      <c r="F154">
        <v>305</v>
      </c>
      <c r="G154">
        <f>G153*2</f>
        <v>610</v>
      </c>
    </row>
    <row r="155" spans="2:7">
      <c r="B155">
        <v>153</v>
      </c>
      <c r="C155">
        <v>6</v>
      </c>
      <c r="D155">
        <v>1</v>
      </c>
      <c r="E155" t="s">
        <v>82</v>
      </c>
      <c r="F155">
        <v>915</v>
      </c>
      <c r="G155">
        <f>ROUNDUP(G154*1.7,-1)</f>
        <v>1040</v>
      </c>
    </row>
    <row r="156" spans="2:7">
      <c r="B156">
        <v>154</v>
      </c>
      <c r="C156">
        <v>6</v>
      </c>
      <c r="D156">
        <v>2</v>
      </c>
      <c r="E156" t="s">
        <v>43</v>
      </c>
      <c r="F156">
        <v>186</v>
      </c>
      <c r="G156">
        <f>G153+5</f>
        <v>310</v>
      </c>
    </row>
    <row r="157" spans="2:7">
      <c r="B157">
        <v>155</v>
      </c>
      <c r="C157">
        <v>6</v>
      </c>
      <c r="D157">
        <v>2</v>
      </c>
      <c r="E157" t="s">
        <v>81</v>
      </c>
      <c r="F157">
        <v>310</v>
      </c>
      <c r="G157">
        <f>G156*2</f>
        <v>620</v>
      </c>
    </row>
    <row r="158" spans="2:7">
      <c r="B158">
        <v>156</v>
      </c>
      <c r="C158">
        <v>6</v>
      </c>
      <c r="D158">
        <v>2</v>
      </c>
      <c r="E158" t="s">
        <v>82</v>
      </c>
      <c r="F158">
        <v>930</v>
      </c>
      <c r="G158">
        <f>ROUNDUP(G157*1.7,-1)</f>
        <v>1060</v>
      </c>
    </row>
    <row r="159" spans="2:7">
      <c r="B159">
        <v>157</v>
      </c>
      <c r="C159">
        <v>6</v>
      </c>
      <c r="D159">
        <v>3</v>
      </c>
      <c r="E159" t="s">
        <v>43</v>
      </c>
      <c r="F159">
        <v>189</v>
      </c>
      <c r="G159">
        <f>G156+5</f>
        <v>315</v>
      </c>
    </row>
    <row r="160" spans="2:7">
      <c r="B160">
        <v>158</v>
      </c>
      <c r="C160">
        <v>6</v>
      </c>
      <c r="D160">
        <v>3</v>
      </c>
      <c r="E160" t="s">
        <v>81</v>
      </c>
      <c r="F160">
        <v>315</v>
      </c>
      <c r="G160">
        <f>G159*2</f>
        <v>630</v>
      </c>
    </row>
    <row r="161" spans="2:7">
      <c r="B161">
        <v>159</v>
      </c>
      <c r="C161">
        <v>6</v>
      </c>
      <c r="D161">
        <v>3</v>
      </c>
      <c r="E161" t="s">
        <v>82</v>
      </c>
      <c r="F161">
        <v>945</v>
      </c>
      <c r="G161">
        <f>ROUNDUP(G160*1.7,-1)</f>
        <v>1080</v>
      </c>
    </row>
    <row r="162" spans="2:7">
      <c r="B162">
        <v>160</v>
      </c>
      <c r="C162">
        <v>6</v>
      </c>
      <c r="D162">
        <v>4</v>
      </c>
      <c r="E162" t="s">
        <v>43</v>
      </c>
      <c r="F162">
        <v>192</v>
      </c>
      <c r="G162">
        <f>G159+5</f>
        <v>320</v>
      </c>
    </row>
    <row r="163" spans="2:7">
      <c r="B163">
        <v>161</v>
      </c>
      <c r="C163">
        <v>6</v>
      </c>
      <c r="D163">
        <v>4</v>
      </c>
      <c r="E163" t="s">
        <v>81</v>
      </c>
      <c r="F163">
        <v>320</v>
      </c>
      <c r="G163">
        <f>G162*2</f>
        <v>640</v>
      </c>
    </row>
    <row r="164" spans="2:7">
      <c r="B164">
        <v>162</v>
      </c>
      <c r="C164">
        <v>6</v>
      </c>
      <c r="D164">
        <v>4</v>
      </c>
      <c r="E164" t="s">
        <v>82</v>
      </c>
      <c r="F164">
        <v>960</v>
      </c>
      <c r="G164">
        <f>ROUNDUP(G163*1.7,-1)</f>
        <v>1090</v>
      </c>
    </row>
    <row r="165" spans="2:7">
      <c r="B165">
        <v>163</v>
      </c>
      <c r="C165">
        <v>6</v>
      </c>
      <c r="D165">
        <v>5</v>
      </c>
      <c r="E165" t="s">
        <v>43</v>
      </c>
      <c r="F165">
        <v>195</v>
      </c>
      <c r="G165">
        <f>G162+5</f>
        <v>325</v>
      </c>
    </row>
    <row r="166" spans="2:7">
      <c r="B166">
        <v>164</v>
      </c>
      <c r="C166">
        <v>6</v>
      </c>
      <c r="D166">
        <v>5</v>
      </c>
      <c r="E166" t="s">
        <v>81</v>
      </c>
      <c r="F166">
        <v>325</v>
      </c>
      <c r="G166">
        <f>G165*2</f>
        <v>650</v>
      </c>
    </row>
    <row r="167" spans="2:7">
      <c r="B167">
        <v>165</v>
      </c>
      <c r="C167">
        <v>6</v>
      </c>
      <c r="D167">
        <v>5</v>
      </c>
      <c r="E167" t="s">
        <v>82</v>
      </c>
      <c r="F167">
        <v>975</v>
      </c>
      <c r="G167">
        <f>ROUNDUP(G166*1.7,-1)</f>
        <v>1110</v>
      </c>
    </row>
    <row r="168" spans="2:7">
      <c r="B168">
        <v>166</v>
      </c>
      <c r="C168">
        <v>6</v>
      </c>
      <c r="D168">
        <v>6</v>
      </c>
      <c r="E168" t="s">
        <v>43</v>
      </c>
      <c r="F168">
        <v>198</v>
      </c>
      <c r="G168">
        <f>G165+5</f>
        <v>330</v>
      </c>
    </row>
    <row r="169" spans="2:7">
      <c r="B169">
        <v>167</v>
      </c>
      <c r="C169">
        <v>6</v>
      </c>
      <c r="D169">
        <v>6</v>
      </c>
      <c r="E169" t="s">
        <v>81</v>
      </c>
      <c r="F169">
        <v>330</v>
      </c>
      <c r="G169">
        <f>G168*2</f>
        <v>660</v>
      </c>
    </row>
    <row r="170" spans="2:7">
      <c r="B170">
        <v>168</v>
      </c>
      <c r="C170">
        <v>6</v>
      </c>
      <c r="D170">
        <v>6</v>
      </c>
      <c r="E170" t="s">
        <v>82</v>
      </c>
      <c r="F170">
        <v>990</v>
      </c>
      <c r="G170">
        <f>ROUNDUP(G169*1.7,-1)</f>
        <v>1130</v>
      </c>
    </row>
    <row r="171" spans="2:7">
      <c r="B171">
        <v>169</v>
      </c>
      <c r="C171">
        <v>6</v>
      </c>
      <c r="D171">
        <v>7</v>
      </c>
      <c r="E171" t="s">
        <v>43</v>
      </c>
      <c r="F171">
        <v>201</v>
      </c>
      <c r="G171">
        <f>G168+5</f>
        <v>335</v>
      </c>
    </row>
    <row r="172" spans="2:7">
      <c r="B172">
        <v>170</v>
      </c>
      <c r="C172">
        <v>6</v>
      </c>
      <c r="D172">
        <v>7</v>
      </c>
      <c r="E172" t="s">
        <v>81</v>
      </c>
      <c r="F172">
        <v>335</v>
      </c>
      <c r="G172">
        <f>G171*2</f>
        <v>670</v>
      </c>
    </row>
    <row r="173" spans="2:7">
      <c r="B173">
        <v>171</v>
      </c>
      <c r="C173">
        <v>6</v>
      </c>
      <c r="D173">
        <v>7</v>
      </c>
      <c r="E173" t="s">
        <v>82</v>
      </c>
      <c r="F173">
        <v>1005</v>
      </c>
      <c r="G173">
        <f>ROUNDUP(G172*1.7,-1)</f>
        <v>1140</v>
      </c>
    </row>
    <row r="174" spans="2:7">
      <c r="B174">
        <v>172</v>
      </c>
      <c r="C174">
        <v>6</v>
      </c>
      <c r="D174">
        <v>8</v>
      </c>
      <c r="E174" t="s">
        <v>43</v>
      </c>
      <c r="F174">
        <v>204</v>
      </c>
      <c r="G174">
        <f>G171+5</f>
        <v>340</v>
      </c>
    </row>
    <row r="175" spans="2:7">
      <c r="B175">
        <v>173</v>
      </c>
      <c r="C175">
        <v>6</v>
      </c>
      <c r="D175">
        <v>8</v>
      </c>
      <c r="E175" t="s">
        <v>81</v>
      </c>
      <c r="F175">
        <v>340</v>
      </c>
      <c r="G175">
        <f>G174*2</f>
        <v>680</v>
      </c>
    </row>
    <row r="176" spans="2:7">
      <c r="B176">
        <v>174</v>
      </c>
      <c r="C176">
        <v>6</v>
      </c>
      <c r="D176">
        <v>8</v>
      </c>
      <c r="E176" t="s">
        <v>82</v>
      </c>
      <c r="F176">
        <v>1020</v>
      </c>
      <c r="G176">
        <f>ROUNDUP(G175*1.7,-1)</f>
        <v>1160</v>
      </c>
    </row>
    <row r="177" spans="2:7">
      <c r="B177">
        <v>175</v>
      </c>
      <c r="C177">
        <v>6</v>
      </c>
      <c r="D177">
        <v>9</v>
      </c>
      <c r="E177" t="s">
        <v>43</v>
      </c>
      <c r="F177">
        <v>207</v>
      </c>
      <c r="G177">
        <f>G174+5</f>
        <v>345</v>
      </c>
    </row>
    <row r="178" spans="2:7">
      <c r="B178">
        <v>176</v>
      </c>
      <c r="C178">
        <v>6</v>
      </c>
      <c r="D178">
        <v>9</v>
      </c>
      <c r="E178" t="s">
        <v>81</v>
      </c>
      <c r="F178">
        <v>345</v>
      </c>
      <c r="G178">
        <f>G177*2</f>
        <v>690</v>
      </c>
    </row>
    <row r="179" spans="2:7">
      <c r="B179">
        <v>177</v>
      </c>
      <c r="C179">
        <v>6</v>
      </c>
      <c r="D179">
        <v>9</v>
      </c>
      <c r="E179" t="s">
        <v>82</v>
      </c>
      <c r="F179">
        <v>1035</v>
      </c>
      <c r="G179">
        <f>ROUNDUP(G178*1.7,-1)</f>
        <v>1180</v>
      </c>
    </row>
    <row r="180" spans="2:7">
      <c r="B180">
        <v>178</v>
      </c>
      <c r="C180">
        <v>6</v>
      </c>
      <c r="D180">
        <v>10</v>
      </c>
      <c r="E180" t="s">
        <v>43</v>
      </c>
      <c r="F180">
        <v>210</v>
      </c>
      <c r="G180">
        <f>G177+5</f>
        <v>350</v>
      </c>
    </row>
    <row r="181" spans="2:7">
      <c r="B181">
        <v>179</v>
      </c>
      <c r="C181">
        <v>6</v>
      </c>
      <c r="D181">
        <v>10</v>
      </c>
      <c r="E181" t="s">
        <v>81</v>
      </c>
      <c r="F181">
        <v>350</v>
      </c>
      <c r="G181">
        <f>G180*2</f>
        <v>700</v>
      </c>
    </row>
    <row r="182" spans="2:7">
      <c r="B182">
        <v>180</v>
      </c>
      <c r="C182">
        <v>6</v>
      </c>
      <c r="D182">
        <v>10</v>
      </c>
      <c r="E182" t="s">
        <v>82</v>
      </c>
      <c r="F182">
        <v>1050</v>
      </c>
      <c r="G182">
        <f>ROUNDUP(G181*1.7,-1)</f>
        <v>1190</v>
      </c>
    </row>
    <row r="183" spans="2:7">
      <c r="B183">
        <v>181</v>
      </c>
      <c r="C183">
        <v>7</v>
      </c>
      <c r="D183">
        <v>1</v>
      </c>
      <c r="E183" t="s">
        <v>43</v>
      </c>
      <c r="F183">
        <v>213</v>
      </c>
      <c r="G183">
        <f>G180+5</f>
        <v>355</v>
      </c>
    </row>
    <row r="184" spans="2:7">
      <c r="B184">
        <v>182</v>
      </c>
      <c r="C184">
        <v>7</v>
      </c>
      <c r="D184">
        <v>1</v>
      </c>
      <c r="E184" t="s">
        <v>81</v>
      </c>
      <c r="F184">
        <v>355</v>
      </c>
      <c r="G184">
        <f>G183*2</f>
        <v>710</v>
      </c>
    </row>
    <row r="185" spans="2:7">
      <c r="B185">
        <v>183</v>
      </c>
      <c r="C185">
        <v>7</v>
      </c>
      <c r="D185">
        <v>1</v>
      </c>
      <c r="E185" t="s">
        <v>82</v>
      </c>
      <c r="F185">
        <v>1065</v>
      </c>
      <c r="G185">
        <f>ROUNDUP(G184*1.7,-1)</f>
        <v>1210</v>
      </c>
    </row>
    <row r="186" spans="2:7">
      <c r="B186">
        <v>184</v>
      </c>
      <c r="C186">
        <v>7</v>
      </c>
      <c r="D186">
        <v>2</v>
      </c>
      <c r="E186" t="s">
        <v>43</v>
      </c>
      <c r="F186">
        <v>216</v>
      </c>
      <c r="G186">
        <f>G183+5</f>
        <v>360</v>
      </c>
    </row>
    <row r="187" spans="2:7">
      <c r="B187">
        <v>185</v>
      </c>
      <c r="C187">
        <v>7</v>
      </c>
      <c r="D187">
        <v>2</v>
      </c>
      <c r="E187" t="s">
        <v>81</v>
      </c>
      <c r="F187">
        <v>360</v>
      </c>
      <c r="G187">
        <f>G186*2</f>
        <v>720</v>
      </c>
    </row>
    <row r="188" spans="2:7">
      <c r="B188">
        <v>186</v>
      </c>
      <c r="C188">
        <v>7</v>
      </c>
      <c r="D188">
        <v>2</v>
      </c>
      <c r="E188" t="s">
        <v>82</v>
      </c>
      <c r="F188">
        <v>1080</v>
      </c>
      <c r="G188">
        <f>ROUNDUP(G187*1.7,-1)</f>
        <v>1230</v>
      </c>
    </row>
    <row r="189" spans="2:7">
      <c r="B189">
        <v>187</v>
      </c>
      <c r="C189">
        <v>7</v>
      </c>
      <c r="D189">
        <v>3</v>
      </c>
      <c r="E189" t="s">
        <v>43</v>
      </c>
      <c r="F189">
        <v>219</v>
      </c>
      <c r="G189">
        <f>G186+5</f>
        <v>365</v>
      </c>
    </row>
    <row r="190" spans="2:7">
      <c r="B190">
        <v>188</v>
      </c>
      <c r="C190">
        <v>7</v>
      </c>
      <c r="D190">
        <v>3</v>
      </c>
      <c r="E190" t="s">
        <v>81</v>
      </c>
      <c r="F190">
        <v>365</v>
      </c>
      <c r="G190">
        <f>G189*2</f>
        <v>730</v>
      </c>
    </row>
    <row r="191" spans="2:7">
      <c r="B191">
        <v>189</v>
      </c>
      <c r="C191">
        <v>7</v>
      </c>
      <c r="D191">
        <v>3</v>
      </c>
      <c r="E191" t="s">
        <v>82</v>
      </c>
      <c r="F191">
        <v>1095</v>
      </c>
      <c r="G191">
        <f>ROUNDUP(G190*1.7,-1)</f>
        <v>1250</v>
      </c>
    </row>
    <row r="192" spans="2:7">
      <c r="B192">
        <v>190</v>
      </c>
      <c r="C192">
        <v>7</v>
      </c>
      <c r="D192">
        <v>4</v>
      </c>
      <c r="E192" t="s">
        <v>43</v>
      </c>
      <c r="F192">
        <v>222</v>
      </c>
      <c r="G192">
        <f>G189+5</f>
        <v>370</v>
      </c>
    </row>
    <row r="193" spans="2:7">
      <c r="B193">
        <v>191</v>
      </c>
      <c r="C193">
        <v>7</v>
      </c>
      <c r="D193">
        <v>4</v>
      </c>
      <c r="E193" t="s">
        <v>81</v>
      </c>
      <c r="F193">
        <v>370</v>
      </c>
      <c r="G193">
        <f>G192*2</f>
        <v>740</v>
      </c>
    </row>
    <row r="194" spans="2:7">
      <c r="B194">
        <v>192</v>
      </c>
      <c r="C194">
        <v>7</v>
      </c>
      <c r="D194">
        <v>4</v>
      </c>
      <c r="E194" t="s">
        <v>82</v>
      </c>
      <c r="F194">
        <v>1110</v>
      </c>
      <c r="G194">
        <f>ROUNDUP(G193*1.7,-1)</f>
        <v>1260</v>
      </c>
    </row>
    <row r="195" spans="2:7">
      <c r="B195">
        <v>193</v>
      </c>
      <c r="C195">
        <v>7</v>
      </c>
      <c r="D195">
        <v>5</v>
      </c>
      <c r="E195" t="s">
        <v>43</v>
      </c>
      <c r="F195">
        <v>225</v>
      </c>
      <c r="G195">
        <f>G192+5</f>
        <v>375</v>
      </c>
    </row>
    <row r="196" spans="2:7">
      <c r="B196">
        <v>194</v>
      </c>
      <c r="C196">
        <v>7</v>
      </c>
      <c r="D196">
        <v>5</v>
      </c>
      <c r="E196" t="s">
        <v>81</v>
      </c>
      <c r="F196">
        <v>375</v>
      </c>
      <c r="G196">
        <f>G195*2</f>
        <v>750</v>
      </c>
    </row>
    <row r="197" spans="2:7">
      <c r="B197">
        <v>195</v>
      </c>
      <c r="C197">
        <v>7</v>
      </c>
      <c r="D197">
        <v>5</v>
      </c>
      <c r="E197" t="s">
        <v>82</v>
      </c>
      <c r="F197">
        <v>1125</v>
      </c>
      <c r="G197">
        <f>ROUNDUP(G196*1.7,-1)</f>
        <v>1280</v>
      </c>
    </row>
    <row r="198" spans="2:7">
      <c r="B198">
        <v>196</v>
      </c>
      <c r="C198">
        <v>7</v>
      </c>
      <c r="D198">
        <v>6</v>
      </c>
      <c r="E198" t="s">
        <v>43</v>
      </c>
      <c r="F198">
        <v>228</v>
      </c>
      <c r="G198">
        <f>G195+5</f>
        <v>380</v>
      </c>
    </row>
    <row r="199" spans="2:7">
      <c r="B199">
        <v>197</v>
      </c>
      <c r="C199">
        <v>7</v>
      </c>
      <c r="D199">
        <v>6</v>
      </c>
      <c r="E199" t="s">
        <v>81</v>
      </c>
      <c r="F199">
        <v>380</v>
      </c>
      <c r="G199">
        <f>G198*2</f>
        <v>760</v>
      </c>
    </row>
    <row r="200" spans="2:7">
      <c r="B200">
        <v>198</v>
      </c>
      <c r="C200">
        <v>7</v>
      </c>
      <c r="D200">
        <v>6</v>
      </c>
      <c r="E200" t="s">
        <v>82</v>
      </c>
      <c r="F200">
        <v>1140</v>
      </c>
      <c r="G200">
        <f>ROUNDUP(G199*1.7,-1)</f>
        <v>1300</v>
      </c>
    </row>
    <row r="201" spans="2:7">
      <c r="B201">
        <v>199</v>
      </c>
      <c r="C201">
        <v>7</v>
      </c>
      <c r="D201">
        <v>7</v>
      </c>
      <c r="E201" t="s">
        <v>43</v>
      </c>
      <c r="F201">
        <v>231</v>
      </c>
      <c r="G201">
        <f>G198+5</f>
        <v>385</v>
      </c>
    </row>
    <row r="202" spans="2:7">
      <c r="B202">
        <v>200</v>
      </c>
      <c r="C202">
        <v>7</v>
      </c>
      <c r="D202">
        <v>7</v>
      </c>
      <c r="E202" t="s">
        <v>81</v>
      </c>
      <c r="F202">
        <v>385</v>
      </c>
      <c r="G202">
        <f>G201*2</f>
        <v>770</v>
      </c>
    </row>
    <row r="203" spans="2:7">
      <c r="B203">
        <v>201</v>
      </c>
      <c r="C203">
        <v>7</v>
      </c>
      <c r="D203">
        <v>7</v>
      </c>
      <c r="E203" t="s">
        <v>82</v>
      </c>
      <c r="F203">
        <v>1155</v>
      </c>
      <c r="G203">
        <f>ROUNDUP(G202*1.7,-1)</f>
        <v>1310</v>
      </c>
    </row>
    <row r="204" spans="2:7">
      <c r="B204">
        <v>202</v>
      </c>
      <c r="C204">
        <v>7</v>
      </c>
      <c r="D204">
        <v>8</v>
      </c>
      <c r="E204" t="s">
        <v>43</v>
      </c>
      <c r="F204">
        <v>234</v>
      </c>
      <c r="G204">
        <f>G201+5</f>
        <v>390</v>
      </c>
    </row>
    <row r="205" spans="2:7">
      <c r="B205">
        <v>203</v>
      </c>
      <c r="C205">
        <v>7</v>
      </c>
      <c r="D205">
        <v>8</v>
      </c>
      <c r="E205" t="s">
        <v>81</v>
      </c>
      <c r="F205">
        <v>390</v>
      </c>
      <c r="G205">
        <f>G204*2</f>
        <v>780</v>
      </c>
    </row>
    <row r="206" spans="2:7">
      <c r="B206">
        <v>204</v>
      </c>
      <c r="C206">
        <v>7</v>
      </c>
      <c r="D206">
        <v>8</v>
      </c>
      <c r="E206" t="s">
        <v>82</v>
      </c>
      <c r="F206">
        <v>1170</v>
      </c>
      <c r="G206">
        <f>ROUNDUP(G205*1.7,-1)</f>
        <v>1330</v>
      </c>
    </row>
    <row r="207" spans="2:7">
      <c r="B207">
        <v>205</v>
      </c>
      <c r="C207">
        <v>7</v>
      </c>
      <c r="D207">
        <v>9</v>
      </c>
      <c r="E207" t="s">
        <v>43</v>
      </c>
      <c r="F207">
        <v>237</v>
      </c>
      <c r="G207">
        <f>G204+5</f>
        <v>395</v>
      </c>
    </row>
    <row r="208" spans="2:7">
      <c r="B208">
        <v>206</v>
      </c>
      <c r="C208">
        <v>7</v>
      </c>
      <c r="D208">
        <v>9</v>
      </c>
      <c r="E208" t="s">
        <v>81</v>
      </c>
      <c r="F208">
        <v>395</v>
      </c>
      <c r="G208">
        <f>G207*2</f>
        <v>790</v>
      </c>
    </row>
    <row r="209" spans="2:7">
      <c r="B209">
        <v>207</v>
      </c>
      <c r="C209">
        <v>7</v>
      </c>
      <c r="D209">
        <v>9</v>
      </c>
      <c r="E209" t="s">
        <v>82</v>
      </c>
      <c r="F209">
        <v>1185</v>
      </c>
      <c r="G209">
        <f>ROUNDUP(G208*1.7,-1)</f>
        <v>1350</v>
      </c>
    </row>
    <row r="210" spans="2:7">
      <c r="B210">
        <v>208</v>
      </c>
      <c r="C210">
        <v>7</v>
      </c>
      <c r="D210">
        <v>10</v>
      </c>
      <c r="E210" t="s">
        <v>43</v>
      </c>
      <c r="F210">
        <v>240</v>
      </c>
      <c r="G210">
        <f>G207+5</f>
        <v>400</v>
      </c>
    </row>
    <row r="211" spans="2:7">
      <c r="B211">
        <v>209</v>
      </c>
      <c r="C211">
        <v>7</v>
      </c>
      <c r="D211">
        <v>10</v>
      </c>
      <c r="E211" t="s">
        <v>81</v>
      </c>
      <c r="F211">
        <v>400</v>
      </c>
      <c r="G211">
        <f>G210*2</f>
        <v>800</v>
      </c>
    </row>
    <row r="212" spans="2:7">
      <c r="B212">
        <v>210</v>
      </c>
      <c r="C212">
        <v>7</v>
      </c>
      <c r="D212">
        <v>10</v>
      </c>
      <c r="E212" t="s">
        <v>82</v>
      </c>
      <c r="F212">
        <v>1200</v>
      </c>
      <c r="G212">
        <f>ROUNDUP(G211*1.7,-1)</f>
        <v>1360</v>
      </c>
    </row>
    <row r="213" spans="2:7">
      <c r="B213">
        <v>211</v>
      </c>
      <c r="C213">
        <v>8</v>
      </c>
      <c r="D213">
        <v>1</v>
      </c>
      <c r="E213" t="s">
        <v>43</v>
      </c>
      <c r="F213">
        <v>243</v>
      </c>
      <c r="G213">
        <f>G210+5</f>
        <v>405</v>
      </c>
    </row>
    <row r="214" spans="2:7">
      <c r="B214">
        <v>212</v>
      </c>
      <c r="C214">
        <v>8</v>
      </c>
      <c r="D214">
        <v>1</v>
      </c>
      <c r="E214" t="s">
        <v>81</v>
      </c>
      <c r="F214">
        <v>405</v>
      </c>
      <c r="G214">
        <f>G213*2</f>
        <v>810</v>
      </c>
    </row>
    <row r="215" spans="2:7">
      <c r="B215">
        <v>213</v>
      </c>
      <c r="C215">
        <v>8</v>
      </c>
      <c r="D215">
        <v>1</v>
      </c>
      <c r="E215" t="s">
        <v>82</v>
      </c>
      <c r="F215">
        <v>1215</v>
      </c>
      <c r="G215">
        <f>ROUNDUP(G214*1.7,-1)</f>
        <v>1380</v>
      </c>
    </row>
    <row r="216" spans="2:7">
      <c r="B216">
        <v>214</v>
      </c>
      <c r="C216">
        <v>8</v>
      </c>
      <c r="D216">
        <v>2</v>
      </c>
      <c r="E216" t="s">
        <v>43</v>
      </c>
      <c r="F216">
        <v>246</v>
      </c>
      <c r="G216">
        <f>G213+5</f>
        <v>410</v>
      </c>
    </row>
    <row r="217" spans="2:7">
      <c r="B217">
        <v>215</v>
      </c>
      <c r="C217">
        <v>8</v>
      </c>
      <c r="D217">
        <v>2</v>
      </c>
      <c r="E217" t="s">
        <v>81</v>
      </c>
      <c r="F217">
        <v>410</v>
      </c>
      <c r="G217">
        <f>G216*2</f>
        <v>820</v>
      </c>
    </row>
    <row r="218" spans="2:7">
      <c r="B218">
        <v>216</v>
      </c>
      <c r="C218">
        <v>8</v>
      </c>
      <c r="D218">
        <v>2</v>
      </c>
      <c r="E218" t="s">
        <v>82</v>
      </c>
      <c r="F218">
        <v>1230</v>
      </c>
      <c r="G218">
        <f>ROUNDUP(G217*1.7,-1)</f>
        <v>1400</v>
      </c>
    </row>
    <row r="219" spans="2:7">
      <c r="B219">
        <v>217</v>
      </c>
      <c r="C219">
        <v>8</v>
      </c>
      <c r="D219">
        <v>3</v>
      </c>
      <c r="E219" t="s">
        <v>43</v>
      </c>
      <c r="F219">
        <v>249</v>
      </c>
      <c r="G219">
        <f>G216+5</f>
        <v>415</v>
      </c>
    </row>
    <row r="220" spans="2:7">
      <c r="B220">
        <v>218</v>
      </c>
      <c r="C220">
        <v>8</v>
      </c>
      <c r="D220">
        <v>3</v>
      </c>
      <c r="E220" t="s">
        <v>81</v>
      </c>
      <c r="F220">
        <v>415</v>
      </c>
      <c r="G220">
        <f>G219*2</f>
        <v>830</v>
      </c>
    </row>
    <row r="221" spans="2:7">
      <c r="B221">
        <v>219</v>
      </c>
      <c r="C221">
        <v>8</v>
      </c>
      <c r="D221">
        <v>3</v>
      </c>
      <c r="E221" t="s">
        <v>82</v>
      </c>
      <c r="F221">
        <v>1245</v>
      </c>
      <c r="G221">
        <f>ROUNDUP(G220*1.7,-1)</f>
        <v>1420</v>
      </c>
    </row>
    <row r="222" spans="2:7">
      <c r="B222">
        <v>220</v>
      </c>
      <c r="C222">
        <v>8</v>
      </c>
      <c r="D222">
        <v>4</v>
      </c>
      <c r="E222" t="s">
        <v>43</v>
      </c>
      <c r="F222">
        <v>252</v>
      </c>
      <c r="G222">
        <f>G219+5</f>
        <v>420</v>
      </c>
    </row>
    <row r="223" spans="2:7">
      <c r="B223">
        <v>221</v>
      </c>
      <c r="C223">
        <v>8</v>
      </c>
      <c r="D223">
        <v>4</v>
      </c>
      <c r="E223" t="s">
        <v>81</v>
      </c>
      <c r="F223">
        <v>420</v>
      </c>
      <c r="G223">
        <f>G222*2</f>
        <v>840</v>
      </c>
    </row>
    <row r="224" spans="2:7">
      <c r="B224">
        <v>222</v>
      </c>
      <c r="C224">
        <v>8</v>
      </c>
      <c r="D224">
        <v>4</v>
      </c>
      <c r="E224" t="s">
        <v>82</v>
      </c>
      <c r="F224">
        <v>1260</v>
      </c>
      <c r="G224">
        <f>ROUNDUP(G223*1.7,-1)</f>
        <v>1430</v>
      </c>
    </row>
    <row r="225" spans="2:7">
      <c r="B225">
        <v>223</v>
      </c>
      <c r="C225">
        <v>8</v>
      </c>
      <c r="D225">
        <v>5</v>
      </c>
      <c r="E225" t="s">
        <v>43</v>
      </c>
      <c r="F225">
        <v>255</v>
      </c>
      <c r="G225">
        <f>G222+5</f>
        <v>425</v>
      </c>
    </row>
    <row r="226" spans="2:7">
      <c r="B226">
        <v>224</v>
      </c>
      <c r="C226">
        <v>8</v>
      </c>
      <c r="D226">
        <v>5</v>
      </c>
      <c r="E226" t="s">
        <v>81</v>
      </c>
      <c r="F226">
        <v>425</v>
      </c>
      <c r="G226">
        <f>G225*2</f>
        <v>850</v>
      </c>
    </row>
    <row r="227" spans="2:7">
      <c r="B227">
        <v>225</v>
      </c>
      <c r="C227">
        <v>8</v>
      </c>
      <c r="D227">
        <v>5</v>
      </c>
      <c r="E227" t="s">
        <v>82</v>
      </c>
      <c r="F227">
        <v>1275</v>
      </c>
      <c r="G227">
        <f>ROUNDUP(G226*1.7,-1)</f>
        <v>1450</v>
      </c>
    </row>
    <row r="228" spans="2:7">
      <c r="B228">
        <v>226</v>
      </c>
      <c r="C228">
        <v>8</v>
      </c>
      <c r="D228">
        <v>6</v>
      </c>
      <c r="E228" t="s">
        <v>43</v>
      </c>
      <c r="F228">
        <v>258</v>
      </c>
      <c r="G228">
        <f>G225+5</f>
        <v>430</v>
      </c>
    </row>
    <row r="229" spans="2:7">
      <c r="B229">
        <v>227</v>
      </c>
      <c r="C229">
        <v>8</v>
      </c>
      <c r="D229">
        <v>6</v>
      </c>
      <c r="E229" t="s">
        <v>81</v>
      </c>
      <c r="F229">
        <v>430</v>
      </c>
      <c r="G229">
        <f>G228*2</f>
        <v>860</v>
      </c>
    </row>
    <row r="230" spans="2:7">
      <c r="B230">
        <v>228</v>
      </c>
      <c r="C230">
        <v>8</v>
      </c>
      <c r="D230">
        <v>6</v>
      </c>
      <c r="E230" t="s">
        <v>82</v>
      </c>
      <c r="F230">
        <v>1290</v>
      </c>
      <c r="G230">
        <f>ROUNDUP(G229*1.7,-1)</f>
        <v>1470</v>
      </c>
    </row>
    <row r="231" spans="2:7">
      <c r="B231">
        <v>229</v>
      </c>
      <c r="C231">
        <v>8</v>
      </c>
      <c r="D231">
        <v>7</v>
      </c>
      <c r="E231" t="s">
        <v>43</v>
      </c>
      <c r="F231">
        <v>261</v>
      </c>
      <c r="G231">
        <f>G228+5</f>
        <v>435</v>
      </c>
    </row>
    <row r="232" spans="2:7">
      <c r="B232">
        <v>230</v>
      </c>
      <c r="C232">
        <v>8</v>
      </c>
      <c r="D232">
        <v>7</v>
      </c>
      <c r="E232" t="s">
        <v>81</v>
      </c>
      <c r="F232">
        <v>435</v>
      </c>
      <c r="G232">
        <f>G231*2</f>
        <v>870</v>
      </c>
    </row>
    <row r="233" spans="2:7">
      <c r="B233">
        <v>231</v>
      </c>
      <c r="C233">
        <v>8</v>
      </c>
      <c r="D233">
        <v>7</v>
      </c>
      <c r="E233" t="s">
        <v>82</v>
      </c>
      <c r="F233">
        <v>1305</v>
      </c>
      <c r="G233">
        <f>ROUNDUP(G232*1.7,-1)</f>
        <v>1480</v>
      </c>
    </row>
    <row r="234" spans="2:7">
      <c r="B234">
        <v>232</v>
      </c>
      <c r="C234">
        <v>8</v>
      </c>
      <c r="D234">
        <v>8</v>
      </c>
      <c r="E234" t="s">
        <v>43</v>
      </c>
      <c r="F234">
        <v>264</v>
      </c>
      <c r="G234">
        <f>G231+5</f>
        <v>440</v>
      </c>
    </row>
    <row r="235" spans="2:7">
      <c r="B235">
        <v>233</v>
      </c>
      <c r="C235">
        <v>8</v>
      </c>
      <c r="D235">
        <v>8</v>
      </c>
      <c r="E235" t="s">
        <v>81</v>
      </c>
      <c r="F235">
        <v>440</v>
      </c>
      <c r="G235">
        <f>G234*2</f>
        <v>880</v>
      </c>
    </row>
    <row r="236" spans="2:7">
      <c r="B236">
        <v>234</v>
      </c>
      <c r="C236">
        <v>8</v>
      </c>
      <c r="D236">
        <v>8</v>
      </c>
      <c r="E236" t="s">
        <v>82</v>
      </c>
      <c r="F236">
        <v>1320</v>
      </c>
      <c r="G236">
        <f>ROUNDUP(G235*1.7,-1)</f>
        <v>1500</v>
      </c>
    </row>
    <row r="237" spans="2:7">
      <c r="B237">
        <v>235</v>
      </c>
      <c r="C237">
        <v>8</v>
      </c>
      <c r="D237">
        <v>9</v>
      </c>
      <c r="E237" t="s">
        <v>43</v>
      </c>
      <c r="F237">
        <v>267</v>
      </c>
      <c r="G237">
        <f>G234+5</f>
        <v>445</v>
      </c>
    </row>
    <row r="238" spans="2:7">
      <c r="B238">
        <v>236</v>
      </c>
      <c r="C238">
        <v>8</v>
      </c>
      <c r="D238">
        <v>9</v>
      </c>
      <c r="E238" t="s">
        <v>81</v>
      </c>
      <c r="F238">
        <v>445</v>
      </c>
      <c r="G238">
        <f>G237*2</f>
        <v>890</v>
      </c>
    </row>
    <row r="239" spans="2:7">
      <c r="B239">
        <v>237</v>
      </c>
      <c r="C239">
        <v>8</v>
      </c>
      <c r="D239">
        <v>9</v>
      </c>
      <c r="E239" t="s">
        <v>82</v>
      </c>
      <c r="F239">
        <v>1335</v>
      </c>
      <c r="G239">
        <f>ROUNDUP(G238*1.7,-1)</f>
        <v>1520</v>
      </c>
    </row>
    <row r="240" spans="2:7">
      <c r="B240">
        <v>238</v>
      </c>
      <c r="C240">
        <v>8</v>
      </c>
      <c r="D240">
        <v>10</v>
      </c>
      <c r="E240" t="s">
        <v>43</v>
      </c>
      <c r="F240">
        <v>270</v>
      </c>
      <c r="G240">
        <f>G237+5</f>
        <v>450</v>
      </c>
    </row>
    <row r="241" spans="2:7">
      <c r="B241">
        <v>239</v>
      </c>
      <c r="C241">
        <v>8</v>
      </c>
      <c r="D241">
        <v>10</v>
      </c>
      <c r="E241" t="s">
        <v>81</v>
      </c>
      <c r="F241">
        <v>450</v>
      </c>
      <c r="G241">
        <f>G240*2</f>
        <v>900</v>
      </c>
    </row>
    <row r="242" spans="2:7">
      <c r="B242">
        <v>240</v>
      </c>
      <c r="C242">
        <v>8</v>
      </c>
      <c r="D242">
        <v>10</v>
      </c>
      <c r="E242" t="s">
        <v>82</v>
      </c>
      <c r="F242">
        <v>1350</v>
      </c>
      <c r="G242">
        <f>ROUNDUP(G241*1.7,-1)</f>
        <v>1530</v>
      </c>
    </row>
    <row r="243" spans="2:7">
      <c r="B243">
        <v>241</v>
      </c>
      <c r="C243">
        <v>9</v>
      </c>
      <c r="D243">
        <v>1</v>
      </c>
      <c r="E243" t="s">
        <v>43</v>
      </c>
      <c r="F243">
        <v>273</v>
      </c>
      <c r="G243">
        <f>G240+5</f>
        <v>455</v>
      </c>
    </row>
    <row r="244" spans="2:7">
      <c r="B244">
        <v>242</v>
      </c>
      <c r="C244">
        <v>9</v>
      </c>
      <c r="D244">
        <v>1</v>
      </c>
      <c r="E244" t="s">
        <v>81</v>
      </c>
      <c r="F244">
        <v>455</v>
      </c>
      <c r="G244">
        <f>G243*2</f>
        <v>910</v>
      </c>
    </row>
    <row r="245" spans="2:7">
      <c r="B245">
        <v>243</v>
      </c>
      <c r="C245">
        <v>9</v>
      </c>
      <c r="D245">
        <v>1</v>
      </c>
      <c r="E245" t="s">
        <v>82</v>
      </c>
      <c r="F245">
        <v>1365</v>
      </c>
      <c r="G245">
        <f>ROUNDUP(G244*1.7,-1)</f>
        <v>1550</v>
      </c>
    </row>
    <row r="246" spans="2:7">
      <c r="B246">
        <v>244</v>
      </c>
      <c r="C246">
        <v>9</v>
      </c>
      <c r="D246">
        <v>2</v>
      </c>
      <c r="E246" t="s">
        <v>43</v>
      </c>
      <c r="F246">
        <v>276</v>
      </c>
      <c r="G246">
        <f>G243+5</f>
        <v>460</v>
      </c>
    </row>
    <row r="247" spans="2:7">
      <c r="B247">
        <v>245</v>
      </c>
      <c r="C247">
        <v>9</v>
      </c>
      <c r="D247">
        <v>2</v>
      </c>
      <c r="E247" t="s">
        <v>81</v>
      </c>
      <c r="F247">
        <v>460</v>
      </c>
      <c r="G247">
        <f>G246*2</f>
        <v>920</v>
      </c>
    </row>
    <row r="248" spans="2:7">
      <c r="B248">
        <v>246</v>
      </c>
      <c r="C248">
        <v>9</v>
      </c>
      <c r="D248">
        <v>2</v>
      </c>
      <c r="E248" t="s">
        <v>82</v>
      </c>
      <c r="F248">
        <v>1380</v>
      </c>
      <c r="G248">
        <f>ROUNDUP(G247*1.7,-1)</f>
        <v>1570</v>
      </c>
    </row>
    <row r="249" spans="2:7">
      <c r="B249">
        <v>247</v>
      </c>
      <c r="C249">
        <v>9</v>
      </c>
      <c r="D249">
        <v>3</v>
      </c>
      <c r="E249" t="s">
        <v>43</v>
      </c>
      <c r="F249">
        <v>279</v>
      </c>
      <c r="G249">
        <f>G246+5</f>
        <v>465</v>
      </c>
    </row>
    <row r="250" spans="2:7">
      <c r="B250">
        <v>248</v>
      </c>
      <c r="C250">
        <v>9</v>
      </c>
      <c r="D250">
        <v>3</v>
      </c>
      <c r="E250" t="s">
        <v>81</v>
      </c>
      <c r="F250">
        <v>465</v>
      </c>
      <c r="G250">
        <f>G249*2</f>
        <v>930</v>
      </c>
    </row>
    <row r="251" spans="2:7">
      <c r="B251">
        <v>249</v>
      </c>
      <c r="C251">
        <v>9</v>
      </c>
      <c r="D251">
        <v>3</v>
      </c>
      <c r="E251" t="s">
        <v>82</v>
      </c>
      <c r="F251">
        <v>1395</v>
      </c>
      <c r="G251">
        <f>ROUNDUP(G250*1.7,-1)</f>
        <v>1590</v>
      </c>
    </row>
    <row r="252" spans="2:7">
      <c r="B252">
        <v>250</v>
      </c>
      <c r="C252">
        <v>9</v>
      </c>
      <c r="D252">
        <v>4</v>
      </c>
      <c r="E252" t="s">
        <v>43</v>
      </c>
      <c r="F252">
        <v>282</v>
      </c>
      <c r="G252">
        <f>G249+5</f>
        <v>470</v>
      </c>
    </row>
    <row r="253" spans="2:7">
      <c r="B253">
        <v>251</v>
      </c>
      <c r="C253">
        <v>9</v>
      </c>
      <c r="D253">
        <v>4</v>
      </c>
      <c r="E253" t="s">
        <v>81</v>
      </c>
      <c r="F253">
        <v>470</v>
      </c>
      <c r="G253">
        <f>G252*2</f>
        <v>940</v>
      </c>
    </row>
    <row r="254" spans="2:7">
      <c r="B254">
        <v>252</v>
      </c>
      <c r="C254">
        <v>9</v>
      </c>
      <c r="D254">
        <v>4</v>
      </c>
      <c r="E254" t="s">
        <v>82</v>
      </c>
      <c r="F254">
        <v>1410</v>
      </c>
      <c r="G254">
        <f>ROUNDUP(G253*1.7,-1)</f>
        <v>1600</v>
      </c>
    </row>
    <row r="255" spans="2:7">
      <c r="B255">
        <v>253</v>
      </c>
      <c r="C255">
        <v>9</v>
      </c>
      <c r="D255">
        <v>5</v>
      </c>
      <c r="E255" t="s">
        <v>43</v>
      </c>
      <c r="F255">
        <v>285</v>
      </c>
      <c r="G255">
        <f>G252+5</f>
        <v>475</v>
      </c>
    </row>
    <row r="256" spans="2:7">
      <c r="B256">
        <v>254</v>
      </c>
      <c r="C256">
        <v>9</v>
      </c>
      <c r="D256">
        <v>5</v>
      </c>
      <c r="E256" t="s">
        <v>81</v>
      </c>
      <c r="F256">
        <v>475</v>
      </c>
      <c r="G256">
        <f>G255*2</f>
        <v>950</v>
      </c>
    </row>
    <row r="257" spans="2:7">
      <c r="B257">
        <v>255</v>
      </c>
      <c r="C257">
        <v>9</v>
      </c>
      <c r="D257">
        <v>5</v>
      </c>
      <c r="E257" t="s">
        <v>82</v>
      </c>
      <c r="F257">
        <v>1425</v>
      </c>
      <c r="G257">
        <f>ROUNDUP(G256*1.7,-1)</f>
        <v>1620</v>
      </c>
    </row>
    <row r="258" spans="2:7">
      <c r="B258">
        <v>256</v>
      </c>
      <c r="C258">
        <v>9</v>
      </c>
      <c r="D258">
        <v>6</v>
      </c>
      <c r="E258" t="s">
        <v>43</v>
      </c>
      <c r="F258">
        <v>288</v>
      </c>
      <c r="G258">
        <f>G255+5</f>
        <v>480</v>
      </c>
    </row>
    <row r="259" spans="2:7">
      <c r="B259">
        <v>257</v>
      </c>
      <c r="C259">
        <v>9</v>
      </c>
      <c r="D259">
        <v>6</v>
      </c>
      <c r="E259" t="s">
        <v>81</v>
      </c>
      <c r="F259">
        <v>480</v>
      </c>
      <c r="G259">
        <f>G258*2</f>
        <v>960</v>
      </c>
    </row>
    <row r="260" spans="2:7">
      <c r="B260">
        <v>258</v>
      </c>
      <c r="C260">
        <v>9</v>
      </c>
      <c r="D260">
        <v>6</v>
      </c>
      <c r="E260" t="s">
        <v>82</v>
      </c>
      <c r="F260">
        <v>1440</v>
      </c>
      <c r="G260">
        <f>ROUNDUP(G259*1.7,-1)</f>
        <v>1640</v>
      </c>
    </row>
    <row r="261" spans="2:7">
      <c r="B261">
        <v>259</v>
      </c>
      <c r="C261">
        <v>9</v>
      </c>
      <c r="D261">
        <v>7</v>
      </c>
      <c r="E261" t="s">
        <v>43</v>
      </c>
      <c r="F261">
        <v>291</v>
      </c>
      <c r="G261">
        <f>G258+5</f>
        <v>485</v>
      </c>
    </row>
    <row r="262" spans="2:7">
      <c r="B262">
        <v>260</v>
      </c>
      <c r="C262">
        <v>9</v>
      </c>
      <c r="D262">
        <v>7</v>
      </c>
      <c r="E262" t="s">
        <v>81</v>
      </c>
      <c r="F262">
        <v>485</v>
      </c>
      <c r="G262">
        <f>G261*2</f>
        <v>970</v>
      </c>
    </row>
    <row r="263" spans="2:7">
      <c r="B263">
        <v>261</v>
      </c>
      <c r="C263">
        <v>9</v>
      </c>
      <c r="D263">
        <v>7</v>
      </c>
      <c r="E263" t="s">
        <v>82</v>
      </c>
      <c r="F263">
        <v>1455</v>
      </c>
      <c r="G263">
        <f>ROUNDUP(G262*1.7,-1)</f>
        <v>1650</v>
      </c>
    </row>
    <row r="264" spans="2:7">
      <c r="B264">
        <v>262</v>
      </c>
      <c r="C264">
        <v>9</v>
      </c>
      <c r="D264">
        <v>8</v>
      </c>
      <c r="E264" t="s">
        <v>43</v>
      </c>
      <c r="F264">
        <v>294</v>
      </c>
      <c r="G264">
        <f>G261+5</f>
        <v>490</v>
      </c>
    </row>
    <row r="265" spans="2:7">
      <c r="B265">
        <v>263</v>
      </c>
      <c r="C265">
        <v>9</v>
      </c>
      <c r="D265">
        <v>8</v>
      </c>
      <c r="E265" t="s">
        <v>81</v>
      </c>
      <c r="F265">
        <v>490</v>
      </c>
      <c r="G265">
        <f>G264*2</f>
        <v>980</v>
      </c>
    </row>
    <row r="266" spans="2:7">
      <c r="B266">
        <v>264</v>
      </c>
      <c r="C266">
        <v>9</v>
      </c>
      <c r="D266">
        <v>8</v>
      </c>
      <c r="E266" t="s">
        <v>82</v>
      </c>
      <c r="F266">
        <v>1470</v>
      </c>
      <c r="G266">
        <f>ROUNDUP(G265*1.7,-1)</f>
        <v>1670</v>
      </c>
    </row>
    <row r="267" spans="2:7">
      <c r="B267">
        <v>265</v>
      </c>
      <c r="C267">
        <v>9</v>
      </c>
      <c r="D267">
        <v>9</v>
      </c>
      <c r="E267" t="s">
        <v>43</v>
      </c>
      <c r="F267">
        <v>297</v>
      </c>
      <c r="G267">
        <f>G264+5</f>
        <v>495</v>
      </c>
    </row>
    <row r="268" spans="2:7">
      <c r="B268">
        <v>266</v>
      </c>
      <c r="C268">
        <v>9</v>
      </c>
      <c r="D268">
        <v>9</v>
      </c>
      <c r="E268" t="s">
        <v>81</v>
      </c>
      <c r="F268">
        <v>495</v>
      </c>
      <c r="G268">
        <f>G267*2</f>
        <v>990</v>
      </c>
    </row>
    <row r="269" spans="2:7">
      <c r="B269">
        <v>267</v>
      </c>
      <c r="C269">
        <v>9</v>
      </c>
      <c r="D269">
        <v>9</v>
      </c>
      <c r="E269" t="s">
        <v>82</v>
      </c>
      <c r="F269">
        <v>1485</v>
      </c>
      <c r="G269">
        <f>ROUNDUP(G268*1.7,-1)</f>
        <v>1690</v>
      </c>
    </row>
    <row r="270" spans="2:7">
      <c r="B270">
        <v>268</v>
      </c>
      <c r="C270">
        <v>9</v>
      </c>
      <c r="D270">
        <v>10</v>
      </c>
      <c r="E270" t="s">
        <v>43</v>
      </c>
      <c r="F270">
        <v>300</v>
      </c>
      <c r="G270">
        <f>G267+5</f>
        <v>500</v>
      </c>
    </row>
    <row r="271" spans="2:7">
      <c r="B271">
        <v>269</v>
      </c>
      <c r="C271">
        <v>9</v>
      </c>
      <c r="D271">
        <v>10</v>
      </c>
      <c r="E271" t="s">
        <v>81</v>
      </c>
      <c r="F271">
        <v>500</v>
      </c>
      <c r="G271">
        <f>G270*2</f>
        <v>1000</v>
      </c>
    </row>
    <row r="272" spans="2:7">
      <c r="B272">
        <v>270</v>
      </c>
      <c r="C272">
        <v>9</v>
      </c>
      <c r="D272">
        <v>10</v>
      </c>
      <c r="E272" t="s">
        <v>82</v>
      </c>
      <c r="F272">
        <v>1500</v>
      </c>
      <c r="G272">
        <f>ROUNDUP(G271*1.7,-1)</f>
        <v>1700</v>
      </c>
    </row>
    <row r="273" spans="2:7">
      <c r="B273">
        <v>271</v>
      </c>
      <c r="C273">
        <v>10</v>
      </c>
      <c r="D273">
        <v>1</v>
      </c>
      <c r="E273" t="s">
        <v>43</v>
      </c>
      <c r="F273">
        <v>303</v>
      </c>
      <c r="G273">
        <f>G270+5</f>
        <v>505</v>
      </c>
    </row>
    <row r="274" spans="2:7">
      <c r="B274">
        <v>272</v>
      </c>
      <c r="C274">
        <v>10</v>
      </c>
      <c r="D274">
        <v>1</v>
      </c>
      <c r="E274" t="s">
        <v>81</v>
      </c>
      <c r="F274">
        <v>505</v>
      </c>
      <c r="G274">
        <f>G273*2</f>
        <v>1010</v>
      </c>
    </row>
    <row r="275" spans="2:7">
      <c r="B275">
        <v>273</v>
      </c>
      <c r="C275">
        <v>10</v>
      </c>
      <c r="D275">
        <v>1</v>
      </c>
      <c r="E275" t="s">
        <v>82</v>
      </c>
      <c r="F275">
        <v>1515</v>
      </c>
      <c r="G275">
        <f>ROUNDUP(G274*1.7,-1)</f>
        <v>1720</v>
      </c>
    </row>
    <row r="276" spans="2:7">
      <c r="B276">
        <v>274</v>
      </c>
      <c r="C276">
        <v>10</v>
      </c>
      <c r="D276">
        <v>2</v>
      </c>
      <c r="E276" t="s">
        <v>43</v>
      </c>
      <c r="F276">
        <v>306</v>
      </c>
      <c r="G276">
        <f>G273+5</f>
        <v>510</v>
      </c>
    </row>
    <row r="277" spans="2:7">
      <c r="B277">
        <v>275</v>
      </c>
      <c r="C277">
        <v>10</v>
      </c>
      <c r="D277">
        <v>2</v>
      </c>
      <c r="E277" t="s">
        <v>81</v>
      </c>
      <c r="F277">
        <v>510</v>
      </c>
      <c r="G277">
        <f>G276*2</f>
        <v>1020</v>
      </c>
    </row>
    <row r="278" spans="2:7">
      <c r="B278">
        <v>276</v>
      </c>
      <c r="C278">
        <v>10</v>
      </c>
      <c r="D278">
        <v>2</v>
      </c>
      <c r="E278" t="s">
        <v>82</v>
      </c>
      <c r="F278">
        <v>1530</v>
      </c>
      <c r="G278">
        <f>ROUNDUP(G277*1.7,-1)</f>
        <v>1740</v>
      </c>
    </row>
    <row r="279" spans="2:7">
      <c r="B279">
        <v>277</v>
      </c>
      <c r="C279">
        <v>10</v>
      </c>
      <c r="D279">
        <v>3</v>
      </c>
      <c r="E279" t="s">
        <v>43</v>
      </c>
      <c r="F279">
        <v>309</v>
      </c>
      <c r="G279">
        <f>G276+5</f>
        <v>515</v>
      </c>
    </row>
    <row r="280" spans="2:7">
      <c r="B280">
        <v>278</v>
      </c>
      <c r="C280">
        <v>10</v>
      </c>
      <c r="D280">
        <v>3</v>
      </c>
      <c r="E280" t="s">
        <v>81</v>
      </c>
      <c r="F280">
        <v>515</v>
      </c>
      <c r="G280">
        <f>G279*2</f>
        <v>1030</v>
      </c>
    </row>
    <row r="281" spans="2:7">
      <c r="B281">
        <v>279</v>
      </c>
      <c r="C281">
        <v>10</v>
      </c>
      <c r="D281">
        <v>3</v>
      </c>
      <c r="E281" t="s">
        <v>82</v>
      </c>
      <c r="F281">
        <v>1545</v>
      </c>
      <c r="G281">
        <f>ROUNDUP(G280*1.7,-1)</f>
        <v>1760</v>
      </c>
    </row>
    <row r="282" spans="2:7">
      <c r="B282">
        <v>280</v>
      </c>
      <c r="C282">
        <v>10</v>
      </c>
      <c r="D282">
        <v>4</v>
      </c>
      <c r="E282" t="s">
        <v>43</v>
      </c>
      <c r="F282">
        <v>312</v>
      </c>
      <c r="G282">
        <f>G279+5</f>
        <v>520</v>
      </c>
    </row>
    <row r="283" spans="2:7">
      <c r="B283">
        <v>281</v>
      </c>
      <c r="C283">
        <v>10</v>
      </c>
      <c r="D283">
        <v>4</v>
      </c>
      <c r="E283" t="s">
        <v>81</v>
      </c>
      <c r="F283">
        <v>520</v>
      </c>
      <c r="G283">
        <f>G282*2</f>
        <v>1040</v>
      </c>
    </row>
    <row r="284" spans="2:7">
      <c r="B284">
        <v>282</v>
      </c>
      <c r="C284">
        <v>10</v>
      </c>
      <c r="D284">
        <v>4</v>
      </c>
      <c r="E284" t="s">
        <v>82</v>
      </c>
      <c r="F284">
        <v>1560</v>
      </c>
      <c r="G284">
        <f>ROUNDUP(G283*1.7,-1)</f>
        <v>1770</v>
      </c>
    </row>
    <row r="285" spans="2:7">
      <c r="B285">
        <v>283</v>
      </c>
      <c r="C285">
        <v>10</v>
      </c>
      <c r="D285">
        <v>5</v>
      </c>
      <c r="E285" t="s">
        <v>43</v>
      </c>
      <c r="F285">
        <v>315</v>
      </c>
      <c r="G285">
        <f>G282+5</f>
        <v>525</v>
      </c>
    </row>
    <row r="286" spans="2:7">
      <c r="B286">
        <v>284</v>
      </c>
      <c r="C286">
        <v>10</v>
      </c>
      <c r="D286">
        <v>5</v>
      </c>
      <c r="E286" t="s">
        <v>81</v>
      </c>
      <c r="F286">
        <v>525</v>
      </c>
      <c r="G286">
        <f>G285*2</f>
        <v>1050</v>
      </c>
    </row>
    <row r="287" spans="2:7">
      <c r="B287">
        <v>285</v>
      </c>
      <c r="C287">
        <v>10</v>
      </c>
      <c r="D287">
        <v>5</v>
      </c>
      <c r="E287" t="s">
        <v>82</v>
      </c>
      <c r="F287">
        <v>1575</v>
      </c>
      <c r="G287">
        <f>ROUNDUP(G286*1.7,-1)</f>
        <v>1790</v>
      </c>
    </row>
    <row r="288" spans="2:7">
      <c r="B288">
        <v>286</v>
      </c>
      <c r="C288">
        <v>10</v>
      </c>
      <c r="D288">
        <v>6</v>
      </c>
      <c r="E288" t="s">
        <v>43</v>
      </c>
      <c r="F288">
        <v>318</v>
      </c>
      <c r="G288">
        <f>G285+5</f>
        <v>530</v>
      </c>
    </row>
    <row r="289" spans="2:7">
      <c r="B289">
        <v>287</v>
      </c>
      <c r="C289">
        <v>10</v>
      </c>
      <c r="D289">
        <v>6</v>
      </c>
      <c r="E289" t="s">
        <v>81</v>
      </c>
      <c r="F289">
        <v>530</v>
      </c>
      <c r="G289">
        <f>G288*2</f>
        <v>1060</v>
      </c>
    </row>
    <row r="290" spans="2:7">
      <c r="B290">
        <v>288</v>
      </c>
      <c r="C290">
        <v>10</v>
      </c>
      <c r="D290">
        <v>6</v>
      </c>
      <c r="E290" t="s">
        <v>82</v>
      </c>
      <c r="F290">
        <v>1590</v>
      </c>
      <c r="G290">
        <f>ROUNDUP(G289*1.7,-1)</f>
        <v>1810</v>
      </c>
    </row>
    <row r="291" spans="2:7">
      <c r="B291">
        <v>289</v>
      </c>
      <c r="C291">
        <v>10</v>
      </c>
      <c r="D291">
        <v>7</v>
      </c>
      <c r="E291" t="s">
        <v>43</v>
      </c>
      <c r="F291">
        <v>321</v>
      </c>
      <c r="G291">
        <f>G288+5</f>
        <v>535</v>
      </c>
    </row>
    <row r="292" spans="2:7">
      <c r="B292">
        <v>290</v>
      </c>
      <c r="C292">
        <v>10</v>
      </c>
      <c r="D292">
        <v>7</v>
      </c>
      <c r="E292" t="s">
        <v>81</v>
      </c>
      <c r="F292">
        <v>535</v>
      </c>
      <c r="G292">
        <f>G291*2</f>
        <v>1070</v>
      </c>
    </row>
    <row r="293" spans="2:7">
      <c r="B293">
        <v>291</v>
      </c>
      <c r="C293">
        <v>10</v>
      </c>
      <c r="D293">
        <v>7</v>
      </c>
      <c r="E293" t="s">
        <v>82</v>
      </c>
      <c r="F293">
        <v>1605</v>
      </c>
      <c r="G293">
        <f>ROUNDUP(G292*1.7,-1)</f>
        <v>1820</v>
      </c>
    </row>
    <row r="294" spans="2:7">
      <c r="B294">
        <v>292</v>
      </c>
      <c r="C294">
        <v>10</v>
      </c>
      <c r="D294">
        <v>8</v>
      </c>
      <c r="E294" t="s">
        <v>43</v>
      </c>
      <c r="F294">
        <v>324</v>
      </c>
      <c r="G294">
        <f>G291+5</f>
        <v>540</v>
      </c>
    </row>
    <row r="295" spans="2:7">
      <c r="B295">
        <v>293</v>
      </c>
      <c r="C295">
        <v>10</v>
      </c>
      <c r="D295">
        <v>8</v>
      </c>
      <c r="E295" t="s">
        <v>81</v>
      </c>
      <c r="F295">
        <v>540</v>
      </c>
      <c r="G295">
        <f>G294*2</f>
        <v>1080</v>
      </c>
    </row>
    <row r="296" spans="2:7">
      <c r="B296">
        <v>294</v>
      </c>
      <c r="C296">
        <v>10</v>
      </c>
      <c r="D296">
        <v>8</v>
      </c>
      <c r="E296" t="s">
        <v>82</v>
      </c>
      <c r="F296">
        <v>1620</v>
      </c>
      <c r="G296">
        <f>ROUNDUP(G295*1.7,-1)</f>
        <v>1840</v>
      </c>
    </row>
    <row r="297" spans="2:7">
      <c r="B297">
        <v>295</v>
      </c>
      <c r="C297">
        <v>10</v>
      </c>
      <c r="D297">
        <v>9</v>
      </c>
      <c r="E297" t="s">
        <v>43</v>
      </c>
      <c r="F297">
        <v>327</v>
      </c>
      <c r="G297">
        <f>G294+5</f>
        <v>545</v>
      </c>
    </row>
    <row r="298" spans="2:7">
      <c r="B298">
        <v>296</v>
      </c>
      <c r="C298">
        <v>10</v>
      </c>
      <c r="D298">
        <v>9</v>
      </c>
      <c r="E298" t="s">
        <v>81</v>
      </c>
      <c r="F298">
        <v>545</v>
      </c>
      <c r="G298">
        <f>G297*2</f>
        <v>1090</v>
      </c>
    </row>
    <row r="299" spans="2:7">
      <c r="B299">
        <v>297</v>
      </c>
      <c r="C299">
        <v>10</v>
      </c>
      <c r="D299">
        <v>9</v>
      </c>
      <c r="E299" t="s">
        <v>82</v>
      </c>
      <c r="F299">
        <v>1635</v>
      </c>
      <c r="G299">
        <f>ROUNDUP(G298*1.7,-1)</f>
        <v>1860</v>
      </c>
    </row>
    <row r="300" spans="2:7">
      <c r="B300">
        <v>298</v>
      </c>
      <c r="C300">
        <v>10</v>
      </c>
      <c r="D300">
        <v>10</v>
      </c>
      <c r="E300" t="s">
        <v>43</v>
      </c>
      <c r="F300">
        <v>330</v>
      </c>
      <c r="G300">
        <f>G297+5</f>
        <v>550</v>
      </c>
    </row>
    <row r="301" spans="2:7">
      <c r="B301">
        <v>299</v>
      </c>
      <c r="C301">
        <v>10</v>
      </c>
      <c r="D301">
        <v>10</v>
      </c>
      <c r="E301" t="s">
        <v>81</v>
      </c>
      <c r="F301">
        <v>550</v>
      </c>
      <c r="G301">
        <f>G300*2</f>
        <v>1100</v>
      </c>
    </row>
    <row r="302" spans="2:7">
      <c r="B302">
        <v>300</v>
      </c>
      <c r="C302">
        <v>10</v>
      </c>
      <c r="D302">
        <v>10</v>
      </c>
      <c r="E302" t="s">
        <v>82</v>
      </c>
      <c r="F302">
        <v>1650</v>
      </c>
      <c r="G302">
        <f>ROUNDUP(G301*1.7,-1)</f>
        <v>1870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/>
  </sheetViews>
  <sheetFormatPr defaultRowHeight="16.5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customWidth="1"/>
  </cols>
  <sheetData>
    <row r="2" spans="2:17">
      <c r="B2" t="s">
        <v>77</v>
      </c>
      <c r="C2" t="s">
        <v>78</v>
      </c>
      <c r="D2" t="s">
        <v>79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</row>
    <row r="3" spans="2:17">
      <c r="B3">
        <v>1</v>
      </c>
      <c r="C3">
        <v>1</v>
      </c>
      <c r="D3">
        <v>1</v>
      </c>
      <c r="E3" s="9" t="s">
        <v>96</v>
      </c>
      <c r="F3" s="9" t="s">
        <v>97</v>
      </c>
      <c r="G3" s="9" t="s">
        <v>98</v>
      </c>
      <c r="H3" s="9" t="s">
        <v>97</v>
      </c>
      <c r="I3" s="9" t="s">
        <v>96</v>
      </c>
      <c r="J3" s="9" t="s">
        <v>97</v>
      </c>
      <c r="K3" s="9"/>
      <c r="L3" s="9"/>
      <c r="M3" s="9"/>
      <c r="N3" s="9"/>
      <c r="O3" s="9"/>
      <c r="P3" s="9"/>
      <c r="Q3" t="s">
        <v>99</v>
      </c>
    </row>
    <row r="4" spans="2:17">
      <c r="B4">
        <v>2</v>
      </c>
      <c r="C4">
        <v>1</v>
      </c>
      <c r="D4">
        <v>2</v>
      </c>
      <c r="E4" s="9" t="s">
        <v>98</v>
      </c>
      <c r="F4" s="9" t="s">
        <v>97</v>
      </c>
      <c r="G4" s="9" t="s">
        <v>96</v>
      </c>
      <c r="H4" s="9" t="s">
        <v>97</v>
      </c>
      <c r="I4" s="9" t="s">
        <v>98</v>
      </c>
      <c r="J4" s="9" t="s">
        <v>97</v>
      </c>
      <c r="K4" s="9"/>
      <c r="L4" s="9"/>
      <c r="M4" s="9"/>
      <c r="N4" s="9"/>
      <c r="O4" s="9"/>
      <c r="P4" s="9"/>
      <c r="Q4" t="s">
        <v>99</v>
      </c>
    </row>
    <row r="5" spans="2:17">
      <c r="B5">
        <v>3</v>
      </c>
      <c r="C5">
        <v>1</v>
      </c>
      <c r="D5">
        <v>3</v>
      </c>
      <c r="E5" s="9" t="s">
        <v>96</v>
      </c>
      <c r="F5" s="9" t="s">
        <v>97</v>
      </c>
      <c r="G5" s="9" t="s">
        <v>98</v>
      </c>
      <c r="H5" s="9" t="s">
        <v>97</v>
      </c>
      <c r="I5" s="9" t="s">
        <v>96</v>
      </c>
      <c r="J5" s="9" t="s">
        <v>97</v>
      </c>
      <c r="K5" s="9"/>
      <c r="L5" s="9"/>
      <c r="M5" s="9"/>
      <c r="N5" s="9"/>
      <c r="O5" s="9"/>
      <c r="P5" s="9"/>
      <c r="Q5" t="s">
        <v>99</v>
      </c>
    </row>
    <row r="6" spans="2:17">
      <c r="B6">
        <v>4</v>
      </c>
      <c r="C6">
        <v>1</v>
      </c>
      <c r="D6">
        <v>4</v>
      </c>
      <c r="E6" s="9" t="s">
        <v>98</v>
      </c>
      <c r="F6" s="9" t="s">
        <v>97</v>
      </c>
      <c r="G6" s="9" t="s">
        <v>96</v>
      </c>
      <c r="H6" s="9" t="s">
        <v>97</v>
      </c>
      <c r="I6" s="9" t="s">
        <v>100</v>
      </c>
      <c r="J6" s="9" t="s">
        <v>97</v>
      </c>
      <c r="K6" s="9"/>
      <c r="L6" s="9"/>
      <c r="M6" s="9"/>
      <c r="N6" s="9"/>
      <c r="O6" s="9"/>
      <c r="P6" s="9"/>
      <c r="Q6" t="s">
        <v>99</v>
      </c>
    </row>
    <row r="7" spans="2:17">
      <c r="B7">
        <v>5</v>
      </c>
      <c r="C7">
        <v>1</v>
      </c>
      <c r="D7">
        <v>5</v>
      </c>
      <c r="E7" s="9" t="s">
        <v>96</v>
      </c>
      <c r="F7" s="9" t="s">
        <v>97</v>
      </c>
      <c r="G7" s="9" t="s">
        <v>98</v>
      </c>
      <c r="H7" s="9" t="s">
        <v>97</v>
      </c>
      <c r="I7" s="9" t="s">
        <v>100</v>
      </c>
      <c r="J7" s="9" t="s">
        <v>97</v>
      </c>
      <c r="K7" s="9"/>
      <c r="L7" s="9"/>
      <c r="M7" s="9"/>
      <c r="N7" s="9"/>
      <c r="O7" s="9"/>
      <c r="P7" s="9"/>
      <c r="Q7" t="s">
        <v>99</v>
      </c>
    </row>
    <row r="8" spans="2:17">
      <c r="B8">
        <v>6</v>
      </c>
      <c r="C8">
        <v>1</v>
      </c>
      <c r="D8">
        <v>6</v>
      </c>
      <c r="E8" s="9" t="s">
        <v>98</v>
      </c>
      <c r="F8" s="9" t="s">
        <v>97</v>
      </c>
      <c r="G8" s="9" t="s">
        <v>96</v>
      </c>
      <c r="H8" s="9" t="s">
        <v>97</v>
      </c>
      <c r="I8" s="9" t="s">
        <v>100</v>
      </c>
      <c r="J8" s="9" t="s">
        <v>97</v>
      </c>
      <c r="K8" s="9"/>
      <c r="L8" s="9"/>
      <c r="M8" s="9"/>
      <c r="N8" s="9"/>
      <c r="O8" s="9"/>
      <c r="P8" s="9"/>
      <c r="Q8" t="s">
        <v>99</v>
      </c>
    </row>
    <row r="9" spans="2:17">
      <c r="B9">
        <v>7</v>
      </c>
      <c r="C9">
        <v>1</v>
      </c>
      <c r="D9">
        <v>7</v>
      </c>
      <c r="E9" s="9" t="s">
        <v>96</v>
      </c>
      <c r="F9" s="9" t="s">
        <v>97</v>
      </c>
      <c r="G9" s="9" t="s">
        <v>98</v>
      </c>
      <c r="H9" s="9" t="s">
        <v>97</v>
      </c>
      <c r="I9" s="9" t="s">
        <v>96</v>
      </c>
      <c r="J9" s="9" t="s">
        <v>97</v>
      </c>
      <c r="K9" s="9" t="s">
        <v>100</v>
      </c>
      <c r="L9" s="9" t="s">
        <v>97</v>
      </c>
      <c r="M9" s="9"/>
      <c r="N9" s="9"/>
      <c r="O9" s="9"/>
      <c r="P9" s="9"/>
      <c r="Q9" t="s">
        <v>99</v>
      </c>
    </row>
    <row r="10" spans="2:17">
      <c r="B10">
        <v>8</v>
      </c>
      <c r="C10">
        <v>1</v>
      </c>
      <c r="D10">
        <v>8</v>
      </c>
      <c r="E10" s="9" t="s">
        <v>98</v>
      </c>
      <c r="F10" s="9" t="s">
        <v>97</v>
      </c>
      <c r="G10" s="9" t="s">
        <v>96</v>
      </c>
      <c r="H10" s="9" t="s">
        <v>97</v>
      </c>
      <c r="I10" s="9" t="s">
        <v>98</v>
      </c>
      <c r="J10" s="9" t="s">
        <v>97</v>
      </c>
      <c r="K10" s="9" t="s">
        <v>100</v>
      </c>
      <c r="L10" s="9" t="s">
        <v>43</v>
      </c>
      <c r="M10" s="9"/>
      <c r="N10" s="9"/>
      <c r="O10" s="9"/>
      <c r="P10" s="9"/>
      <c r="Q10" t="s">
        <v>99</v>
      </c>
    </row>
    <row r="11" spans="2:17">
      <c r="B11">
        <v>9</v>
      </c>
      <c r="C11">
        <v>1</v>
      </c>
      <c r="D11">
        <v>9</v>
      </c>
      <c r="E11" s="9" t="s">
        <v>96</v>
      </c>
      <c r="F11" s="9" t="s">
        <v>97</v>
      </c>
      <c r="G11" s="9" t="s">
        <v>98</v>
      </c>
      <c r="H11" s="9" t="s">
        <v>97</v>
      </c>
      <c r="I11" s="9" t="s">
        <v>96</v>
      </c>
      <c r="J11" s="9" t="s">
        <v>97</v>
      </c>
      <c r="K11" s="9" t="s">
        <v>100</v>
      </c>
      <c r="L11" s="9" t="s">
        <v>43</v>
      </c>
      <c r="M11" s="9"/>
      <c r="N11" s="9"/>
      <c r="O11" s="9"/>
      <c r="P11" s="9"/>
      <c r="Q11" t="s">
        <v>99</v>
      </c>
    </row>
    <row r="12" spans="2:17">
      <c r="B12">
        <v>10</v>
      </c>
      <c r="C12">
        <v>1</v>
      </c>
      <c r="D12">
        <v>10</v>
      </c>
      <c r="E12" s="9" t="s">
        <v>98</v>
      </c>
      <c r="F12" s="9" t="s">
        <v>97</v>
      </c>
      <c r="G12" s="9" t="s">
        <v>96</v>
      </c>
      <c r="H12" s="9" t="s">
        <v>97</v>
      </c>
      <c r="I12" s="9" t="s">
        <v>98</v>
      </c>
      <c r="J12" s="9" t="s">
        <v>97</v>
      </c>
      <c r="K12" s="9" t="s">
        <v>100</v>
      </c>
      <c r="L12" s="9" t="s">
        <v>43</v>
      </c>
      <c r="M12" s="9"/>
      <c r="N12" s="9"/>
      <c r="O12" s="9"/>
      <c r="P12" s="9"/>
      <c r="Q12" t="s">
        <v>99</v>
      </c>
    </row>
    <row r="13" spans="2:17">
      <c r="B13">
        <v>11</v>
      </c>
      <c r="C13">
        <v>2</v>
      </c>
      <c r="D13">
        <v>1</v>
      </c>
      <c r="E13" s="9" t="s">
        <v>100</v>
      </c>
      <c r="F13" s="9" t="s">
        <v>97</v>
      </c>
      <c r="G13" s="9" t="s">
        <v>98</v>
      </c>
      <c r="H13" s="9" t="s">
        <v>97</v>
      </c>
      <c r="I13" s="9" t="s">
        <v>96</v>
      </c>
      <c r="J13" s="9" t="s">
        <v>97</v>
      </c>
      <c r="K13" s="9" t="s">
        <v>100</v>
      </c>
      <c r="L13" s="9" t="s">
        <v>97</v>
      </c>
      <c r="M13" s="9"/>
      <c r="N13" s="9"/>
      <c r="O13" s="9"/>
      <c r="P13" s="9"/>
      <c r="Q13" t="s">
        <v>101</v>
      </c>
    </row>
    <row r="14" spans="2:17">
      <c r="B14">
        <v>12</v>
      </c>
      <c r="C14">
        <v>2</v>
      </c>
      <c r="D14">
        <v>2</v>
      </c>
      <c r="E14" s="9" t="s">
        <v>98</v>
      </c>
      <c r="F14" s="9" t="s">
        <v>97</v>
      </c>
      <c r="G14" s="9" t="s">
        <v>96</v>
      </c>
      <c r="H14" s="9" t="s">
        <v>97</v>
      </c>
      <c r="I14" s="9" t="s">
        <v>100</v>
      </c>
      <c r="J14" s="9" t="s">
        <v>97</v>
      </c>
      <c r="K14" s="9" t="s">
        <v>98</v>
      </c>
      <c r="L14" s="9" t="s">
        <v>97</v>
      </c>
      <c r="M14" s="9"/>
      <c r="N14" s="9"/>
      <c r="O14" s="9"/>
      <c r="P14" s="9"/>
      <c r="Q14" t="s">
        <v>101</v>
      </c>
    </row>
    <row r="15" spans="2:17">
      <c r="B15">
        <v>13</v>
      </c>
      <c r="C15">
        <v>2</v>
      </c>
      <c r="D15">
        <v>3</v>
      </c>
      <c r="E15" s="9" t="s">
        <v>96</v>
      </c>
      <c r="F15" s="9" t="s">
        <v>97</v>
      </c>
      <c r="G15" s="9" t="s">
        <v>100</v>
      </c>
      <c r="H15" s="9" t="s">
        <v>97</v>
      </c>
      <c r="I15" s="9" t="s">
        <v>98</v>
      </c>
      <c r="J15" s="9" t="s">
        <v>97</v>
      </c>
      <c r="K15" s="9" t="s">
        <v>96</v>
      </c>
      <c r="L15" s="9" t="s">
        <v>97</v>
      </c>
      <c r="M15" s="9"/>
      <c r="N15" s="9"/>
      <c r="O15" s="9"/>
      <c r="P15" s="9"/>
      <c r="Q15" t="s">
        <v>101</v>
      </c>
    </row>
    <row r="16" spans="2:17">
      <c r="B16">
        <v>14</v>
      </c>
      <c r="C16">
        <v>2</v>
      </c>
      <c r="D16">
        <v>4</v>
      </c>
      <c r="E16" s="9" t="s">
        <v>100</v>
      </c>
      <c r="F16" s="9" t="s">
        <v>97</v>
      </c>
      <c r="G16" s="9" t="s">
        <v>98</v>
      </c>
      <c r="H16" s="9" t="s">
        <v>97</v>
      </c>
      <c r="I16" s="9" t="s">
        <v>96</v>
      </c>
      <c r="J16" s="9" t="s">
        <v>97</v>
      </c>
      <c r="K16" s="9" t="s">
        <v>102</v>
      </c>
      <c r="L16" s="9" t="s">
        <v>97</v>
      </c>
      <c r="M16" s="9"/>
      <c r="N16" s="9"/>
      <c r="O16" s="9"/>
      <c r="P16" s="9"/>
      <c r="Q16" t="s">
        <v>101</v>
      </c>
    </row>
    <row r="17" spans="2:17">
      <c r="B17">
        <v>15</v>
      </c>
      <c r="C17">
        <v>2</v>
      </c>
      <c r="D17">
        <v>5</v>
      </c>
      <c r="E17" s="9" t="s">
        <v>98</v>
      </c>
      <c r="F17" s="9" t="s">
        <v>97</v>
      </c>
      <c r="G17" s="9" t="s">
        <v>96</v>
      </c>
      <c r="H17" s="9" t="s">
        <v>97</v>
      </c>
      <c r="I17" s="9" t="s">
        <v>100</v>
      </c>
      <c r="J17" s="9" t="s">
        <v>97</v>
      </c>
      <c r="K17" s="9" t="s">
        <v>102</v>
      </c>
      <c r="L17" s="9" t="s">
        <v>97</v>
      </c>
      <c r="M17" s="9"/>
      <c r="N17" s="9"/>
      <c r="O17" s="9"/>
      <c r="P17" s="9"/>
      <c r="Q17" t="s">
        <v>101</v>
      </c>
    </row>
    <row r="18" spans="2:17">
      <c r="B18">
        <v>16</v>
      </c>
      <c r="C18">
        <v>2</v>
      </c>
      <c r="D18">
        <v>6</v>
      </c>
      <c r="E18" s="9" t="s">
        <v>96</v>
      </c>
      <c r="F18" s="9" t="s">
        <v>97</v>
      </c>
      <c r="G18" s="9" t="s">
        <v>100</v>
      </c>
      <c r="H18" s="9" t="s">
        <v>97</v>
      </c>
      <c r="I18" s="9" t="s">
        <v>98</v>
      </c>
      <c r="J18" s="9" t="s">
        <v>97</v>
      </c>
      <c r="K18" s="9" t="s">
        <v>102</v>
      </c>
      <c r="L18" s="9" t="s">
        <v>97</v>
      </c>
      <c r="M18" s="9"/>
      <c r="N18" s="9"/>
      <c r="O18" s="9"/>
      <c r="P18" s="9"/>
      <c r="Q18" t="s">
        <v>101</v>
      </c>
    </row>
    <row r="19" spans="2:17">
      <c r="B19">
        <v>17</v>
      </c>
      <c r="C19">
        <v>2</v>
      </c>
      <c r="D19">
        <v>7</v>
      </c>
      <c r="E19" s="9" t="s">
        <v>100</v>
      </c>
      <c r="F19" s="9" t="s">
        <v>97</v>
      </c>
      <c r="G19" s="9" t="s">
        <v>98</v>
      </c>
      <c r="H19" s="9" t="s">
        <v>97</v>
      </c>
      <c r="I19" s="9" t="s">
        <v>96</v>
      </c>
      <c r="J19" s="9" t="s">
        <v>97</v>
      </c>
      <c r="K19" s="9" t="s">
        <v>102</v>
      </c>
      <c r="L19" s="9" t="s">
        <v>97</v>
      </c>
      <c r="M19" s="9"/>
      <c r="N19" s="9"/>
      <c r="O19" s="9"/>
      <c r="P19" s="9"/>
      <c r="Q19" t="s">
        <v>101</v>
      </c>
    </row>
    <row r="20" spans="2:17">
      <c r="B20">
        <v>18</v>
      </c>
      <c r="C20">
        <v>2</v>
      </c>
      <c r="D20">
        <v>8</v>
      </c>
      <c r="E20" s="9" t="s">
        <v>98</v>
      </c>
      <c r="F20" s="9" t="s">
        <v>97</v>
      </c>
      <c r="G20" s="9" t="s">
        <v>96</v>
      </c>
      <c r="H20" s="9" t="s">
        <v>97</v>
      </c>
      <c r="I20" s="9" t="s">
        <v>100</v>
      </c>
      <c r="J20" s="9" t="s">
        <v>97</v>
      </c>
      <c r="K20" s="9" t="s">
        <v>102</v>
      </c>
      <c r="L20" s="9" t="s">
        <v>43</v>
      </c>
      <c r="M20" s="9"/>
      <c r="N20" s="9"/>
      <c r="O20" s="9"/>
      <c r="P20" s="9"/>
      <c r="Q20" t="s">
        <v>101</v>
      </c>
    </row>
    <row r="21" spans="2:17">
      <c r="B21">
        <v>19</v>
      </c>
      <c r="C21">
        <v>2</v>
      </c>
      <c r="D21">
        <v>9</v>
      </c>
      <c r="E21" s="9" t="s">
        <v>96</v>
      </c>
      <c r="F21" s="9" t="s">
        <v>97</v>
      </c>
      <c r="G21" s="9" t="s">
        <v>100</v>
      </c>
      <c r="H21" s="9" t="s">
        <v>97</v>
      </c>
      <c r="I21" s="9" t="s">
        <v>98</v>
      </c>
      <c r="J21" s="9" t="s">
        <v>97</v>
      </c>
      <c r="K21" s="9" t="s">
        <v>102</v>
      </c>
      <c r="L21" s="9" t="s">
        <v>43</v>
      </c>
      <c r="M21" s="9"/>
      <c r="N21" s="9"/>
      <c r="O21" s="9"/>
      <c r="P21" s="9"/>
      <c r="Q21" t="s">
        <v>101</v>
      </c>
    </row>
    <row r="22" spans="2:17">
      <c r="B22">
        <v>20</v>
      </c>
      <c r="C22">
        <v>2</v>
      </c>
      <c r="D22">
        <v>10</v>
      </c>
      <c r="E22" s="9" t="s">
        <v>100</v>
      </c>
      <c r="F22" s="9" t="s">
        <v>97</v>
      </c>
      <c r="G22" s="9" t="s">
        <v>98</v>
      </c>
      <c r="H22" s="9" t="s">
        <v>97</v>
      </c>
      <c r="I22" s="9" t="s">
        <v>96</v>
      </c>
      <c r="J22" s="9" t="s">
        <v>97</v>
      </c>
      <c r="K22" s="9" t="s">
        <v>102</v>
      </c>
      <c r="L22" s="9" t="s">
        <v>43</v>
      </c>
      <c r="M22" s="9"/>
      <c r="N22" s="9"/>
      <c r="O22" s="9"/>
      <c r="P22" s="9"/>
      <c r="Q22" t="s">
        <v>101</v>
      </c>
    </row>
    <row r="23" spans="2:17">
      <c r="B23">
        <v>21</v>
      </c>
      <c r="C23">
        <v>3</v>
      </c>
      <c r="D23">
        <v>1</v>
      </c>
      <c r="E23" s="9" t="s">
        <v>96</v>
      </c>
      <c r="F23" s="9" t="s">
        <v>97</v>
      </c>
      <c r="G23" s="9" t="s">
        <v>102</v>
      </c>
      <c r="H23" s="9" t="s">
        <v>97</v>
      </c>
      <c r="I23" s="9" t="s">
        <v>96</v>
      </c>
      <c r="J23" s="9" t="s">
        <v>97</v>
      </c>
      <c r="K23" s="9" t="s">
        <v>102</v>
      </c>
      <c r="L23" s="9" t="s">
        <v>97</v>
      </c>
      <c r="M23" s="9"/>
      <c r="N23" s="9"/>
      <c r="O23" s="9"/>
      <c r="P23" s="9"/>
      <c r="Q23" t="s">
        <v>103</v>
      </c>
    </row>
    <row r="24" spans="2:17">
      <c r="B24">
        <v>22</v>
      </c>
      <c r="C24">
        <v>3</v>
      </c>
      <c r="D24">
        <v>2</v>
      </c>
      <c r="E24" s="9" t="s">
        <v>100</v>
      </c>
      <c r="F24" s="9" t="s">
        <v>97</v>
      </c>
      <c r="G24" s="9" t="s">
        <v>98</v>
      </c>
      <c r="H24" s="9" t="s">
        <v>97</v>
      </c>
      <c r="I24" s="9" t="s">
        <v>100</v>
      </c>
      <c r="J24" s="9" t="s">
        <v>97</v>
      </c>
      <c r="K24" s="9" t="s">
        <v>104</v>
      </c>
      <c r="L24" s="9" t="s">
        <v>97</v>
      </c>
      <c r="M24" s="9"/>
      <c r="N24" s="9"/>
      <c r="O24" s="9"/>
      <c r="P24" s="9"/>
      <c r="Q24" t="s">
        <v>103</v>
      </c>
    </row>
    <row r="25" spans="2:17">
      <c r="B25">
        <v>23</v>
      </c>
      <c r="C25">
        <v>3</v>
      </c>
      <c r="D25">
        <v>3</v>
      </c>
      <c r="E25" s="9" t="s">
        <v>102</v>
      </c>
      <c r="F25" s="9" t="s">
        <v>97</v>
      </c>
      <c r="G25" s="9" t="s">
        <v>104</v>
      </c>
      <c r="H25" s="9" t="s">
        <v>97</v>
      </c>
      <c r="I25" s="9" t="s">
        <v>102</v>
      </c>
      <c r="J25" s="9" t="s">
        <v>97</v>
      </c>
      <c r="K25" s="9" t="s">
        <v>96</v>
      </c>
      <c r="L25" s="9" t="s">
        <v>97</v>
      </c>
      <c r="M25" s="9"/>
      <c r="N25" s="9"/>
      <c r="O25" s="9"/>
      <c r="P25" s="9"/>
      <c r="Q25" t="s">
        <v>103</v>
      </c>
    </row>
    <row r="26" spans="2:17">
      <c r="B26">
        <v>24</v>
      </c>
      <c r="C26">
        <v>3</v>
      </c>
      <c r="D26">
        <v>4</v>
      </c>
      <c r="E26" s="9" t="s">
        <v>98</v>
      </c>
      <c r="F26" s="9" t="s">
        <v>97</v>
      </c>
      <c r="G26" s="9" t="s">
        <v>100</v>
      </c>
      <c r="H26" s="9" t="s">
        <v>97</v>
      </c>
      <c r="I26" s="9" t="s">
        <v>98</v>
      </c>
      <c r="J26" s="9" t="s">
        <v>97</v>
      </c>
      <c r="K26" s="9" t="s">
        <v>104</v>
      </c>
      <c r="L26" s="9" t="s">
        <v>97</v>
      </c>
      <c r="M26" s="9"/>
      <c r="N26" s="9"/>
      <c r="O26" s="9"/>
      <c r="P26" s="9"/>
      <c r="Q26" t="s">
        <v>103</v>
      </c>
    </row>
    <row r="27" spans="2:17">
      <c r="B27">
        <v>25</v>
      </c>
      <c r="C27">
        <v>3</v>
      </c>
      <c r="D27">
        <v>5</v>
      </c>
      <c r="E27" s="9" t="s">
        <v>96</v>
      </c>
      <c r="F27" s="9" t="s">
        <v>97</v>
      </c>
      <c r="G27" s="9" t="s">
        <v>102</v>
      </c>
      <c r="H27" s="9" t="s">
        <v>97</v>
      </c>
      <c r="I27" s="9" t="s">
        <v>96</v>
      </c>
      <c r="J27" s="9" t="s">
        <v>97</v>
      </c>
      <c r="K27" s="9" t="s">
        <v>102</v>
      </c>
      <c r="L27" s="9" t="s">
        <v>97</v>
      </c>
      <c r="M27" s="9" t="s">
        <v>96</v>
      </c>
      <c r="N27" s="9" t="s">
        <v>97</v>
      </c>
      <c r="O27" s="9"/>
      <c r="P27" s="9"/>
      <c r="Q27" t="s">
        <v>103</v>
      </c>
    </row>
    <row r="28" spans="2:17">
      <c r="B28">
        <v>26</v>
      </c>
      <c r="C28">
        <v>3</v>
      </c>
      <c r="D28">
        <v>6</v>
      </c>
      <c r="E28" s="9" t="s">
        <v>100</v>
      </c>
      <c r="F28" s="9" t="s">
        <v>97</v>
      </c>
      <c r="G28" s="9" t="s">
        <v>104</v>
      </c>
      <c r="H28" s="9" t="s">
        <v>97</v>
      </c>
      <c r="I28" s="9" t="s">
        <v>100</v>
      </c>
      <c r="J28" s="9" t="s">
        <v>97</v>
      </c>
      <c r="K28" s="9" t="s">
        <v>98</v>
      </c>
      <c r="L28" s="9" t="s">
        <v>43</v>
      </c>
      <c r="M28" s="9" t="s">
        <v>104</v>
      </c>
      <c r="N28" s="9" t="s">
        <v>97</v>
      </c>
      <c r="O28" s="9"/>
      <c r="P28" s="9"/>
      <c r="Q28" t="s">
        <v>103</v>
      </c>
    </row>
    <row r="29" spans="2:17">
      <c r="B29">
        <v>27</v>
      </c>
      <c r="C29">
        <v>3</v>
      </c>
      <c r="D29">
        <v>7</v>
      </c>
      <c r="E29" s="9" t="s">
        <v>102</v>
      </c>
      <c r="F29" s="9" t="s">
        <v>97</v>
      </c>
      <c r="G29" s="9" t="s">
        <v>96</v>
      </c>
      <c r="H29" s="9" t="s">
        <v>97</v>
      </c>
      <c r="I29" s="9" t="s">
        <v>102</v>
      </c>
      <c r="J29" s="9" t="s">
        <v>97</v>
      </c>
      <c r="K29" s="9" t="s">
        <v>96</v>
      </c>
      <c r="L29" s="9" t="s">
        <v>43</v>
      </c>
      <c r="M29" s="9" t="s">
        <v>102</v>
      </c>
      <c r="N29" s="9" t="s">
        <v>43</v>
      </c>
      <c r="O29" s="9"/>
      <c r="P29" s="9"/>
      <c r="Q29" t="s">
        <v>103</v>
      </c>
    </row>
    <row r="30" spans="2:17">
      <c r="B30">
        <v>28</v>
      </c>
      <c r="C30">
        <v>3</v>
      </c>
      <c r="D30">
        <v>8</v>
      </c>
      <c r="E30" s="9" t="s">
        <v>98</v>
      </c>
      <c r="F30" s="9" t="s">
        <v>97</v>
      </c>
      <c r="G30" s="9" t="s">
        <v>100</v>
      </c>
      <c r="H30" s="9" t="s">
        <v>97</v>
      </c>
      <c r="I30" s="9" t="s">
        <v>98</v>
      </c>
      <c r="J30" s="9" t="s">
        <v>97</v>
      </c>
      <c r="K30" s="9" t="s">
        <v>100</v>
      </c>
      <c r="L30" s="9" t="s">
        <v>43</v>
      </c>
      <c r="M30" s="9" t="s">
        <v>104</v>
      </c>
      <c r="N30" s="9" t="s">
        <v>43</v>
      </c>
      <c r="O30" s="9"/>
      <c r="P30" s="9"/>
      <c r="Q30" t="s">
        <v>103</v>
      </c>
    </row>
    <row r="31" spans="2:17">
      <c r="B31">
        <v>29</v>
      </c>
      <c r="C31">
        <v>3</v>
      </c>
      <c r="D31">
        <v>9</v>
      </c>
      <c r="E31" s="9" t="s">
        <v>96</v>
      </c>
      <c r="F31" s="9" t="s">
        <v>97</v>
      </c>
      <c r="G31" s="9" t="s">
        <v>104</v>
      </c>
      <c r="H31" s="9" t="s">
        <v>43</v>
      </c>
      <c r="I31" s="9" t="s">
        <v>96</v>
      </c>
      <c r="J31" s="9" t="s">
        <v>97</v>
      </c>
      <c r="K31" s="9" t="s">
        <v>102</v>
      </c>
      <c r="L31" s="9" t="s">
        <v>43</v>
      </c>
      <c r="M31" s="9" t="s">
        <v>96</v>
      </c>
      <c r="N31" s="9" t="s">
        <v>43</v>
      </c>
      <c r="O31" s="9"/>
      <c r="P31" s="9"/>
      <c r="Q31" t="s">
        <v>103</v>
      </c>
    </row>
    <row r="32" spans="2:17">
      <c r="B32">
        <v>30</v>
      </c>
      <c r="C32">
        <v>3</v>
      </c>
      <c r="D32">
        <v>10</v>
      </c>
      <c r="E32" s="9" t="s">
        <v>100</v>
      </c>
      <c r="F32" s="9" t="s">
        <v>97</v>
      </c>
      <c r="G32" s="9" t="s">
        <v>98</v>
      </c>
      <c r="H32" s="9" t="s">
        <v>97</v>
      </c>
      <c r="I32" s="9" t="s">
        <v>100</v>
      </c>
      <c r="J32" s="9" t="s">
        <v>97</v>
      </c>
      <c r="K32" s="9" t="s">
        <v>98</v>
      </c>
      <c r="L32" s="9" t="s">
        <v>43</v>
      </c>
      <c r="M32" s="9" t="s">
        <v>104</v>
      </c>
      <c r="N32" s="9" t="s">
        <v>43</v>
      </c>
      <c r="O32" s="9"/>
      <c r="P32" s="9"/>
      <c r="Q32" t="s">
        <v>103</v>
      </c>
    </row>
    <row r="33" spans="2:17">
      <c r="B33">
        <v>31</v>
      </c>
      <c r="C33">
        <v>4</v>
      </c>
      <c r="D33">
        <v>1</v>
      </c>
      <c r="E33" s="9" t="s">
        <v>102</v>
      </c>
      <c r="F33" s="9" t="s">
        <v>97</v>
      </c>
      <c r="G33" s="9" t="s">
        <v>98</v>
      </c>
      <c r="H33" s="9" t="s">
        <v>97</v>
      </c>
      <c r="I33" s="9" t="s">
        <v>102</v>
      </c>
      <c r="J33" s="9" t="s">
        <v>97</v>
      </c>
      <c r="K33" s="9" t="s">
        <v>98</v>
      </c>
      <c r="L33" s="9" t="s">
        <v>97</v>
      </c>
      <c r="M33" s="9" t="s">
        <v>102</v>
      </c>
      <c r="N33" s="9" t="s">
        <v>97</v>
      </c>
      <c r="O33" s="9"/>
      <c r="P33" s="9"/>
      <c r="Q33" t="s">
        <v>105</v>
      </c>
    </row>
    <row r="34" spans="2:17">
      <c r="B34">
        <v>32</v>
      </c>
      <c r="C34">
        <v>4</v>
      </c>
      <c r="D34">
        <v>2</v>
      </c>
      <c r="E34" s="9" t="s">
        <v>104</v>
      </c>
      <c r="F34" s="9" t="s">
        <v>97</v>
      </c>
      <c r="G34" s="9" t="s">
        <v>100</v>
      </c>
      <c r="H34" s="9" t="s">
        <v>97</v>
      </c>
      <c r="I34" s="9" t="s">
        <v>104</v>
      </c>
      <c r="J34" s="9" t="s">
        <v>97</v>
      </c>
      <c r="K34" s="9" t="s">
        <v>100</v>
      </c>
      <c r="L34" s="9" t="s">
        <v>97</v>
      </c>
      <c r="M34" s="9" t="s">
        <v>106</v>
      </c>
      <c r="N34" s="9" t="s">
        <v>97</v>
      </c>
      <c r="O34" s="9"/>
      <c r="P34" s="9"/>
      <c r="Q34" t="s">
        <v>105</v>
      </c>
    </row>
    <row r="35" spans="2:17">
      <c r="B35">
        <v>33</v>
      </c>
      <c r="C35">
        <v>4</v>
      </c>
      <c r="D35">
        <v>3</v>
      </c>
      <c r="E35" s="9" t="s">
        <v>98</v>
      </c>
      <c r="F35" s="9" t="s">
        <v>97</v>
      </c>
      <c r="G35" s="9" t="s">
        <v>106</v>
      </c>
      <c r="H35" s="9" t="s">
        <v>97</v>
      </c>
      <c r="I35" s="9" t="s">
        <v>98</v>
      </c>
      <c r="J35" s="9" t="s">
        <v>97</v>
      </c>
      <c r="K35" s="9" t="s">
        <v>102</v>
      </c>
      <c r="L35" s="9" t="s">
        <v>97</v>
      </c>
      <c r="M35" s="9" t="s">
        <v>98</v>
      </c>
      <c r="N35" s="9" t="s">
        <v>97</v>
      </c>
      <c r="O35" s="9"/>
      <c r="P35" s="9"/>
      <c r="Q35" t="s">
        <v>105</v>
      </c>
    </row>
    <row r="36" spans="2:17">
      <c r="B36">
        <v>34</v>
      </c>
      <c r="C36">
        <v>4</v>
      </c>
      <c r="D36">
        <v>4</v>
      </c>
      <c r="E36" s="9" t="s">
        <v>100</v>
      </c>
      <c r="F36" s="9" t="s">
        <v>97</v>
      </c>
      <c r="G36" s="9" t="s">
        <v>104</v>
      </c>
      <c r="H36" s="9" t="s">
        <v>97</v>
      </c>
      <c r="I36" s="9" t="s">
        <v>100</v>
      </c>
      <c r="J36" s="9" t="s">
        <v>97</v>
      </c>
      <c r="K36" s="9" t="s">
        <v>104</v>
      </c>
      <c r="L36" s="9" t="s">
        <v>97</v>
      </c>
      <c r="M36" s="9" t="s">
        <v>106</v>
      </c>
      <c r="N36" s="9" t="s">
        <v>97</v>
      </c>
      <c r="O36" s="9"/>
      <c r="P36" s="9"/>
      <c r="Q36" t="s">
        <v>105</v>
      </c>
    </row>
    <row r="37" spans="2:17">
      <c r="B37">
        <v>35</v>
      </c>
      <c r="C37">
        <v>4</v>
      </c>
      <c r="D37">
        <v>5</v>
      </c>
      <c r="E37" s="9" t="s">
        <v>102</v>
      </c>
      <c r="F37" s="9" t="s">
        <v>97</v>
      </c>
      <c r="G37" s="9" t="s">
        <v>98</v>
      </c>
      <c r="H37" s="9" t="s">
        <v>97</v>
      </c>
      <c r="I37" s="9" t="s">
        <v>102</v>
      </c>
      <c r="J37" s="9" t="s">
        <v>97</v>
      </c>
      <c r="K37" s="9" t="s">
        <v>98</v>
      </c>
      <c r="L37" s="9" t="s">
        <v>97</v>
      </c>
      <c r="M37" s="9" t="s">
        <v>102</v>
      </c>
      <c r="N37" s="9" t="s">
        <v>43</v>
      </c>
      <c r="O37" s="9"/>
      <c r="P37" s="9"/>
      <c r="Q37" t="s">
        <v>105</v>
      </c>
    </row>
    <row r="38" spans="2:17">
      <c r="B38">
        <v>36</v>
      </c>
      <c r="C38">
        <v>4</v>
      </c>
      <c r="D38">
        <v>6</v>
      </c>
      <c r="E38" s="9" t="s">
        <v>104</v>
      </c>
      <c r="F38" s="9" t="s">
        <v>97</v>
      </c>
      <c r="G38" s="9" t="s">
        <v>106</v>
      </c>
      <c r="H38" s="9" t="s">
        <v>97</v>
      </c>
      <c r="I38" s="9" t="s">
        <v>104</v>
      </c>
      <c r="J38" s="9" t="s">
        <v>97</v>
      </c>
      <c r="K38" s="9" t="s">
        <v>100</v>
      </c>
      <c r="L38" s="9" t="s">
        <v>97</v>
      </c>
      <c r="M38" s="9" t="s">
        <v>106</v>
      </c>
      <c r="N38" s="9" t="s">
        <v>97</v>
      </c>
      <c r="O38" s="9"/>
      <c r="P38" s="9"/>
      <c r="Q38" t="s">
        <v>105</v>
      </c>
    </row>
    <row r="39" spans="2:17">
      <c r="B39">
        <v>37</v>
      </c>
      <c r="C39">
        <v>4</v>
      </c>
      <c r="D39">
        <v>7</v>
      </c>
      <c r="E39" s="9" t="s">
        <v>98</v>
      </c>
      <c r="F39" s="9" t="s">
        <v>97</v>
      </c>
      <c r="G39" s="9" t="s">
        <v>102</v>
      </c>
      <c r="H39" s="9" t="s">
        <v>97</v>
      </c>
      <c r="I39" s="9" t="s">
        <v>98</v>
      </c>
      <c r="J39" s="9" t="s">
        <v>97</v>
      </c>
      <c r="K39" s="9" t="s">
        <v>102</v>
      </c>
      <c r="L39" s="9" t="s">
        <v>97</v>
      </c>
      <c r="M39" s="9" t="s">
        <v>98</v>
      </c>
      <c r="N39" s="9" t="s">
        <v>43</v>
      </c>
      <c r="O39" s="9"/>
      <c r="P39" s="9"/>
      <c r="Q39" t="s">
        <v>105</v>
      </c>
    </row>
    <row r="40" spans="2:17">
      <c r="B40">
        <v>38</v>
      </c>
      <c r="C40">
        <v>4</v>
      </c>
      <c r="D40">
        <v>8</v>
      </c>
      <c r="E40" s="9" t="s">
        <v>100</v>
      </c>
      <c r="F40" s="9" t="s">
        <v>97</v>
      </c>
      <c r="G40" s="9" t="s">
        <v>104</v>
      </c>
      <c r="H40" s="9" t="s">
        <v>97</v>
      </c>
      <c r="I40" s="9" t="s">
        <v>100</v>
      </c>
      <c r="J40" s="9" t="s">
        <v>97</v>
      </c>
      <c r="K40" s="9" t="s">
        <v>104</v>
      </c>
      <c r="L40" s="9" t="s">
        <v>97</v>
      </c>
      <c r="M40" s="9" t="s">
        <v>106</v>
      </c>
      <c r="N40" s="9" t="s">
        <v>43</v>
      </c>
      <c r="O40" s="9"/>
      <c r="P40" s="9"/>
      <c r="Q40" t="s">
        <v>105</v>
      </c>
    </row>
    <row r="41" spans="2:17">
      <c r="B41">
        <v>39</v>
      </c>
      <c r="C41">
        <v>4</v>
      </c>
      <c r="D41">
        <v>9</v>
      </c>
      <c r="E41" s="9" t="s">
        <v>102</v>
      </c>
      <c r="F41" s="9" t="s">
        <v>97</v>
      </c>
      <c r="G41" s="9" t="s">
        <v>106</v>
      </c>
      <c r="H41" s="9" t="s">
        <v>43</v>
      </c>
      <c r="I41" s="9" t="s">
        <v>102</v>
      </c>
      <c r="J41" s="9" t="s">
        <v>97</v>
      </c>
      <c r="K41" s="9" t="s">
        <v>98</v>
      </c>
      <c r="L41" s="9" t="s">
        <v>97</v>
      </c>
      <c r="M41" s="9" t="s">
        <v>102</v>
      </c>
      <c r="N41" s="9" t="s">
        <v>43</v>
      </c>
      <c r="O41" s="9"/>
      <c r="P41" s="9"/>
      <c r="Q41" t="s">
        <v>105</v>
      </c>
    </row>
    <row r="42" spans="2:17">
      <c r="B42">
        <v>40</v>
      </c>
      <c r="C42">
        <v>4</v>
      </c>
      <c r="D42">
        <v>10</v>
      </c>
      <c r="E42" s="9" t="s">
        <v>104</v>
      </c>
      <c r="F42" s="9" t="s">
        <v>97</v>
      </c>
      <c r="G42" s="9" t="s">
        <v>100</v>
      </c>
      <c r="H42" s="9" t="s">
        <v>97</v>
      </c>
      <c r="I42" s="9" t="s">
        <v>104</v>
      </c>
      <c r="J42" s="9" t="s">
        <v>97</v>
      </c>
      <c r="K42" s="9" t="s">
        <v>100</v>
      </c>
      <c r="L42" s="9" t="s">
        <v>97</v>
      </c>
      <c r="M42" s="9" t="s">
        <v>106</v>
      </c>
      <c r="N42" s="9" t="s">
        <v>43</v>
      </c>
      <c r="O42" s="9"/>
      <c r="P42" s="9"/>
      <c r="Q42" t="s">
        <v>105</v>
      </c>
    </row>
    <row r="43" spans="2:17">
      <c r="B43">
        <v>41</v>
      </c>
      <c r="C43">
        <v>5</v>
      </c>
      <c r="D43">
        <v>1</v>
      </c>
      <c r="E43" s="9" t="s">
        <v>106</v>
      </c>
      <c r="F43" s="9" t="s">
        <v>97</v>
      </c>
      <c r="G43" s="9" t="s">
        <v>100</v>
      </c>
      <c r="H43" s="9" t="s">
        <v>97</v>
      </c>
      <c r="I43" s="9" t="s">
        <v>104</v>
      </c>
      <c r="J43" s="9" t="s">
        <v>97</v>
      </c>
      <c r="K43" s="9" t="s">
        <v>107</v>
      </c>
      <c r="L43" s="9" t="s">
        <v>43</v>
      </c>
      <c r="M43" s="9"/>
      <c r="N43" s="9"/>
      <c r="O43" s="9"/>
      <c r="P43" s="9"/>
      <c r="Q43" t="s">
        <v>108</v>
      </c>
    </row>
    <row r="44" spans="2:17">
      <c r="B44">
        <v>42</v>
      </c>
      <c r="C44">
        <v>5</v>
      </c>
      <c r="D44">
        <v>2</v>
      </c>
      <c r="E44" s="9" t="s">
        <v>96</v>
      </c>
      <c r="F44" s="9" t="s">
        <v>97</v>
      </c>
      <c r="G44" s="9" t="s">
        <v>102</v>
      </c>
      <c r="H44" s="9" t="s">
        <v>97</v>
      </c>
      <c r="I44" s="9" t="s">
        <v>106</v>
      </c>
      <c r="J44" s="9" t="s">
        <v>43</v>
      </c>
      <c r="K44" s="9" t="s">
        <v>107</v>
      </c>
      <c r="L44" s="9" t="s">
        <v>43</v>
      </c>
      <c r="M44" s="9"/>
      <c r="N44" s="9"/>
      <c r="O44" s="9"/>
      <c r="P44" s="9"/>
      <c r="Q44" t="s">
        <v>108</v>
      </c>
    </row>
    <row r="45" spans="2:17">
      <c r="B45">
        <v>43</v>
      </c>
      <c r="C45">
        <v>5</v>
      </c>
      <c r="D45">
        <v>3</v>
      </c>
      <c r="E45" s="9" t="s">
        <v>100</v>
      </c>
      <c r="F45" s="9" t="s">
        <v>97</v>
      </c>
      <c r="G45" s="9" t="s">
        <v>104</v>
      </c>
      <c r="H45" s="9" t="s">
        <v>97</v>
      </c>
      <c r="I45" s="9" t="s">
        <v>96</v>
      </c>
      <c r="J45" s="9" t="s">
        <v>97</v>
      </c>
      <c r="K45" s="9" t="s">
        <v>107</v>
      </c>
      <c r="L45" s="9" t="s">
        <v>43</v>
      </c>
      <c r="M45" s="9"/>
      <c r="N45" s="9"/>
      <c r="O45" s="9"/>
      <c r="P45" s="9"/>
      <c r="Q45" t="s">
        <v>108</v>
      </c>
    </row>
    <row r="46" spans="2:17">
      <c r="B46">
        <v>44</v>
      </c>
      <c r="C46">
        <v>5</v>
      </c>
      <c r="D46">
        <v>4</v>
      </c>
      <c r="E46" s="9" t="s">
        <v>102</v>
      </c>
      <c r="F46" s="9" t="s">
        <v>97</v>
      </c>
      <c r="G46" s="9" t="s">
        <v>106</v>
      </c>
      <c r="H46" s="9" t="s">
        <v>43</v>
      </c>
      <c r="I46" s="9" t="s">
        <v>100</v>
      </c>
      <c r="J46" s="9" t="s">
        <v>97</v>
      </c>
      <c r="K46" s="9" t="s">
        <v>107</v>
      </c>
      <c r="L46" s="9" t="s">
        <v>43</v>
      </c>
      <c r="M46" s="9"/>
      <c r="N46" s="9"/>
      <c r="O46" s="9"/>
      <c r="P46" s="9"/>
      <c r="Q46" t="s">
        <v>108</v>
      </c>
    </row>
    <row r="47" spans="2:17">
      <c r="B47">
        <v>45</v>
      </c>
      <c r="C47">
        <v>5</v>
      </c>
      <c r="D47">
        <v>5</v>
      </c>
      <c r="E47" s="9" t="s">
        <v>104</v>
      </c>
      <c r="F47" s="9" t="s">
        <v>97</v>
      </c>
      <c r="G47" s="9" t="s">
        <v>96</v>
      </c>
      <c r="H47" s="9" t="s">
        <v>97</v>
      </c>
      <c r="I47" s="9" t="s">
        <v>102</v>
      </c>
      <c r="J47" s="9" t="s">
        <v>97</v>
      </c>
      <c r="K47" s="9" t="s">
        <v>106</v>
      </c>
      <c r="L47" s="9" t="s">
        <v>43</v>
      </c>
      <c r="M47" s="9" t="s">
        <v>107</v>
      </c>
      <c r="N47" s="9" t="s">
        <v>43</v>
      </c>
      <c r="O47" s="9"/>
      <c r="P47" s="9"/>
      <c r="Q47" t="s">
        <v>108</v>
      </c>
    </row>
    <row r="48" spans="2:17">
      <c r="B48">
        <v>46</v>
      </c>
      <c r="C48">
        <v>5</v>
      </c>
      <c r="D48">
        <v>6</v>
      </c>
      <c r="E48" s="9" t="s">
        <v>106</v>
      </c>
      <c r="F48" s="9" t="s">
        <v>43</v>
      </c>
      <c r="G48" s="9" t="s">
        <v>100</v>
      </c>
      <c r="H48" s="9" t="s">
        <v>43</v>
      </c>
      <c r="I48" s="9" t="s">
        <v>104</v>
      </c>
      <c r="J48" s="9" t="s">
        <v>43</v>
      </c>
      <c r="K48" s="9" t="s">
        <v>102</v>
      </c>
      <c r="L48" s="9" t="s">
        <v>43</v>
      </c>
      <c r="M48" s="9" t="s">
        <v>107</v>
      </c>
      <c r="N48" s="9" t="s">
        <v>43</v>
      </c>
      <c r="O48" s="9"/>
      <c r="P48" s="9"/>
      <c r="Q48" t="s">
        <v>108</v>
      </c>
    </row>
    <row r="49" spans="2:17">
      <c r="B49">
        <v>47</v>
      </c>
      <c r="C49">
        <v>5</v>
      </c>
      <c r="D49">
        <v>7</v>
      </c>
      <c r="E49" s="9" t="s">
        <v>96</v>
      </c>
      <c r="F49" s="9" t="s">
        <v>97</v>
      </c>
      <c r="G49" s="9" t="s">
        <v>106</v>
      </c>
      <c r="H49" s="9" t="s">
        <v>43</v>
      </c>
      <c r="I49" s="9" t="s">
        <v>102</v>
      </c>
      <c r="J49" s="9" t="s">
        <v>43</v>
      </c>
      <c r="K49" s="9" t="s">
        <v>100</v>
      </c>
      <c r="L49" s="9" t="s">
        <v>43</v>
      </c>
      <c r="M49" s="9" t="s">
        <v>107</v>
      </c>
      <c r="N49" s="9" t="s">
        <v>43</v>
      </c>
      <c r="O49" s="9"/>
      <c r="P49" s="9"/>
      <c r="Q49" t="s">
        <v>108</v>
      </c>
    </row>
    <row r="50" spans="2:17">
      <c r="B50">
        <v>48</v>
      </c>
      <c r="C50">
        <v>5</v>
      </c>
      <c r="D50">
        <v>8</v>
      </c>
      <c r="E50" s="9" t="s">
        <v>104</v>
      </c>
      <c r="F50" s="9" t="s">
        <v>43</v>
      </c>
      <c r="G50" s="9" t="s">
        <v>102</v>
      </c>
      <c r="H50" s="9" t="s">
        <v>43</v>
      </c>
      <c r="I50" s="9" t="s">
        <v>106</v>
      </c>
      <c r="J50" s="9" t="s">
        <v>43</v>
      </c>
      <c r="K50" s="9" t="s">
        <v>107</v>
      </c>
      <c r="L50" s="9" t="s">
        <v>43</v>
      </c>
      <c r="M50" s="9" t="s">
        <v>100</v>
      </c>
      <c r="N50" s="9" t="s">
        <v>43</v>
      </c>
      <c r="O50" s="9"/>
      <c r="P50" s="9"/>
      <c r="Q50" t="s">
        <v>108</v>
      </c>
    </row>
    <row r="51" spans="2:17">
      <c r="B51">
        <v>49</v>
      </c>
      <c r="C51">
        <v>5</v>
      </c>
      <c r="D51">
        <v>9</v>
      </c>
      <c r="E51" s="9" t="s">
        <v>106</v>
      </c>
      <c r="F51" s="9" t="s">
        <v>43</v>
      </c>
      <c r="G51" s="9" t="s">
        <v>100</v>
      </c>
      <c r="H51" s="9" t="s">
        <v>43</v>
      </c>
      <c r="I51" s="9" t="s">
        <v>107</v>
      </c>
      <c r="J51" s="9" t="s">
        <v>43</v>
      </c>
      <c r="K51" s="9" t="s">
        <v>102</v>
      </c>
      <c r="L51" s="9" t="s">
        <v>43</v>
      </c>
      <c r="M51" s="9" t="s">
        <v>104</v>
      </c>
      <c r="N51" s="9" t="s">
        <v>109</v>
      </c>
      <c r="O51" s="9"/>
      <c r="P51" s="9"/>
      <c r="Q51" t="s">
        <v>108</v>
      </c>
    </row>
    <row r="52" spans="2:17">
      <c r="B52">
        <v>50</v>
      </c>
      <c r="C52">
        <v>5</v>
      </c>
      <c r="D52">
        <v>10</v>
      </c>
      <c r="E52" s="9" t="s">
        <v>102</v>
      </c>
      <c r="F52" s="9" t="s">
        <v>43</v>
      </c>
      <c r="G52" s="9" t="s">
        <v>106</v>
      </c>
      <c r="H52" s="9" t="s">
        <v>43</v>
      </c>
      <c r="I52" s="9" t="s">
        <v>104</v>
      </c>
      <c r="J52" s="9" t="s">
        <v>43</v>
      </c>
      <c r="K52" s="9" t="s">
        <v>100</v>
      </c>
      <c r="L52" s="9" t="s">
        <v>43</v>
      </c>
      <c r="M52" s="9" t="s">
        <v>107</v>
      </c>
      <c r="N52" s="9" t="s">
        <v>109</v>
      </c>
      <c r="O52" s="9"/>
      <c r="P52" s="9"/>
      <c r="Q52" t="s">
        <v>108</v>
      </c>
    </row>
    <row r="53" spans="2:17">
      <c r="B53">
        <v>51</v>
      </c>
      <c r="C53">
        <v>6</v>
      </c>
      <c r="D53">
        <v>1</v>
      </c>
      <c r="E53" s="9" t="s">
        <v>102</v>
      </c>
      <c r="F53" s="9" t="s">
        <v>97</v>
      </c>
      <c r="G53" s="9" t="s">
        <v>106</v>
      </c>
      <c r="H53" s="9" t="s">
        <v>43</v>
      </c>
      <c r="I53" s="9" t="s">
        <v>98</v>
      </c>
      <c r="J53" s="9" t="s">
        <v>97</v>
      </c>
      <c r="K53" s="9" t="s">
        <v>107</v>
      </c>
      <c r="L53" s="9" t="s">
        <v>43</v>
      </c>
      <c r="M53" s="9" t="s">
        <v>100</v>
      </c>
      <c r="N53" s="9" t="s">
        <v>43</v>
      </c>
      <c r="O53" s="9"/>
      <c r="P53" s="9"/>
      <c r="Q53" t="s">
        <v>110</v>
      </c>
    </row>
    <row r="54" spans="2:17">
      <c r="B54">
        <v>52</v>
      </c>
      <c r="C54">
        <v>6</v>
      </c>
      <c r="D54">
        <v>2</v>
      </c>
      <c r="E54" s="9" t="s">
        <v>104</v>
      </c>
      <c r="F54" s="9" t="s">
        <v>97</v>
      </c>
      <c r="G54" s="9" t="s">
        <v>102</v>
      </c>
      <c r="H54" s="9" t="s">
        <v>97</v>
      </c>
      <c r="I54" s="9" t="s">
        <v>106</v>
      </c>
      <c r="J54" s="9" t="s">
        <v>43</v>
      </c>
      <c r="K54" s="9" t="s">
        <v>96</v>
      </c>
      <c r="L54" s="9" t="s">
        <v>43</v>
      </c>
      <c r="M54" s="9" t="s">
        <v>107</v>
      </c>
      <c r="N54" s="9" t="s">
        <v>43</v>
      </c>
      <c r="O54" s="9"/>
      <c r="P54" s="9"/>
      <c r="Q54" t="s">
        <v>110</v>
      </c>
    </row>
    <row r="55" spans="2:17">
      <c r="B55">
        <v>53</v>
      </c>
      <c r="C55">
        <v>6</v>
      </c>
      <c r="D55">
        <v>3</v>
      </c>
      <c r="E55" s="9" t="s">
        <v>106</v>
      </c>
      <c r="F55" s="9" t="s">
        <v>43</v>
      </c>
      <c r="G55" s="9" t="s">
        <v>98</v>
      </c>
      <c r="H55" s="9" t="s">
        <v>97</v>
      </c>
      <c r="I55" s="9" t="s">
        <v>102</v>
      </c>
      <c r="J55" s="9" t="s">
        <v>97</v>
      </c>
      <c r="K55" s="9" t="s">
        <v>100</v>
      </c>
      <c r="L55" s="9" t="s">
        <v>43</v>
      </c>
      <c r="M55" s="9" t="s">
        <v>107</v>
      </c>
      <c r="N55" s="9" t="s">
        <v>43</v>
      </c>
      <c r="O55" s="9"/>
      <c r="P55" s="9"/>
      <c r="Q55" t="s">
        <v>110</v>
      </c>
    </row>
    <row r="56" spans="2:17">
      <c r="B56">
        <v>54</v>
      </c>
      <c r="C56">
        <v>6</v>
      </c>
      <c r="D56">
        <v>4</v>
      </c>
      <c r="E56" s="9" t="s">
        <v>107</v>
      </c>
      <c r="F56" s="9" t="s">
        <v>43</v>
      </c>
      <c r="G56" s="9" t="s">
        <v>96</v>
      </c>
      <c r="H56" s="9" t="s">
        <v>97</v>
      </c>
      <c r="I56" s="9" t="s">
        <v>102</v>
      </c>
      <c r="J56" s="9" t="s">
        <v>97</v>
      </c>
      <c r="K56" s="9" t="s">
        <v>106</v>
      </c>
      <c r="L56" s="9" t="s">
        <v>43</v>
      </c>
      <c r="M56" s="9" t="s">
        <v>104</v>
      </c>
      <c r="N56" s="9" t="s">
        <v>43</v>
      </c>
      <c r="O56" s="9"/>
      <c r="P56" s="9"/>
      <c r="Q56" t="s">
        <v>110</v>
      </c>
    </row>
    <row r="57" spans="2:17">
      <c r="B57">
        <v>55</v>
      </c>
      <c r="C57">
        <v>6</v>
      </c>
      <c r="D57">
        <v>5</v>
      </c>
      <c r="E57" s="9" t="s">
        <v>102</v>
      </c>
      <c r="F57" s="9" t="s">
        <v>43</v>
      </c>
      <c r="G57" s="9" t="s">
        <v>100</v>
      </c>
      <c r="H57" s="9" t="s">
        <v>43</v>
      </c>
      <c r="I57" s="9" t="s">
        <v>106</v>
      </c>
      <c r="J57" s="9" t="s">
        <v>43</v>
      </c>
      <c r="K57" s="9" t="s">
        <v>107</v>
      </c>
      <c r="L57" s="9" t="s">
        <v>43</v>
      </c>
      <c r="M57" s="9" t="s">
        <v>98</v>
      </c>
      <c r="N57" s="9" t="s">
        <v>43</v>
      </c>
      <c r="O57" s="9"/>
      <c r="P57" s="9"/>
      <c r="Q57" t="s">
        <v>110</v>
      </c>
    </row>
    <row r="58" spans="2:17">
      <c r="B58">
        <v>56</v>
      </c>
      <c r="C58">
        <v>6</v>
      </c>
      <c r="D58">
        <v>6</v>
      </c>
      <c r="E58" s="9" t="s">
        <v>106</v>
      </c>
      <c r="F58" s="9" t="s">
        <v>43</v>
      </c>
      <c r="G58" s="9" t="s">
        <v>104</v>
      </c>
      <c r="H58" s="9" t="s">
        <v>43</v>
      </c>
      <c r="I58" s="9" t="s">
        <v>102</v>
      </c>
      <c r="J58" s="9" t="s">
        <v>43</v>
      </c>
      <c r="K58" s="9" t="s">
        <v>96</v>
      </c>
      <c r="L58" s="9" t="s">
        <v>43</v>
      </c>
      <c r="M58" s="9" t="s">
        <v>107</v>
      </c>
      <c r="N58" s="9" t="s">
        <v>43</v>
      </c>
      <c r="O58" s="9"/>
      <c r="P58" s="9"/>
      <c r="Q58" t="s">
        <v>110</v>
      </c>
    </row>
    <row r="59" spans="2:17">
      <c r="B59">
        <v>57</v>
      </c>
      <c r="C59">
        <v>6</v>
      </c>
      <c r="D59">
        <v>7</v>
      </c>
      <c r="E59" s="9" t="s">
        <v>107</v>
      </c>
      <c r="F59" s="9" t="s">
        <v>43</v>
      </c>
      <c r="G59" s="9" t="s">
        <v>102</v>
      </c>
      <c r="H59" s="9" t="s">
        <v>43</v>
      </c>
      <c r="I59" s="9" t="s">
        <v>106</v>
      </c>
      <c r="J59" s="9" t="s">
        <v>43</v>
      </c>
      <c r="K59" s="9" t="s">
        <v>100</v>
      </c>
      <c r="L59" s="9" t="s">
        <v>43</v>
      </c>
      <c r="M59" s="9" t="s">
        <v>104</v>
      </c>
      <c r="N59" s="9" t="s">
        <v>43</v>
      </c>
      <c r="O59" s="9"/>
      <c r="P59" s="9"/>
      <c r="Q59" t="s">
        <v>110</v>
      </c>
    </row>
    <row r="60" spans="2:17">
      <c r="B60">
        <v>58</v>
      </c>
      <c r="C60">
        <v>6</v>
      </c>
      <c r="D60">
        <v>8</v>
      </c>
      <c r="E60" s="9" t="s">
        <v>102</v>
      </c>
      <c r="F60" s="9" t="s">
        <v>43</v>
      </c>
      <c r="G60" s="9" t="s">
        <v>106</v>
      </c>
      <c r="H60" s="9" t="s">
        <v>43</v>
      </c>
      <c r="I60" s="9" t="s">
        <v>98</v>
      </c>
      <c r="J60" s="9" t="s">
        <v>43</v>
      </c>
      <c r="K60" s="9" t="s">
        <v>107</v>
      </c>
      <c r="L60" s="9" t="s">
        <v>109</v>
      </c>
      <c r="M60" s="9" t="s">
        <v>100</v>
      </c>
      <c r="N60" s="9" t="s">
        <v>109</v>
      </c>
      <c r="O60" s="9"/>
      <c r="P60" s="9"/>
      <c r="Q60" t="s">
        <v>110</v>
      </c>
    </row>
    <row r="61" spans="2:17">
      <c r="B61">
        <v>59</v>
      </c>
      <c r="C61">
        <v>6</v>
      </c>
      <c r="D61">
        <v>9</v>
      </c>
      <c r="E61" s="9" t="s">
        <v>106</v>
      </c>
      <c r="F61" s="9" t="s">
        <v>43</v>
      </c>
      <c r="G61" s="9" t="s">
        <v>107</v>
      </c>
      <c r="H61" s="9" t="s">
        <v>43</v>
      </c>
      <c r="I61" s="9" t="s">
        <v>102</v>
      </c>
      <c r="J61" s="9" t="s">
        <v>43</v>
      </c>
      <c r="K61" s="9" t="s">
        <v>104</v>
      </c>
      <c r="L61" s="9" t="s">
        <v>109</v>
      </c>
      <c r="M61" s="9" t="s">
        <v>96</v>
      </c>
      <c r="N61" s="9" t="s">
        <v>109</v>
      </c>
      <c r="O61" s="9"/>
      <c r="P61" s="9"/>
      <c r="Q61" t="s">
        <v>110</v>
      </c>
    </row>
    <row r="62" spans="2:17">
      <c r="B62">
        <v>60</v>
      </c>
      <c r="C62">
        <v>6</v>
      </c>
      <c r="D62">
        <v>10</v>
      </c>
      <c r="E62" s="9" t="s">
        <v>107</v>
      </c>
      <c r="F62" s="9" t="s">
        <v>43</v>
      </c>
      <c r="G62" s="9" t="s">
        <v>102</v>
      </c>
      <c r="H62" s="9" t="s">
        <v>43</v>
      </c>
      <c r="I62" s="9" t="s">
        <v>106</v>
      </c>
      <c r="J62" s="9" t="s">
        <v>109</v>
      </c>
      <c r="K62" s="9" t="s">
        <v>100</v>
      </c>
      <c r="L62" s="9" t="s">
        <v>109</v>
      </c>
      <c r="M62" s="9" t="s">
        <v>98</v>
      </c>
      <c r="N62" s="9" t="s">
        <v>109</v>
      </c>
      <c r="O62" s="9"/>
      <c r="P62" s="9"/>
      <c r="Q62" t="s">
        <v>110</v>
      </c>
    </row>
    <row r="63" spans="2:17">
      <c r="B63">
        <v>61</v>
      </c>
      <c r="C63">
        <v>7</v>
      </c>
      <c r="D63">
        <v>1</v>
      </c>
      <c r="E63" s="9" t="s">
        <v>102</v>
      </c>
      <c r="F63" s="9" t="s">
        <v>43</v>
      </c>
      <c r="G63" s="9" t="s">
        <v>106</v>
      </c>
      <c r="H63" s="9" t="s">
        <v>43</v>
      </c>
      <c r="I63" s="9" t="s">
        <v>104</v>
      </c>
      <c r="J63" s="9" t="s">
        <v>43</v>
      </c>
      <c r="K63" s="9" t="s">
        <v>107</v>
      </c>
      <c r="L63" s="9" t="s">
        <v>43</v>
      </c>
      <c r="M63" s="9" t="s">
        <v>111</v>
      </c>
      <c r="N63" s="9" t="s">
        <v>43</v>
      </c>
      <c r="O63" s="9"/>
      <c r="P63" s="9"/>
      <c r="Q63" t="s">
        <v>112</v>
      </c>
    </row>
    <row r="64" spans="2:17">
      <c r="B64">
        <v>62</v>
      </c>
      <c r="C64">
        <v>7</v>
      </c>
      <c r="D64">
        <v>2</v>
      </c>
      <c r="E64" s="9" t="s">
        <v>104</v>
      </c>
      <c r="F64" s="9" t="s">
        <v>43</v>
      </c>
      <c r="G64" s="9" t="s">
        <v>102</v>
      </c>
      <c r="H64" s="9" t="s">
        <v>43</v>
      </c>
      <c r="I64" s="9" t="s">
        <v>106</v>
      </c>
      <c r="J64" s="9" t="s">
        <v>43</v>
      </c>
      <c r="K64" s="9" t="s">
        <v>107</v>
      </c>
      <c r="L64" s="9" t="s">
        <v>43</v>
      </c>
      <c r="M64" s="9" t="s">
        <v>111</v>
      </c>
      <c r="N64" s="9" t="s">
        <v>43</v>
      </c>
      <c r="O64" s="9"/>
      <c r="P64" s="9"/>
      <c r="Q64" t="s">
        <v>112</v>
      </c>
    </row>
    <row r="65" spans="2:17">
      <c r="B65">
        <v>63</v>
      </c>
      <c r="C65">
        <v>7</v>
      </c>
      <c r="D65">
        <v>3</v>
      </c>
      <c r="E65" s="9" t="s">
        <v>106</v>
      </c>
      <c r="F65" s="9" t="s">
        <v>43</v>
      </c>
      <c r="G65" s="9" t="s">
        <v>102</v>
      </c>
      <c r="H65" s="9" t="s">
        <v>43</v>
      </c>
      <c r="I65" s="9" t="s">
        <v>107</v>
      </c>
      <c r="J65" s="9" t="s">
        <v>43</v>
      </c>
      <c r="K65" s="9" t="s">
        <v>104</v>
      </c>
      <c r="L65" s="9" t="s">
        <v>43</v>
      </c>
      <c r="M65" s="9" t="s">
        <v>111</v>
      </c>
      <c r="N65" s="9" t="s">
        <v>43</v>
      </c>
      <c r="O65" s="9"/>
      <c r="P65" s="9"/>
      <c r="Q65" t="s">
        <v>112</v>
      </c>
    </row>
    <row r="66" spans="2:17">
      <c r="B66">
        <v>64</v>
      </c>
      <c r="C66">
        <v>7</v>
      </c>
      <c r="D66">
        <v>4</v>
      </c>
      <c r="E66" s="9" t="s">
        <v>107</v>
      </c>
      <c r="F66" s="9" t="s">
        <v>43</v>
      </c>
      <c r="G66" s="9" t="s">
        <v>104</v>
      </c>
      <c r="H66" s="9" t="s">
        <v>43</v>
      </c>
      <c r="I66" s="9" t="s">
        <v>102</v>
      </c>
      <c r="J66" s="9" t="s">
        <v>43</v>
      </c>
      <c r="K66" s="9" t="s">
        <v>106</v>
      </c>
      <c r="L66" s="9" t="s">
        <v>43</v>
      </c>
      <c r="M66" s="9" t="s">
        <v>111</v>
      </c>
      <c r="N66" s="9" t="s">
        <v>43</v>
      </c>
      <c r="O66" s="9"/>
      <c r="P66" s="9"/>
      <c r="Q66" t="s">
        <v>112</v>
      </c>
    </row>
    <row r="67" spans="2:17">
      <c r="B67">
        <v>65</v>
      </c>
      <c r="C67">
        <v>7</v>
      </c>
      <c r="D67">
        <v>5</v>
      </c>
      <c r="E67" s="9" t="s">
        <v>102</v>
      </c>
      <c r="F67" s="9" t="s">
        <v>43</v>
      </c>
      <c r="G67" s="9" t="s">
        <v>107</v>
      </c>
      <c r="H67" s="9" t="s">
        <v>43</v>
      </c>
      <c r="I67" s="9" t="s">
        <v>106</v>
      </c>
      <c r="J67" s="9" t="s">
        <v>43</v>
      </c>
      <c r="K67" s="9" t="s">
        <v>104</v>
      </c>
      <c r="L67" s="9" t="s">
        <v>43</v>
      </c>
      <c r="M67" s="9" t="s">
        <v>111</v>
      </c>
      <c r="N67" s="9" t="s">
        <v>43</v>
      </c>
      <c r="O67" s="9"/>
      <c r="P67" s="9"/>
      <c r="Q67" t="s">
        <v>112</v>
      </c>
    </row>
    <row r="68" spans="2:17">
      <c r="B68">
        <v>66</v>
      </c>
      <c r="C68">
        <v>7</v>
      </c>
      <c r="D68">
        <v>6</v>
      </c>
      <c r="E68" s="9" t="s">
        <v>104</v>
      </c>
      <c r="F68" s="9" t="s">
        <v>43</v>
      </c>
      <c r="G68" s="9" t="s">
        <v>106</v>
      </c>
      <c r="H68" s="9" t="s">
        <v>43</v>
      </c>
      <c r="I68" s="9" t="s">
        <v>102</v>
      </c>
      <c r="J68" s="9" t="s">
        <v>43</v>
      </c>
      <c r="K68" s="9" t="s">
        <v>107</v>
      </c>
      <c r="L68" s="9" t="s">
        <v>43</v>
      </c>
      <c r="M68" s="9" t="s">
        <v>111</v>
      </c>
      <c r="N68" s="9" t="s">
        <v>43</v>
      </c>
      <c r="O68" s="9"/>
      <c r="P68" s="9"/>
      <c r="Q68" t="s">
        <v>112</v>
      </c>
    </row>
    <row r="69" spans="2:17">
      <c r="B69">
        <v>67</v>
      </c>
      <c r="C69">
        <v>7</v>
      </c>
      <c r="D69">
        <v>7</v>
      </c>
      <c r="E69" s="9" t="s">
        <v>106</v>
      </c>
      <c r="F69" s="9" t="s">
        <v>43</v>
      </c>
      <c r="G69" s="9" t="s">
        <v>107</v>
      </c>
      <c r="H69" s="9" t="s">
        <v>43</v>
      </c>
      <c r="I69" s="9" t="s">
        <v>104</v>
      </c>
      <c r="J69" s="9" t="s">
        <v>43</v>
      </c>
      <c r="K69" s="9" t="s">
        <v>102</v>
      </c>
      <c r="L69" s="9" t="s">
        <v>43</v>
      </c>
      <c r="M69" s="9" t="s">
        <v>111</v>
      </c>
      <c r="N69" s="9" t="s">
        <v>43</v>
      </c>
      <c r="O69" s="9"/>
      <c r="P69" s="9"/>
      <c r="Q69" t="s">
        <v>112</v>
      </c>
    </row>
    <row r="70" spans="2:17">
      <c r="B70">
        <v>68</v>
      </c>
      <c r="C70">
        <v>7</v>
      </c>
      <c r="D70">
        <v>8</v>
      </c>
      <c r="E70" s="9" t="s">
        <v>107</v>
      </c>
      <c r="F70" s="9" t="s">
        <v>43</v>
      </c>
      <c r="G70" s="9" t="s">
        <v>102</v>
      </c>
      <c r="H70" s="9" t="s">
        <v>43</v>
      </c>
      <c r="I70" s="9" t="s">
        <v>106</v>
      </c>
      <c r="J70" s="9" t="s">
        <v>43</v>
      </c>
      <c r="K70" s="9" t="s">
        <v>104</v>
      </c>
      <c r="L70" s="9" t="s">
        <v>43</v>
      </c>
      <c r="M70" s="9" t="s">
        <v>111</v>
      </c>
      <c r="N70" s="9" t="s">
        <v>109</v>
      </c>
      <c r="O70" s="9"/>
      <c r="P70" s="9"/>
      <c r="Q70" t="s">
        <v>112</v>
      </c>
    </row>
    <row r="71" spans="2:17">
      <c r="B71">
        <v>69</v>
      </c>
      <c r="C71">
        <v>7</v>
      </c>
      <c r="D71">
        <v>9</v>
      </c>
      <c r="E71" s="9" t="s">
        <v>104</v>
      </c>
      <c r="F71" s="9" t="s">
        <v>43</v>
      </c>
      <c r="G71" s="9" t="s">
        <v>107</v>
      </c>
      <c r="H71" s="9" t="s">
        <v>43</v>
      </c>
      <c r="I71" s="9" t="s">
        <v>102</v>
      </c>
      <c r="J71" s="9" t="s">
        <v>43</v>
      </c>
      <c r="K71" s="9" t="s">
        <v>106</v>
      </c>
      <c r="L71" s="9" t="s">
        <v>109</v>
      </c>
      <c r="M71" s="9" t="s">
        <v>111</v>
      </c>
      <c r="N71" s="9" t="s">
        <v>109</v>
      </c>
      <c r="O71" s="9"/>
      <c r="P71" s="9"/>
      <c r="Q71" t="s">
        <v>112</v>
      </c>
    </row>
    <row r="72" spans="2:17">
      <c r="B72">
        <v>70</v>
      </c>
      <c r="C72">
        <v>7</v>
      </c>
      <c r="D72">
        <v>10</v>
      </c>
      <c r="E72" s="9" t="s">
        <v>106</v>
      </c>
      <c r="F72" s="9" t="s">
        <v>43</v>
      </c>
      <c r="G72" s="9" t="s">
        <v>104</v>
      </c>
      <c r="H72" s="9" t="s">
        <v>43</v>
      </c>
      <c r="I72" s="9" t="s">
        <v>107</v>
      </c>
      <c r="J72" s="9" t="s">
        <v>109</v>
      </c>
      <c r="K72" s="9" t="s">
        <v>102</v>
      </c>
      <c r="L72" s="9" t="s">
        <v>109</v>
      </c>
      <c r="M72" s="9" t="s">
        <v>111</v>
      </c>
      <c r="N72" s="9" t="s">
        <v>109</v>
      </c>
      <c r="O72" s="9"/>
      <c r="P72" s="9"/>
      <c r="Q72" t="s">
        <v>112</v>
      </c>
    </row>
    <row r="73" spans="2:17">
      <c r="B73">
        <v>71</v>
      </c>
      <c r="C73">
        <v>8</v>
      </c>
      <c r="D73">
        <v>1</v>
      </c>
      <c r="E73" s="9" t="s">
        <v>98</v>
      </c>
      <c r="F73" s="9" t="s">
        <v>43</v>
      </c>
      <c r="G73" s="9" t="s">
        <v>106</v>
      </c>
      <c r="H73" s="9" t="s">
        <v>43</v>
      </c>
      <c r="I73" s="9" t="s">
        <v>104</v>
      </c>
      <c r="J73" s="9" t="s">
        <v>43</v>
      </c>
      <c r="K73" s="9" t="s">
        <v>107</v>
      </c>
      <c r="L73" s="9" t="s">
        <v>43</v>
      </c>
      <c r="M73" s="9" t="s">
        <v>111</v>
      </c>
      <c r="N73" s="9" t="s">
        <v>43</v>
      </c>
      <c r="O73" s="9"/>
      <c r="P73" s="9"/>
      <c r="Q73" t="s">
        <v>113</v>
      </c>
    </row>
    <row r="74" spans="2:17">
      <c r="B74">
        <v>72</v>
      </c>
      <c r="C74">
        <v>8</v>
      </c>
      <c r="D74">
        <v>2</v>
      </c>
      <c r="E74" s="9" t="s">
        <v>96</v>
      </c>
      <c r="F74" s="9" t="s">
        <v>43</v>
      </c>
      <c r="G74" s="9" t="s">
        <v>102</v>
      </c>
      <c r="H74" s="9" t="s">
        <v>43</v>
      </c>
      <c r="I74" s="9" t="s">
        <v>106</v>
      </c>
      <c r="J74" s="9" t="s">
        <v>43</v>
      </c>
      <c r="K74" s="9" t="s">
        <v>107</v>
      </c>
      <c r="L74" s="9" t="s">
        <v>43</v>
      </c>
      <c r="M74" s="9" t="s">
        <v>111</v>
      </c>
      <c r="N74" s="9" t="s">
        <v>43</v>
      </c>
      <c r="O74" s="9"/>
      <c r="P74" s="9"/>
      <c r="Q74" t="s">
        <v>113</v>
      </c>
    </row>
    <row r="75" spans="2:17">
      <c r="B75">
        <v>73</v>
      </c>
      <c r="C75">
        <v>8</v>
      </c>
      <c r="D75">
        <v>3</v>
      </c>
      <c r="E75" s="9" t="s">
        <v>100</v>
      </c>
      <c r="F75" s="9" t="s">
        <v>43</v>
      </c>
      <c r="G75" s="9" t="s">
        <v>104</v>
      </c>
      <c r="H75" s="9" t="s">
        <v>43</v>
      </c>
      <c r="I75" s="9" t="s">
        <v>102</v>
      </c>
      <c r="J75" s="9" t="s">
        <v>43</v>
      </c>
      <c r="K75" s="9" t="s">
        <v>106</v>
      </c>
      <c r="L75" s="9" t="s">
        <v>43</v>
      </c>
      <c r="M75" s="9" t="s">
        <v>111</v>
      </c>
      <c r="N75" s="9" t="s">
        <v>43</v>
      </c>
      <c r="O75" s="9"/>
      <c r="P75" s="9"/>
      <c r="Q75" t="s">
        <v>113</v>
      </c>
    </row>
    <row r="76" spans="2:17">
      <c r="B76">
        <v>74</v>
      </c>
      <c r="C76">
        <v>8</v>
      </c>
      <c r="D76">
        <v>4</v>
      </c>
      <c r="E76" s="9" t="s">
        <v>102</v>
      </c>
      <c r="F76" s="9" t="s">
        <v>43</v>
      </c>
      <c r="G76" s="9" t="s">
        <v>107</v>
      </c>
      <c r="H76" s="9" t="s">
        <v>43</v>
      </c>
      <c r="I76" s="9" t="s">
        <v>98</v>
      </c>
      <c r="J76" s="9" t="s">
        <v>43</v>
      </c>
      <c r="K76" s="9" t="s">
        <v>106</v>
      </c>
      <c r="L76" s="9" t="s">
        <v>43</v>
      </c>
      <c r="M76" s="9" t="s">
        <v>111</v>
      </c>
      <c r="N76" s="9" t="s">
        <v>43</v>
      </c>
      <c r="O76" s="9"/>
      <c r="P76" s="9"/>
      <c r="Q76" t="s">
        <v>113</v>
      </c>
    </row>
    <row r="77" spans="2:17">
      <c r="B77">
        <v>75</v>
      </c>
      <c r="C77">
        <v>8</v>
      </c>
      <c r="D77">
        <v>5</v>
      </c>
      <c r="E77" s="9" t="s">
        <v>106</v>
      </c>
      <c r="F77" s="9" t="s">
        <v>43</v>
      </c>
      <c r="G77" s="9" t="s">
        <v>100</v>
      </c>
      <c r="H77" s="9" t="s">
        <v>43</v>
      </c>
      <c r="I77" s="9" t="s">
        <v>104</v>
      </c>
      <c r="J77" s="9" t="s">
        <v>43</v>
      </c>
      <c r="K77" s="9" t="s">
        <v>107</v>
      </c>
      <c r="L77" s="9" t="s">
        <v>43</v>
      </c>
      <c r="M77" s="9" t="s">
        <v>111</v>
      </c>
      <c r="N77" s="9" t="s">
        <v>43</v>
      </c>
      <c r="O77" s="9"/>
      <c r="P77" s="9"/>
      <c r="Q77" t="s">
        <v>113</v>
      </c>
    </row>
    <row r="78" spans="2:17">
      <c r="B78">
        <v>76</v>
      </c>
      <c r="C78">
        <v>8</v>
      </c>
      <c r="D78">
        <v>6</v>
      </c>
      <c r="E78" s="9" t="s">
        <v>107</v>
      </c>
      <c r="F78" s="9" t="s">
        <v>43</v>
      </c>
      <c r="G78" s="9" t="s">
        <v>96</v>
      </c>
      <c r="H78" s="9" t="s">
        <v>43</v>
      </c>
      <c r="I78" s="9" t="s">
        <v>102</v>
      </c>
      <c r="J78" s="9" t="s">
        <v>43</v>
      </c>
      <c r="K78" s="9" t="s">
        <v>106</v>
      </c>
      <c r="L78" s="9" t="s">
        <v>43</v>
      </c>
      <c r="M78" s="9" t="s">
        <v>111</v>
      </c>
      <c r="N78" s="9" t="s">
        <v>43</v>
      </c>
      <c r="O78" s="9"/>
      <c r="P78" s="9"/>
      <c r="Q78" t="s">
        <v>113</v>
      </c>
    </row>
    <row r="79" spans="2:17">
      <c r="B79">
        <v>77</v>
      </c>
      <c r="C79">
        <v>8</v>
      </c>
      <c r="D79">
        <v>7</v>
      </c>
      <c r="E79" s="9" t="s">
        <v>104</v>
      </c>
      <c r="F79" s="9" t="s">
        <v>43</v>
      </c>
      <c r="G79" s="9" t="s">
        <v>106</v>
      </c>
      <c r="H79" s="9" t="s">
        <v>43</v>
      </c>
      <c r="I79" s="9" t="s">
        <v>98</v>
      </c>
      <c r="J79" s="9" t="s">
        <v>43</v>
      </c>
      <c r="K79" s="9" t="s">
        <v>107</v>
      </c>
      <c r="L79" s="9" t="s">
        <v>109</v>
      </c>
      <c r="M79" s="9" t="s">
        <v>111</v>
      </c>
      <c r="N79" s="9" t="s">
        <v>43</v>
      </c>
      <c r="O79" s="9"/>
      <c r="P79" s="9"/>
      <c r="Q79" t="s">
        <v>113</v>
      </c>
    </row>
    <row r="80" spans="2:17">
      <c r="B80">
        <v>78</v>
      </c>
      <c r="C80">
        <v>8</v>
      </c>
      <c r="D80">
        <v>8</v>
      </c>
      <c r="E80" s="9" t="s">
        <v>102</v>
      </c>
      <c r="F80" s="9" t="s">
        <v>43</v>
      </c>
      <c r="G80" s="9" t="s">
        <v>100</v>
      </c>
      <c r="H80" s="9" t="s">
        <v>43</v>
      </c>
      <c r="I80" s="9" t="s">
        <v>106</v>
      </c>
      <c r="J80" s="9" t="s">
        <v>109</v>
      </c>
      <c r="K80" s="9" t="s">
        <v>104</v>
      </c>
      <c r="L80" s="9" t="s">
        <v>109</v>
      </c>
      <c r="M80" s="9" t="s">
        <v>107</v>
      </c>
      <c r="N80" s="9" t="s">
        <v>109</v>
      </c>
      <c r="O80" s="9" t="s">
        <v>111</v>
      </c>
      <c r="P80" s="9" t="s">
        <v>43</v>
      </c>
      <c r="Q80" t="s">
        <v>113</v>
      </c>
    </row>
    <row r="81" spans="2:17">
      <c r="B81">
        <v>79</v>
      </c>
      <c r="C81">
        <v>8</v>
      </c>
      <c r="D81">
        <v>9</v>
      </c>
      <c r="E81" s="9" t="s">
        <v>96</v>
      </c>
      <c r="F81" s="9" t="s">
        <v>43</v>
      </c>
      <c r="G81" s="9" t="s">
        <v>107</v>
      </c>
      <c r="H81" s="9" t="s">
        <v>43</v>
      </c>
      <c r="I81" s="9" t="s">
        <v>102</v>
      </c>
      <c r="J81" s="9" t="s">
        <v>109</v>
      </c>
      <c r="K81" s="9" t="s">
        <v>106</v>
      </c>
      <c r="L81" s="9" t="s">
        <v>109</v>
      </c>
      <c r="M81" s="9" t="s">
        <v>104</v>
      </c>
      <c r="N81" s="9" t="s">
        <v>109</v>
      </c>
      <c r="O81" s="9" t="s">
        <v>111</v>
      </c>
      <c r="P81" s="9" t="s">
        <v>109</v>
      </c>
      <c r="Q81" t="s">
        <v>113</v>
      </c>
    </row>
    <row r="82" spans="2:17">
      <c r="B82">
        <v>80</v>
      </c>
      <c r="C82">
        <v>8</v>
      </c>
      <c r="D82">
        <v>10</v>
      </c>
      <c r="E82" s="9" t="s">
        <v>98</v>
      </c>
      <c r="F82" s="9" t="s">
        <v>43</v>
      </c>
      <c r="G82" s="9" t="s">
        <v>106</v>
      </c>
      <c r="H82" s="9" t="s">
        <v>43</v>
      </c>
      <c r="I82" s="9" t="s">
        <v>107</v>
      </c>
      <c r="J82" s="9" t="s">
        <v>43</v>
      </c>
      <c r="K82" s="9" t="s">
        <v>111</v>
      </c>
      <c r="L82" s="9" t="s">
        <v>109</v>
      </c>
      <c r="M82" s="9" t="s">
        <v>102</v>
      </c>
      <c r="N82" s="9" t="s">
        <v>109</v>
      </c>
      <c r="O82" s="9" t="s">
        <v>104</v>
      </c>
      <c r="P82" s="9" t="s">
        <v>109</v>
      </c>
      <c r="Q82" t="s">
        <v>113</v>
      </c>
    </row>
    <row r="83" spans="2:17">
      <c r="B83">
        <v>81</v>
      </c>
      <c r="C83">
        <v>9</v>
      </c>
      <c r="D83">
        <v>1</v>
      </c>
      <c r="E83" s="9" t="s">
        <v>102</v>
      </c>
      <c r="F83" s="9" t="s">
        <v>43</v>
      </c>
      <c r="G83" s="9" t="s">
        <v>106</v>
      </c>
      <c r="H83" s="9" t="s">
        <v>43</v>
      </c>
      <c r="I83" s="9" t="s">
        <v>111</v>
      </c>
      <c r="J83" s="9" t="s">
        <v>43</v>
      </c>
      <c r="K83" s="9" t="s">
        <v>107</v>
      </c>
      <c r="L83" s="9" t="s">
        <v>43</v>
      </c>
      <c r="M83" s="9" t="s">
        <v>104</v>
      </c>
      <c r="N83" s="9" t="s">
        <v>109</v>
      </c>
      <c r="O83" s="9"/>
      <c r="P83" s="9"/>
      <c r="Q83" t="s">
        <v>114</v>
      </c>
    </row>
    <row r="84" spans="2:17">
      <c r="B84">
        <v>82</v>
      </c>
      <c r="C84">
        <v>9</v>
      </c>
      <c r="D84">
        <v>2</v>
      </c>
      <c r="E84" s="9" t="s">
        <v>100</v>
      </c>
      <c r="F84" s="9" t="s">
        <v>43</v>
      </c>
      <c r="G84" s="9" t="s">
        <v>107</v>
      </c>
      <c r="H84" s="9" t="s">
        <v>43</v>
      </c>
      <c r="I84" s="9" t="s">
        <v>106</v>
      </c>
      <c r="J84" s="9" t="s">
        <v>43</v>
      </c>
      <c r="K84" s="9" t="s">
        <v>111</v>
      </c>
      <c r="L84" s="9" t="s">
        <v>43</v>
      </c>
      <c r="M84" s="9" t="s">
        <v>102</v>
      </c>
      <c r="N84" s="9" t="s">
        <v>109</v>
      </c>
      <c r="O84" s="9"/>
      <c r="P84" s="9"/>
      <c r="Q84" t="s">
        <v>114</v>
      </c>
    </row>
    <row r="85" spans="2:17">
      <c r="B85">
        <v>83</v>
      </c>
      <c r="C85">
        <v>9</v>
      </c>
      <c r="D85">
        <v>3</v>
      </c>
      <c r="E85" s="9" t="s">
        <v>96</v>
      </c>
      <c r="F85" s="9" t="s">
        <v>43</v>
      </c>
      <c r="G85" s="9" t="s">
        <v>104</v>
      </c>
      <c r="H85" s="9" t="s">
        <v>43</v>
      </c>
      <c r="I85" s="9" t="s">
        <v>107</v>
      </c>
      <c r="J85" s="9" t="s">
        <v>43</v>
      </c>
      <c r="K85" s="9" t="s">
        <v>106</v>
      </c>
      <c r="L85" s="9" t="s">
        <v>109</v>
      </c>
      <c r="M85" s="9" t="s">
        <v>111</v>
      </c>
      <c r="N85" s="9" t="s">
        <v>109</v>
      </c>
      <c r="O85" s="9"/>
      <c r="P85" s="9"/>
      <c r="Q85" t="s">
        <v>114</v>
      </c>
    </row>
    <row r="86" spans="2:17">
      <c r="B86">
        <v>84</v>
      </c>
      <c r="C86">
        <v>9</v>
      </c>
      <c r="D86">
        <v>4</v>
      </c>
      <c r="E86" s="9" t="s">
        <v>98</v>
      </c>
      <c r="F86" s="9" t="s">
        <v>43</v>
      </c>
      <c r="G86" s="9" t="s">
        <v>102</v>
      </c>
      <c r="H86" s="9" t="s">
        <v>43</v>
      </c>
      <c r="I86" s="9" t="s">
        <v>106</v>
      </c>
      <c r="J86" s="9" t="s">
        <v>109</v>
      </c>
      <c r="K86" s="9" t="s">
        <v>104</v>
      </c>
      <c r="L86" s="9" t="s">
        <v>109</v>
      </c>
      <c r="M86" s="9" t="s">
        <v>111</v>
      </c>
      <c r="N86" s="9" t="s">
        <v>109</v>
      </c>
      <c r="O86" s="9"/>
      <c r="P86" s="9"/>
      <c r="Q86" t="s">
        <v>114</v>
      </c>
    </row>
    <row r="87" spans="2:17">
      <c r="B87">
        <v>85</v>
      </c>
      <c r="C87">
        <v>9</v>
      </c>
      <c r="D87">
        <v>5</v>
      </c>
      <c r="E87" s="9" t="s">
        <v>107</v>
      </c>
      <c r="F87" s="9" t="s">
        <v>43</v>
      </c>
      <c r="G87" s="9" t="s">
        <v>100</v>
      </c>
      <c r="H87" s="9" t="s">
        <v>43</v>
      </c>
      <c r="I87" s="9" t="s">
        <v>111</v>
      </c>
      <c r="J87" s="9" t="s">
        <v>43</v>
      </c>
      <c r="K87" s="9" t="s">
        <v>106</v>
      </c>
      <c r="L87" s="9" t="s">
        <v>109</v>
      </c>
      <c r="M87" s="9" t="s">
        <v>102</v>
      </c>
      <c r="N87" s="9" t="s">
        <v>109</v>
      </c>
      <c r="O87" s="9"/>
      <c r="P87" s="9"/>
      <c r="Q87" t="s">
        <v>114</v>
      </c>
    </row>
    <row r="88" spans="2:17">
      <c r="B88">
        <v>86</v>
      </c>
      <c r="C88">
        <v>9</v>
      </c>
      <c r="D88">
        <v>6</v>
      </c>
      <c r="E88" s="9" t="s">
        <v>106</v>
      </c>
      <c r="F88" s="9" t="s">
        <v>43</v>
      </c>
      <c r="G88" s="9" t="s">
        <v>96</v>
      </c>
      <c r="H88" s="9" t="s">
        <v>43</v>
      </c>
      <c r="I88" s="9" t="s">
        <v>104</v>
      </c>
      <c r="J88" s="9" t="s">
        <v>109</v>
      </c>
      <c r="K88" s="9" t="s">
        <v>107</v>
      </c>
      <c r="L88" s="9" t="s">
        <v>109</v>
      </c>
      <c r="M88" s="9" t="s">
        <v>111</v>
      </c>
      <c r="N88" s="9" t="s">
        <v>109</v>
      </c>
      <c r="O88" s="9" t="s">
        <v>102</v>
      </c>
      <c r="P88" s="9" t="s">
        <v>43</v>
      </c>
      <c r="Q88" t="s">
        <v>114</v>
      </c>
    </row>
    <row r="89" spans="2:17">
      <c r="B89">
        <v>87</v>
      </c>
      <c r="C89">
        <v>9</v>
      </c>
      <c r="D89">
        <v>7</v>
      </c>
      <c r="E89" s="9" t="s">
        <v>102</v>
      </c>
      <c r="F89" s="9" t="s">
        <v>43</v>
      </c>
      <c r="G89" s="9" t="s">
        <v>111</v>
      </c>
      <c r="H89" s="9" t="s">
        <v>43</v>
      </c>
      <c r="I89" s="9" t="s">
        <v>106</v>
      </c>
      <c r="J89" s="9" t="s">
        <v>109</v>
      </c>
      <c r="K89" s="9" t="s">
        <v>107</v>
      </c>
      <c r="L89" s="9" t="s">
        <v>109</v>
      </c>
      <c r="M89" s="9" t="s">
        <v>104</v>
      </c>
      <c r="N89" s="9" t="s">
        <v>109</v>
      </c>
      <c r="O89" s="9" t="s">
        <v>100</v>
      </c>
      <c r="P89" s="9" t="s">
        <v>43</v>
      </c>
      <c r="Q89" t="s">
        <v>114</v>
      </c>
    </row>
    <row r="90" spans="2:17">
      <c r="B90">
        <v>88</v>
      </c>
      <c r="C90">
        <v>9</v>
      </c>
      <c r="D90">
        <v>8</v>
      </c>
      <c r="E90" s="9" t="s">
        <v>104</v>
      </c>
      <c r="F90" s="9" t="s">
        <v>43</v>
      </c>
      <c r="G90" s="9" t="s">
        <v>106</v>
      </c>
      <c r="H90" s="9" t="s">
        <v>43</v>
      </c>
      <c r="I90" s="9" t="s">
        <v>111</v>
      </c>
      <c r="J90" s="9" t="s">
        <v>109</v>
      </c>
      <c r="K90" s="9" t="s">
        <v>102</v>
      </c>
      <c r="L90" s="9" t="s">
        <v>109</v>
      </c>
      <c r="M90" s="9" t="s">
        <v>107</v>
      </c>
      <c r="N90" s="9" t="s">
        <v>109</v>
      </c>
      <c r="O90" s="9" t="s">
        <v>96</v>
      </c>
      <c r="P90" s="9" t="s">
        <v>43</v>
      </c>
      <c r="Q90" t="s">
        <v>114</v>
      </c>
    </row>
    <row r="91" spans="2:17">
      <c r="B91">
        <v>89</v>
      </c>
      <c r="C91">
        <v>9</v>
      </c>
      <c r="D91">
        <v>9</v>
      </c>
      <c r="E91" s="9" t="s">
        <v>107</v>
      </c>
      <c r="F91" s="9" t="s">
        <v>43</v>
      </c>
      <c r="G91" s="9" t="s">
        <v>102</v>
      </c>
      <c r="H91" s="9" t="s">
        <v>43</v>
      </c>
      <c r="I91" s="9" t="s">
        <v>106</v>
      </c>
      <c r="J91" s="9" t="s">
        <v>109</v>
      </c>
      <c r="K91" s="9" t="s">
        <v>111</v>
      </c>
      <c r="L91" s="9" t="s">
        <v>109</v>
      </c>
      <c r="M91" s="9" t="s">
        <v>104</v>
      </c>
      <c r="N91" s="9" t="s">
        <v>109</v>
      </c>
      <c r="O91" s="9" t="s">
        <v>98</v>
      </c>
      <c r="P91" s="9" t="s">
        <v>109</v>
      </c>
      <c r="Q91" t="s">
        <v>114</v>
      </c>
    </row>
    <row r="92" spans="2:17">
      <c r="B92">
        <v>90</v>
      </c>
      <c r="C92">
        <v>9</v>
      </c>
      <c r="D92">
        <v>10</v>
      </c>
      <c r="E92" s="9" t="s">
        <v>111</v>
      </c>
      <c r="F92" s="9" t="s">
        <v>43</v>
      </c>
      <c r="G92" s="9" t="s">
        <v>106</v>
      </c>
      <c r="H92" s="9" t="s">
        <v>43</v>
      </c>
      <c r="I92" s="9" t="s">
        <v>107</v>
      </c>
      <c r="J92" s="9" t="s">
        <v>109</v>
      </c>
      <c r="K92" s="9" t="s">
        <v>102</v>
      </c>
      <c r="L92" s="9" t="s">
        <v>109</v>
      </c>
      <c r="M92" s="9" t="s">
        <v>104</v>
      </c>
      <c r="N92" s="9" t="s">
        <v>109</v>
      </c>
      <c r="O92" s="9" t="s">
        <v>100</v>
      </c>
      <c r="P92" s="9" t="s">
        <v>109</v>
      </c>
      <c r="Q92" t="s">
        <v>114</v>
      </c>
    </row>
    <row r="93" spans="2:17">
      <c r="B93">
        <v>91</v>
      </c>
      <c r="C93">
        <v>10</v>
      </c>
      <c r="D93">
        <v>1</v>
      </c>
      <c r="E93" s="9" t="s">
        <v>106</v>
      </c>
      <c r="F93" s="9" t="s">
        <v>43</v>
      </c>
      <c r="G93" s="9" t="s">
        <v>107</v>
      </c>
      <c r="H93" s="9" t="s">
        <v>43</v>
      </c>
      <c r="I93" s="9" t="s">
        <v>111</v>
      </c>
      <c r="J93" s="9" t="s">
        <v>109</v>
      </c>
      <c r="K93" s="9" t="s">
        <v>102</v>
      </c>
      <c r="L93" s="9" t="s">
        <v>109</v>
      </c>
      <c r="M93" s="9" t="s">
        <v>104</v>
      </c>
      <c r="N93" s="9" t="s">
        <v>109</v>
      </c>
      <c r="O93" s="9" t="s">
        <v>98</v>
      </c>
      <c r="P93" s="9" t="s">
        <v>109</v>
      </c>
      <c r="Q93" t="s">
        <v>115</v>
      </c>
    </row>
    <row r="94" spans="2:17">
      <c r="B94">
        <v>92</v>
      </c>
      <c r="C94">
        <v>10</v>
      </c>
      <c r="D94">
        <v>2</v>
      </c>
      <c r="E94" s="9" t="s">
        <v>102</v>
      </c>
      <c r="F94" s="9" t="s">
        <v>43</v>
      </c>
      <c r="G94" s="9" t="s">
        <v>106</v>
      </c>
      <c r="H94" s="9" t="s">
        <v>43</v>
      </c>
      <c r="I94" s="9" t="s">
        <v>104</v>
      </c>
      <c r="J94" s="9" t="s">
        <v>109</v>
      </c>
      <c r="K94" s="9" t="s">
        <v>111</v>
      </c>
      <c r="L94" s="9" t="s">
        <v>109</v>
      </c>
      <c r="M94" s="9" t="s">
        <v>107</v>
      </c>
      <c r="N94" s="9" t="s">
        <v>109</v>
      </c>
      <c r="O94" s="9" t="s">
        <v>100</v>
      </c>
      <c r="P94" s="9" t="s">
        <v>109</v>
      </c>
      <c r="Q94" t="s">
        <v>115</v>
      </c>
    </row>
    <row r="95" spans="2:17">
      <c r="B95">
        <v>93</v>
      </c>
      <c r="C95">
        <v>10</v>
      </c>
      <c r="D95">
        <v>3</v>
      </c>
      <c r="E95" s="9" t="s">
        <v>107</v>
      </c>
      <c r="F95" s="9" t="s">
        <v>43</v>
      </c>
      <c r="G95" s="9" t="s">
        <v>111</v>
      </c>
      <c r="H95" s="9" t="s">
        <v>43</v>
      </c>
      <c r="I95" s="9" t="s">
        <v>106</v>
      </c>
      <c r="J95" s="9" t="s">
        <v>109</v>
      </c>
      <c r="K95" s="9" t="s">
        <v>102</v>
      </c>
      <c r="L95" s="9" t="s">
        <v>109</v>
      </c>
      <c r="M95" s="9" t="s">
        <v>104</v>
      </c>
      <c r="N95" s="9" t="s">
        <v>109</v>
      </c>
      <c r="O95" s="9" t="s">
        <v>96</v>
      </c>
      <c r="P95" s="9" t="s">
        <v>109</v>
      </c>
      <c r="Q95" t="s">
        <v>115</v>
      </c>
    </row>
    <row r="96" spans="2:17">
      <c r="B96">
        <v>94</v>
      </c>
      <c r="C96">
        <v>10</v>
      </c>
      <c r="D96">
        <v>4</v>
      </c>
      <c r="E96" s="9" t="s">
        <v>104</v>
      </c>
      <c r="F96" s="9" t="s">
        <v>43</v>
      </c>
      <c r="G96" s="9" t="s">
        <v>102</v>
      </c>
      <c r="H96" s="9" t="s">
        <v>43</v>
      </c>
      <c r="I96" s="9" t="s">
        <v>111</v>
      </c>
      <c r="J96" s="9" t="s">
        <v>109</v>
      </c>
      <c r="K96" s="9" t="s">
        <v>107</v>
      </c>
      <c r="L96" s="9" t="s">
        <v>109</v>
      </c>
      <c r="M96" s="9" t="s">
        <v>106</v>
      </c>
      <c r="N96" s="9" t="s">
        <v>109</v>
      </c>
      <c r="O96" s="9" t="s">
        <v>98</v>
      </c>
      <c r="P96" s="9" t="s">
        <v>109</v>
      </c>
      <c r="Q96" t="s">
        <v>115</v>
      </c>
    </row>
    <row r="97" spans="2:17">
      <c r="B97">
        <v>95</v>
      </c>
      <c r="C97">
        <v>10</v>
      </c>
      <c r="D97">
        <v>5</v>
      </c>
      <c r="E97" s="9" t="s">
        <v>111</v>
      </c>
      <c r="F97" s="9" t="s">
        <v>43</v>
      </c>
      <c r="G97" s="9" t="s">
        <v>106</v>
      </c>
      <c r="H97" s="9" t="s">
        <v>109</v>
      </c>
      <c r="I97" s="9" t="s">
        <v>102</v>
      </c>
      <c r="J97" s="9" t="s">
        <v>109</v>
      </c>
      <c r="K97" s="9" t="s">
        <v>104</v>
      </c>
      <c r="L97" s="9" t="s">
        <v>109</v>
      </c>
      <c r="M97" s="9" t="s">
        <v>107</v>
      </c>
      <c r="N97" s="9" t="s">
        <v>109</v>
      </c>
      <c r="O97" s="9" t="s">
        <v>100</v>
      </c>
      <c r="P97" s="9" t="s">
        <v>109</v>
      </c>
      <c r="Q97" t="s">
        <v>115</v>
      </c>
    </row>
    <row r="98" spans="2:17">
      <c r="B98">
        <v>96</v>
      </c>
      <c r="C98">
        <v>10</v>
      </c>
      <c r="D98">
        <v>6</v>
      </c>
      <c r="E98" s="9" t="s">
        <v>106</v>
      </c>
      <c r="F98" s="9" t="s">
        <v>43</v>
      </c>
      <c r="G98" s="9" t="s">
        <v>111</v>
      </c>
      <c r="H98" s="9" t="s">
        <v>43</v>
      </c>
      <c r="I98" s="9" t="s">
        <v>107</v>
      </c>
      <c r="J98" s="9" t="s">
        <v>109</v>
      </c>
      <c r="K98" s="9" t="s">
        <v>104</v>
      </c>
      <c r="L98" s="9" t="s">
        <v>109</v>
      </c>
      <c r="M98" s="9" t="s">
        <v>102</v>
      </c>
      <c r="N98" s="9" t="s">
        <v>109</v>
      </c>
      <c r="O98" s="9" t="s">
        <v>96</v>
      </c>
      <c r="P98" s="9" t="s">
        <v>109</v>
      </c>
      <c r="Q98" t="s">
        <v>115</v>
      </c>
    </row>
    <row r="99" spans="2:17">
      <c r="B99">
        <v>97</v>
      </c>
      <c r="C99">
        <v>10</v>
      </c>
      <c r="D99">
        <v>7</v>
      </c>
      <c r="E99" s="9" t="s">
        <v>102</v>
      </c>
      <c r="F99" s="9" t="s">
        <v>43</v>
      </c>
      <c r="G99" s="9" t="s">
        <v>106</v>
      </c>
      <c r="H99" s="9" t="s">
        <v>109</v>
      </c>
      <c r="I99" s="9" t="s">
        <v>111</v>
      </c>
      <c r="J99" s="9" t="s">
        <v>109</v>
      </c>
      <c r="K99" s="9" t="s">
        <v>107</v>
      </c>
      <c r="L99" s="9" t="s">
        <v>109</v>
      </c>
      <c r="M99" s="9" t="s">
        <v>104</v>
      </c>
      <c r="N99" s="9" t="s">
        <v>109</v>
      </c>
      <c r="O99" s="9" t="s">
        <v>98</v>
      </c>
      <c r="P99" s="9" t="s">
        <v>109</v>
      </c>
      <c r="Q99" t="s">
        <v>115</v>
      </c>
    </row>
    <row r="100" spans="2:17">
      <c r="B100">
        <v>98</v>
      </c>
      <c r="C100">
        <v>10</v>
      </c>
      <c r="D100">
        <v>8</v>
      </c>
      <c r="E100" s="9" t="s">
        <v>107</v>
      </c>
      <c r="F100" s="9" t="s">
        <v>43</v>
      </c>
      <c r="G100" s="9" t="s">
        <v>104</v>
      </c>
      <c r="H100" s="9" t="s">
        <v>109</v>
      </c>
      <c r="I100" s="9" t="s">
        <v>102</v>
      </c>
      <c r="J100" s="9" t="s">
        <v>109</v>
      </c>
      <c r="K100" s="9" t="s">
        <v>111</v>
      </c>
      <c r="L100" s="9" t="s">
        <v>109</v>
      </c>
      <c r="M100" s="9" t="s">
        <v>106</v>
      </c>
      <c r="N100" s="9" t="s">
        <v>109</v>
      </c>
      <c r="O100" s="9" t="s">
        <v>100</v>
      </c>
      <c r="P100" s="9" t="s">
        <v>109</v>
      </c>
      <c r="Q100" t="s">
        <v>115</v>
      </c>
    </row>
    <row r="101" spans="2:17">
      <c r="B101">
        <v>99</v>
      </c>
      <c r="C101">
        <v>10</v>
      </c>
      <c r="D101">
        <v>9</v>
      </c>
      <c r="E101" s="9" t="s">
        <v>111</v>
      </c>
      <c r="F101" s="9" t="s">
        <v>43</v>
      </c>
      <c r="G101" s="9" t="s">
        <v>106</v>
      </c>
      <c r="H101" s="9" t="s">
        <v>109</v>
      </c>
      <c r="I101" s="9" t="s">
        <v>107</v>
      </c>
      <c r="J101" s="9" t="s">
        <v>109</v>
      </c>
      <c r="K101" s="9" t="s">
        <v>102</v>
      </c>
      <c r="L101" s="9" t="s">
        <v>109</v>
      </c>
      <c r="M101" s="9" t="s">
        <v>104</v>
      </c>
      <c r="N101" s="9" t="s">
        <v>109</v>
      </c>
      <c r="O101" s="9" t="s">
        <v>96</v>
      </c>
      <c r="P101" s="9" t="s">
        <v>109</v>
      </c>
      <c r="Q101" t="s">
        <v>115</v>
      </c>
    </row>
    <row r="102" spans="2:17">
      <c r="B102">
        <v>100</v>
      </c>
      <c r="C102">
        <v>10</v>
      </c>
      <c r="D102">
        <v>10</v>
      </c>
      <c r="E102" s="9" t="s">
        <v>106</v>
      </c>
      <c r="F102" s="9" t="s">
        <v>43</v>
      </c>
      <c r="G102" s="9" t="s">
        <v>111</v>
      </c>
      <c r="H102" s="9" t="s">
        <v>109</v>
      </c>
      <c r="I102" s="9" t="s">
        <v>102</v>
      </c>
      <c r="J102" s="9" t="s">
        <v>109</v>
      </c>
      <c r="K102" s="9" t="s">
        <v>107</v>
      </c>
      <c r="L102" s="9" t="s">
        <v>109</v>
      </c>
      <c r="M102" s="9" t="s">
        <v>104</v>
      </c>
      <c r="N102" s="9" t="s">
        <v>109</v>
      </c>
      <c r="O102" s="9" t="s">
        <v>98</v>
      </c>
      <c r="P102" s="9" t="s">
        <v>109</v>
      </c>
      <c r="Q102" t="s">
        <v>115</v>
      </c>
    </row>
    <row r="103" spans="2:1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5:16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5:16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5:16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5: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5:16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5:16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5:16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5:16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5:16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5:16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5:16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5:16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5:16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5:1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5:16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5422223578601"/>
  </sheetPr>
  <dimension ref="A1:B10"/>
  <sheetViews>
    <sheetView workbookViewId="0"/>
  </sheetViews>
  <sheetFormatPr defaultRowHeight="16.5"/>
  <sheetData>
    <row r="1" spans="1:2">
      <c r="A1" t="s">
        <v>116</v>
      </c>
      <c r="B1" t="s">
        <v>117</v>
      </c>
    </row>
    <row r="2" spans="1:2">
      <c r="A2" t="s">
        <v>118</v>
      </c>
      <c r="B2" t="s">
        <v>97</v>
      </c>
    </row>
    <row r="3" spans="1:2">
      <c r="A3" t="s">
        <v>98</v>
      </c>
      <c r="B3" t="s">
        <v>43</v>
      </c>
    </row>
    <row r="4" spans="1:2">
      <c r="A4" t="s">
        <v>96</v>
      </c>
      <c r="B4" t="s">
        <v>109</v>
      </c>
    </row>
    <row r="5" spans="1:2">
      <c r="A5" t="s">
        <v>106</v>
      </c>
    </row>
    <row r="6" spans="1:2">
      <c r="A6" t="s">
        <v>102</v>
      </c>
    </row>
    <row r="7" spans="1:2">
      <c r="A7" t="s">
        <v>111</v>
      </c>
    </row>
    <row r="8" spans="1:2">
      <c r="A8" t="s">
        <v>107</v>
      </c>
    </row>
    <row r="9" spans="1:2">
      <c r="A9" t="s">
        <v>100</v>
      </c>
    </row>
    <row r="10" spans="1:2">
      <c r="A10" t="s">
        <v>104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600-000000000000}">
  <dimension ref="B2:G34"/>
  <sheetViews>
    <sheetView workbookViewId="0"/>
  </sheetViews>
  <sheetFormatPr defaultRowHeight="16.5"/>
  <cols>
    <col min="2" max="2" width="64" customWidth="1"/>
  </cols>
  <sheetData>
    <row r="2" spans="2:7"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2:7">
      <c r="B3" t="s">
        <v>149</v>
      </c>
      <c r="C3" t="s">
        <v>150</v>
      </c>
      <c r="D3">
        <v>8</v>
      </c>
    </row>
    <row r="4" spans="2:7">
      <c r="B4" t="s">
        <v>151</v>
      </c>
      <c r="C4" t="s">
        <v>150</v>
      </c>
      <c r="D4">
        <v>8</v>
      </c>
    </row>
    <row r="5" spans="2:7">
      <c r="B5" t="s">
        <v>152</v>
      </c>
      <c r="C5" t="s">
        <v>150</v>
      </c>
      <c r="D5">
        <v>60</v>
      </c>
    </row>
    <row r="6" spans="2:7">
      <c r="B6" t="s">
        <v>153</v>
      </c>
      <c r="C6" t="s">
        <v>150</v>
      </c>
      <c r="D6">
        <v>32</v>
      </c>
    </row>
    <row r="7" spans="2:7">
      <c r="B7" t="s">
        <v>154</v>
      </c>
      <c r="C7" t="s">
        <v>150</v>
      </c>
      <c r="D7">
        <v>1.25</v>
      </c>
      <c r="G7">
        <f>D6*D7</f>
        <v>40</v>
      </c>
    </row>
    <row r="8" spans="2:7">
      <c r="B8" t="s">
        <v>155</v>
      </c>
      <c r="C8" t="s">
        <v>150</v>
      </c>
      <c r="D8">
        <v>1.6</v>
      </c>
    </row>
    <row r="9" spans="2:7">
      <c r="B9" t="s">
        <v>156</v>
      </c>
      <c r="C9" t="s">
        <v>150</v>
      </c>
      <c r="D9">
        <v>1</v>
      </c>
    </row>
    <row r="10" spans="2:7">
      <c r="B10" t="s">
        <v>157</v>
      </c>
      <c r="C10" t="s">
        <v>150</v>
      </c>
      <c r="D10">
        <f>'밸런스 조정'!C59</f>
        <v>8.84</v>
      </c>
    </row>
    <row r="11" spans="2:7">
      <c r="B11" t="s">
        <v>158</v>
      </c>
      <c r="C11" t="s">
        <v>150</v>
      </c>
      <c r="D11">
        <f>'밸런스 조정'!C60</f>
        <v>7.8</v>
      </c>
    </row>
    <row r="12" spans="2:7">
      <c r="B12" t="s">
        <v>159</v>
      </c>
      <c r="C12" t="s">
        <v>150</v>
      </c>
      <c r="D12">
        <f>'밸런스 조정'!C88</f>
        <v>7.8</v>
      </c>
    </row>
    <row r="13" spans="2:7">
      <c r="B13" t="s">
        <v>160</v>
      </c>
      <c r="C13" t="s">
        <v>150</v>
      </c>
      <c r="D13">
        <f>'밸런스 조정'!C95</f>
        <v>15</v>
      </c>
    </row>
    <row r="14" spans="2:7">
      <c r="B14" t="s">
        <v>161</v>
      </c>
      <c r="C14" t="s">
        <v>150</v>
      </c>
      <c r="D14" t="n">
        <f>'밸런스 조정'!C96</f>
        <v>65</v>
      </c>
    </row>
    <row r="15" spans="2:7">
      <c r="B15" t="s">
        <v>162</v>
      </c>
      <c r="C15" t="s">
        <v>150</v>
      </c>
      <c r="D15" t="n">
        <f>'밸런스 조정'!C97</f>
        <v>350</v>
      </c>
    </row>
    <row r="16" spans="2:7">
      <c r="B16" t="s">
        <v>163</v>
      </c>
      <c r="C16" t="s">
        <v>150</v>
      </c>
      <c r="D16">
        <f>'밸런스 조정'!C98</f>
        <v>20</v>
      </c>
    </row>
    <row r="17" spans="2:4">
      <c r="B17" t="s">
        <v>164</v>
      </c>
      <c r="C17" t="s">
        <v>150</v>
      </c>
      <c r="D17">
        <f>'밸런스 조정'!C99</f>
        <v>0</v>
      </c>
    </row>
    <row r="18" spans="2:4">
      <c r="B18" t="s">
        <v>165</v>
      </c>
      <c r="C18" t="s">
        <v>150</v>
      </c>
      <c r="D18">
        <f>'밸런스 조정'!C100</f>
        <v>20</v>
      </c>
    </row>
    <row r="19" spans="2:4">
      <c r="B19" t="s">
        <v>166</v>
      </c>
      <c r="C19" t="s">
        <v>150</v>
      </c>
      <c r="D19">
        <f>'밸런스 조정'!C101</f>
        <v>5</v>
      </c>
    </row>
    <row r="20" spans="2:4">
      <c r="B20" t="s">
        <v>167</v>
      </c>
      <c r="C20" t="s">
        <v>150</v>
      </c>
      <c r="D20">
        <f>'밸런스 조정'!C102</f>
        <v>25</v>
      </c>
    </row>
    <row r="21" spans="2:4">
      <c r="B21" t="s">
        <v>168</v>
      </c>
      <c r="C21" t="s">
        <v>150</v>
      </c>
      <c r="D21">
        <f>'밸런스 조정'!C103</f>
        <v>5</v>
      </c>
    </row>
    <row r="22" spans="2:4">
      <c r="B22" t="s">
        <v>169</v>
      </c>
      <c r="C22" t="s">
        <v>150</v>
      </c>
      <c r="D22">
        <f>'밸런스 조정'!C104</f>
        <v>30</v>
      </c>
    </row>
    <row r="23" spans="2:4">
      <c r="B23" t="s">
        <v>170</v>
      </c>
      <c r="C23" t="s">
        <v>150</v>
      </c>
      <c r="D23">
        <f>'밸런스 조정'!C105</f>
        <v>5</v>
      </c>
    </row>
    <row r="24" spans="2:4">
      <c r="B24" t="s">
        <v>171</v>
      </c>
      <c r="C24" t="s">
        <v>150</v>
      </c>
      <c r="D24">
        <v>3.5</v>
      </c>
    </row>
    <row r="25" spans="2:4">
      <c r="B25" t="s">
        <v>172</v>
      </c>
      <c r="C25" t="s">
        <v>150</v>
      </c>
      <c r="D25">
        <v>3.5</v>
      </c>
    </row>
    <row r="26" spans="2:4">
      <c r="B26" t="s">
        <v>173</v>
      </c>
      <c r="C26" t="s">
        <v>150</v>
      </c>
      <c r="D26">
        <f>'밸런스 조정'!C110</f>
        <v>2.2000000000000002</v>
      </c>
    </row>
    <row r="27" spans="2:4">
      <c r="B27" t="s">
        <v>174</v>
      </c>
      <c r="C27" t="s">
        <v>150</v>
      </c>
      <c r="D27">
        <f>'밸런스 조정'!C111</f>
        <v>16</v>
      </c>
    </row>
    <row r="28" spans="2:4">
      <c r="B28" t="s">
        <v>175</v>
      </c>
      <c r="C28" t="s">
        <v>150</v>
      </c>
      <c r="D28">
        <f>'밸런스 조정'!C112</f>
        <v>220</v>
      </c>
    </row>
    <row r="29" spans="2:4">
      <c r="B29" t="s">
        <v>176</v>
      </c>
      <c r="C29" t="s">
        <v>150</v>
      </c>
      <c r="D29">
        <f>'밸런스 조정'!C113</f>
        <v>0.1</v>
      </c>
    </row>
    <row r="30" spans="2:4">
      <c r="B30" t="s">
        <v>177</v>
      </c>
      <c r="C30" t="s">
        <v>150</v>
      </c>
      <c r="D30">
        <f>'밸런스 조정'!C114</f>
        <v>30</v>
      </c>
    </row>
    <row r="31" spans="2:4">
      <c r="B31" t="s">
        <v>178</v>
      </c>
      <c r="C31" t="s">
        <v>150</v>
      </c>
      <c r="D31">
        <f>'밸런스 조정'!C115</f>
        <v>700</v>
      </c>
    </row>
    <row r="32" spans="2:4">
      <c r="B32" t="s">
        <v>179</v>
      </c>
      <c r="C32" t="s">
        <v>150</v>
      </c>
      <c r="D32">
        <f>'밸런스 조정'!C116</f>
        <v>3.8</v>
      </c>
    </row>
    <row r="33" spans="2:4">
      <c r="B33" t="s">
        <v>180</v>
      </c>
      <c r="C33" t="s">
        <v>150</v>
      </c>
      <c r="D33">
        <f>'밸런스 조정'!C117</f>
        <v>1.05</v>
      </c>
    </row>
    <row r="34" spans="2:4">
      <c r="B34" t="s">
        <v>181</v>
      </c>
      <c r="C34" t="s">
        <v>150</v>
      </c>
      <c r="D34">
        <f>'밸런스 조정'!C118</f>
        <v>0.12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8" customWidth="1"/>
    <col min="3" max="3" width="12" customWidth="1"/>
    <col min="4" max="7" width="16" customWidth="1"/>
    <col min="8" max="8" width="28" customWidth="1"/>
    <col min="11" max="11" width="7.75" customWidth="1"/>
    <col min="12" max="13" width="11.625" customWidth="1"/>
  </cols>
  <sheetData>
    <row r="2" spans="2:15" ht="24" customHeight="1">
      <c r="B2" s="12" t="s">
        <v>78</v>
      </c>
      <c r="C2" s="12" t="s">
        <v>80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</row>
    <row r="3" spans="2:15" ht="20.100000000000001" customHeight="1">
      <c r="B3" s="13">
        <v>1</v>
      </c>
      <c r="C3" s="13" t="s">
        <v>43</v>
      </c>
      <c r="D3" s="15">
        <f>VLOOKUP($C3,$K$5:$O$7,2,FALSE)*$H3</f>
        <v>33</v>
      </c>
      <c r="E3" s="15">
        <f>VLOOKUP($C3,$K$5:$O$7,3,FALSE)*$H3</f>
        <v>330</v>
      </c>
      <c r="F3" s="15">
        <f>VLOOKUP($C3,$K$5:$O$7,4,FALSE)*$H3</f>
        <v>55</v>
      </c>
      <c r="G3" s="15">
        <f>VLOOKUP($C3,$K$5:$O$7,5,FALSE)*$H3</f>
        <v>550</v>
      </c>
      <c r="H3" s="15">
        <v>1</v>
      </c>
    </row>
    <row r="4" spans="2:15" ht="20.100000000000001" customHeight="1">
      <c r="B4" s="13">
        <v>1</v>
      </c>
      <c r="C4" s="13" t="s">
        <v>81</v>
      </c>
      <c r="D4" s="15">
        <f t="shared" ref="D4:D17" si="0">VLOOKUP($C4,$K$5:$O$7,2,FALSE)*$H4</f>
        <v>55</v>
      </c>
      <c r="E4" s="15">
        <f t="shared" ref="E4:E17" si="1">VLOOKUP($C4,$K$5:$O$7,3,FALSE)*$H4</f>
        <v>550</v>
      </c>
      <c r="F4" s="15">
        <f t="shared" ref="F4:F17" si="2">VLOOKUP($C4,$K$5:$O$7,4,FALSE)*$H4</f>
        <v>110</v>
      </c>
      <c r="G4" s="15">
        <f t="shared" ref="G4:G17" si="3">VLOOKUP($C4,$K$5:$O$7,5,FALSE)*$H4</f>
        <v>1100</v>
      </c>
      <c r="H4" s="15">
        <v>1</v>
      </c>
      <c r="K4" s="14" t="s">
        <v>124</v>
      </c>
      <c r="L4" s="14" t="s">
        <v>119</v>
      </c>
      <c r="M4" s="14" t="s">
        <v>120</v>
      </c>
      <c r="N4" s="14" t="s">
        <v>121</v>
      </c>
      <c r="O4" s="14" t="s">
        <v>122</v>
      </c>
    </row>
    <row r="5" spans="2:15" ht="20.100000000000001" customHeight="1">
      <c r="B5" s="13">
        <v>1</v>
      </c>
      <c r="C5" s="13" t="s">
        <v>82</v>
      </c>
      <c r="D5" s="15">
        <f t="shared" si="0"/>
        <v>165</v>
      </c>
      <c r="E5" s="15">
        <f t="shared" si="1"/>
        <v>1650</v>
      </c>
      <c r="F5" s="15">
        <f t="shared" si="2"/>
        <v>190</v>
      </c>
      <c r="G5" s="15">
        <f t="shared" si="3"/>
        <v>1870</v>
      </c>
      <c r="H5" s="15">
        <v>1</v>
      </c>
      <c r="K5" s="13" t="s">
        <v>43</v>
      </c>
      <c r="L5" s="15">
        <v>33</v>
      </c>
      <c r="M5" s="15">
        <v>330</v>
      </c>
      <c r="N5" s="15">
        <v>55</v>
      </c>
      <c r="O5" s="15">
        <v>550</v>
      </c>
    </row>
    <row r="6" spans="2:15">
      <c r="B6" s="13">
        <v>2</v>
      </c>
      <c r="C6" s="13" t="s">
        <v>43</v>
      </c>
      <c r="D6" s="15">
        <f t="shared" si="0"/>
        <v>66</v>
      </c>
      <c r="E6" s="15">
        <f t="shared" si="1"/>
        <v>660</v>
      </c>
      <c r="F6" s="15">
        <f t="shared" si="2"/>
        <v>110</v>
      </c>
      <c r="G6" s="15">
        <f t="shared" si="3"/>
        <v>1100</v>
      </c>
      <c r="H6" s="15">
        <v>2</v>
      </c>
      <c r="K6" s="13" t="s">
        <v>81</v>
      </c>
      <c r="L6" s="15">
        <v>55</v>
      </c>
      <c r="M6" s="15">
        <v>550</v>
      </c>
      <c r="N6" s="15">
        <v>110</v>
      </c>
      <c r="O6" s="15">
        <v>1100</v>
      </c>
    </row>
    <row r="7" spans="2:15">
      <c r="B7" s="13">
        <v>2</v>
      </c>
      <c r="C7" s="13" t="s">
        <v>81</v>
      </c>
      <c r="D7" s="15">
        <f t="shared" si="0"/>
        <v>110</v>
      </c>
      <c r="E7" s="15">
        <f t="shared" si="1"/>
        <v>1100</v>
      </c>
      <c r="F7" s="15">
        <f t="shared" si="2"/>
        <v>220</v>
      </c>
      <c r="G7" s="15">
        <f t="shared" si="3"/>
        <v>2200</v>
      </c>
      <c r="H7" s="15">
        <v>2</v>
      </c>
      <c r="K7" s="13" t="s">
        <v>82</v>
      </c>
      <c r="L7" s="15">
        <v>165</v>
      </c>
      <c r="M7" s="15">
        <v>1650</v>
      </c>
      <c r="N7" s="15">
        <v>190</v>
      </c>
      <c r="O7" s="15">
        <v>1870</v>
      </c>
    </row>
    <row r="8" spans="2:15">
      <c r="B8" s="13">
        <v>2</v>
      </c>
      <c r="C8" s="13" t="s">
        <v>82</v>
      </c>
      <c r="D8" s="15">
        <f t="shared" si="0"/>
        <v>330</v>
      </c>
      <c r="E8" s="15">
        <f t="shared" si="1"/>
        <v>3300</v>
      </c>
      <c r="F8" s="15">
        <f t="shared" si="2"/>
        <v>380</v>
      </c>
      <c r="G8" s="15">
        <f t="shared" si="3"/>
        <v>3740</v>
      </c>
      <c r="H8" s="15">
        <v>2</v>
      </c>
    </row>
    <row r="9" spans="2:15">
      <c r="B9" s="13">
        <v>3</v>
      </c>
      <c r="C9" s="13" t="s">
        <v>43</v>
      </c>
      <c r="D9" s="15">
        <f t="shared" si="0"/>
        <v>99</v>
      </c>
      <c r="E9" s="15">
        <f t="shared" si="1"/>
        <v>990</v>
      </c>
      <c r="F9" s="15">
        <f t="shared" si="2"/>
        <v>165</v>
      </c>
      <c r="G9" s="15">
        <f t="shared" si="3"/>
        <v>1650</v>
      </c>
      <c r="H9" s="15">
        <v>3</v>
      </c>
    </row>
    <row r="10" spans="2:15">
      <c r="B10" s="13">
        <v>3</v>
      </c>
      <c r="C10" s="13" t="s">
        <v>81</v>
      </c>
      <c r="D10" s="15">
        <f t="shared" si="0"/>
        <v>165</v>
      </c>
      <c r="E10" s="15">
        <f t="shared" si="1"/>
        <v>1650</v>
      </c>
      <c r="F10" s="15">
        <f t="shared" si="2"/>
        <v>330</v>
      </c>
      <c r="G10" s="15">
        <f t="shared" si="3"/>
        <v>3300</v>
      </c>
      <c r="H10" s="15">
        <v>3</v>
      </c>
    </row>
    <row r="11" spans="2:15">
      <c r="B11" s="13">
        <v>3</v>
      </c>
      <c r="C11" s="13" t="s">
        <v>82</v>
      </c>
      <c r="D11" s="15">
        <f t="shared" si="0"/>
        <v>495</v>
      </c>
      <c r="E11" s="15">
        <f t="shared" si="1"/>
        <v>4950</v>
      </c>
      <c r="F11" s="15">
        <f t="shared" si="2"/>
        <v>570</v>
      </c>
      <c r="G11" s="15">
        <f t="shared" si="3"/>
        <v>5610</v>
      </c>
      <c r="H11" s="15">
        <v>3</v>
      </c>
    </row>
    <row r="12" spans="2:15">
      <c r="B12" s="13">
        <v>4</v>
      </c>
      <c r="C12" s="13" t="s">
        <v>43</v>
      </c>
      <c r="D12" s="15">
        <f t="shared" si="0"/>
        <v>132</v>
      </c>
      <c r="E12" s="15">
        <f t="shared" si="1"/>
        <v>1320</v>
      </c>
      <c r="F12" s="15">
        <f t="shared" si="2"/>
        <v>220</v>
      </c>
      <c r="G12" s="15">
        <f t="shared" si="3"/>
        <v>2200</v>
      </c>
      <c r="H12" s="15">
        <v>4</v>
      </c>
    </row>
    <row r="13" spans="2:15">
      <c r="B13" s="13">
        <v>4</v>
      </c>
      <c r="C13" s="13" t="s">
        <v>81</v>
      </c>
      <c r="D13" s="15">
        <f t="shared" si="0"/>
        <v>220</v>
      </c>
      <c r="E13" s="15">
        <f t="shared" si="1"/>
        <v>2200</v>
      </c>
      <c r="F13" s="15">
        <f t="shared" si="2"/>
        <v>440</v>
      </c>
      <c r="G13" s="15">
        <f t="shared" si="3"/>
        <v>4400</v>
      </c>
      <c r="H13" s="15">
        <v>4</v>
      </c>
    </row>
    <row r="14" spans="2:15">
      <c r="B14" s="13">
        <v>4</v>
      </c>
      <c r="C14" s="13" t="s">
        <v>82</v>
      </c>
      <c r="D14" s="15">
        <f t="shared" si="0"/>
        <v>660</v>
      </c>
      <c r="E14" s="15">
        <f t="shared" si="1"/>
        <v>6600</v>
      </c>
      <c r="F14" s="15">
        <f t="shared" si="2"/>
        <v>760</v>
      </c>
      <c r="G14" s="15">
        <f t="shared" si="3"/>
        <v>7480</v>
      </c>
      <c r="H14" s="15">
        <v>4</v>
      </c>
    </row>
    <row r="15" spans="2:15">
      <c r="B15" s="13">
        <v>5</v>
      </c>
      <c r="C15" s="13" t="s">
        <v>43</v>
      </c>
      <c r="D15" s="15">
        <f t="shared" si="0"/>
        <v>165</v>
      </c>
      <c r="E15" s="15">
        <f t="shared" si="1"/>
        <v>1650</v>
      </c>
      <c r="F15" s="15">
        <f t="shared" si="2"/>
        <v>275</v>
      </c>
      <c r="G15" s="15">
        <f t="shared" si="3"/>
        <v>2750</v>
      </c>
      <c r="H15" s="15">
        <v>5</v>
      </c>
    </row>
    <row r="16" spans="2:15">
      <c r="B16" s="13">
        <v>5</v>
      </c>
      <c r="C16" s="13" t="s">
        <v>81</v>
      </c>
      <c r="D16" s="15">
        <f t="shared" si="0"/>
        <v>275</v>
      </c>
      <c r="E16" s="15">
        <f t="shared" si="1"/>
        <v>2750</v>
      </c>
      <c r="F16" s="15">
        <f t="shared" si="2"/>
        <v>550</v>
      </c>
      <c r="G16" s="15">
        <f t="shared" si="3"/>
        <v>5500</v>
      </c>
      <c r="H16" s="15">
        <v>5</v>
      </c>
    </row>
    <row r="17" spans="2:8">
      <c r="B17" s="13">
        <v>5</v>
      </c>
      <c r="C17" s="13" t="s">
        <v>82</v>
      </c>
      <c r="D17" s="15">
        <f t="shared" si="0"/>
        <v>825</v>
      </c>
      <c r="E17" s="15">
        <f t="shared" si="1"/>
        <v>8250</v>
      </c>
      <c r="F17" s="15">
        <f t="shared" si="2"/>
        <v>950</v>
      </c>
      <c r="G17" s="15">
        <f t="shared" si="3"/>
        <v>9350</v>
      </c>
      <c r="H17" s="15">
        <v>5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800-000000000000}">
  <dimension ref="B1:R152"/>
  <sheetViews>
    <sheetView tabSelected="1" workbookViewId="0">
      <pane ySplit="2" topLeftCell="A7" activePane="bottomLeft" state="frozen"/>
      <selection pane="bottomLeft" activeCell="I18" sqref="I18"/>
    </sheetView>
  </sheetViews>
  <sheetFormatPr defaultRowHeight="16.5"/>
  <cols>
    <col min="2" max="2" width="7" customWidth="1"/>
    <col min="3" max="3" width="38" customWidth="1"/>
    <col min="4" max="4" width="61" customWidth="1"/>
    <col min="5" max="11" width="15" customWidth="1"/>
    <col min="12" max="12" width="55" customWidth="1"/>
    <col min="13" max="18" width="14" customWidth="1"/>
  </cols>
  <sheetData>
    <row r="1" spans="2:18">
      <c r="B1" s="16" t="s">
        <v>182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8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17" t="s">
        <v>191</v>
      </c>
      <c r="L2" s="17" t="s">
        <v>192</v>
      </c>
      <c r="M2" s="23" t="s">
        <v>193</v>
      </c>
      <c r="N2" s="23" t="s">
        <v>15</v>
      </c>
      <c r="O2" s="23" t="s">
        <v>22</v>
      </c>
      <c r="P2" s="23" t="s">
        <v>194</v>
      </c>
      <c r="Q2" s="23" t="s">
        <v>195</v>
      </c>
      <c r="R2" s="23" t="s">
        <v>196</v>
      </c>
    </row>
    <row r="3" spans="2:18" ht="30" customHeight="1">
      <c r="B3" s="19">
        <v>1</v>
      </c>
      <c r="C3" s="16" t="s">
        <v>197</v>
      </c>
      <c r="D3" s="16" t="s">
        <v>198</v>
      </c>
      <c r="E3" s="20">
        <v>1</v>
      </c>
      <c r="F3" s="21" t="s">
        <v>199</v>
      </c>
      <c r="G3" s="21">
        <v>1.8</v>
      </c>
      <c r="H3" s="21">
        <v>2</v>
      </c>
      <c r="I3" s="21">
        <v>12</v>
      </c>
      <c r="J3" s="21">
        <v>2</v>
      </c>
      <c r="K3" s="21">
        <v>12</v>
      </c>
      <c r="L3" s="18" t="s">
        <v>200</v>
      </c>
      <c r="M3" s="25" t="s">
        <v>43</v>
      </c>
      <c r="N3" s="26">
        <f>'밸런스 조정'!$C$15</f>
        <v>8</v>
      </c>
      <c r="O3" s="26">
        <f>'밸런스 조정'!$C$16</f>
        <v>45</v>
      </c>
      <c r="P3" s="27" t="n">
        <f>'밸런스 조정'!$C$18</f>
        <v>0.16</v>
      </c>
      <c r="Q3" s="41">
        <f>'밸런스 조정'!$C$64</f>
        <v>0</v>
      </c>
      <c r="R3" s="41">
        <f>'밸런스 조정'!$C$65*IF(M3="Boss",5,IF(M3="Elite",2,1))</f>
        <v>10</v>
      </c>
    </row>
    <row r="4" spans="2:18" ht="30" customHeight="1">
      <c r="B4" s="19">
        <v>2</v>
      </c>
      <c r="C4" s="16" t="s">
        <v>197</v>
      </c>
      <c r="D4" s="16" t="s">
        <v>201</v>
      </c>
      <c r="E4" s="20">
        <v>1</v>
      </c>
      <c r="F4" s="21" t="s">
        <v>202</v>
      </c>
      <c r="G4" s="21">
        <v>2</v>
      </c>
      <c r="H4" s="21">
        <v>0</v>
      </c>
      <c r="I4" s="21">
        <v>5</v>
      </c>
      <c r="J4" s="21">
        <v>2</v>
      </c>
      <c r="K4" s="21">
        <v>12</v>
      </c>
      <c r="L4" s="18" t="s">
        <v>203</v>
      </c>
      <c r="M4" s="25" t="s">
        <v>43</v>
      </c>
      <c r="N4" s="26">
        <f>N3</f>
        <v>8</v>
      </c>
      <c r="O4" s="26">
        <f>ROUND(O3*(1+P4),0)</f>
        <v>52</v>
      </c>
      <c r="P4" s="27">
        <v>0.15</v>
      </c>
      <c r="Q4" s="41">
        <f>'밸런스 조정'!$C$64</f>
        <v>0</v>
      </c>
      <c r="R4" s="41">
        <f>'밸런스 조정'!$C$65*IF(M4="Boss",5,IF(M4="Elite",2,1))</f>
        <v>10</v>
      </c>
    </row>
    <row r="5" spans="2:18" ht="30" customHeight="1">
      <c r="B5" s="19">
        <v>3</v>
      </c>
      <c r="C5" s="16" t="s">
        <v>197</v>
      </c>
      <c r="D5" s="16" t="s">
        <v>204</v>
      </c>
      <c r="E5" s="20">
        <v>1</v>
      </c>
      <c r="F5" s="21" t="s">
        <v>205</v>
      </c>
      <c r="G5" s="21">
        <v>2</v>
      </c>
      <c r="H5" s="21">
        <v>0</v>
      </c>
      <c r="I5" s="21">
        <v>8</v>
      </c>
      <c r="J5" s="21">
        <v>2</v>
      </c>
      <c r="K5" s="21">
        <v>12</v>
      </c>
      <c r="L5" s="18" t="s">
        <v>200</v>
      </c>
      <c r="M5" s="25" t="s">
        <v>43</v>
      </c>
      <c r="N5" s="26">
        <f>ROUND(N3*(1+'밸런스 조정'!$C$17),0)</f>
        <v>8</v>
      </c>
      <c r="O5" s="26">
        <f>'밸런스 조정'!$C$23</f>
        <v>55</v>
      </c>
      <c r="P5" s="27" t="n">
        <f>'밸런스 조정'!$C$18</f>
        <v>0.16</v>
      </c>
      <c r="Q5" s="41">
        <f>'밸런스 조정'!$C$64</f>
        <v>0</v>
      </c>
      <c r="R5" s="41">
        <f>'밸런스 조정'!$C$65*IF(M5="Boss",5,IF(M5="Elite",2,1))</f>
        <v>10</v>
      </c>
    </row>
    <row r="6" spans="2:18" ht="30" customHeight="1">
      <c r="B6" s="19">
        <v>4</v>
      </c>
      <c r="C6" s="16" t="s">
        <v>197</v>
      </c>
      <c r="D6" s="16" t="s">
        <v>206</v>
      </c>
      <c r="E6" s="20">
        <v>1</v>
      </c>
      <c r="F6" s="21" t="s">
        <v>205</v>
      </c>
      <c r="G6" s="21">
        <v>2</v>
      </c>
      <c r="H6" s="21">
        <v>0</v>
      </c>
      <c r="I6" s="21">
        <v>5</v>
      </c>
      <c r="J6" s="21">
        <v>2</v>
      </c>
      <c r="K6" s="21">
        <v>12</v>
      </c>
      <c r="L6" s="18" t="s">
        <v>203</v>
      </c>
      <c r="M6" s="25" t="s">
        <v>43</v>
      </c>
      <c r="N6" s="26">
        <f>N5</f>
        <v>8</v>
      </c>
      <c r="O6" s="26">
        <f>ROUND(O5*(1+P6),0)</f>
        <v>63</v>
      </c>
      <c r="P6" s="27">
        <v>0.15</v>
      </c>
      <c r="Q6" s="41">
        <f>'밸런스 조정'!$C$64</f>
        <v>0</v>
      </c>
      <c r="R6" s="41">
        <f>'밸런스 조정'!$C$65*IF(M6="Boss",5,IF(M6="Elite",2,1))</f>
        <v>10</v>
      </c>
    </row>
    <row r="7" spans="2:18" ht="30" customHeight="1">
      <c r="B7" s="19">
        <v>5</v>
      </c>
      <c r="C7" s="16" t="s">
        <v>197</v>
      </c>
      <c r="D7" s="16" t="s">
        <v>207</v>
      </c>
      <c r="E7" s="20">
        <v>1</v>
      </c>
      <c r="F7" s="21" t="s">
        <v>208</v>
      </c>
      <c r="G7" s="21">
        <v>2.5</v>
      </c>
      <c r="H7" s="21">
        <v>8</v>
      </c>
      <c r="I7" s="21">
        <v>18</v>
      </c>
      <c r="J7" s="21">
        <v>2</v>
      </c>
      <c r="K7" s="21">
        <v>12</v>
      </c>
      <c r="L7" s="18" t="s">
        <v>200</v>
      </c>
      <c r="M7" s="25" t="s">
        <v>43</v>
      </c>
      <c r="N7" s="26">
        <f>ROUND(N5*(1+'밸런스 조정'!$C$17),0)</f>
        <v>8</v>
      </c>
      <c r="O7" s="26">
        <f>'밸런스 조정'!$C$24</f>
        <v>130</v>
      </c>
      <c r="P7" s="27" t="n">
        <f>'밸런스 조정'!$C$18</f>
        <v>0.16</v>
      </c>
      <c r="Q7" s="41">
        <f>'밸런스 조정'!$C$64</f>
        <v>0</v>
      </c>
      <c r="R7" s="41">
        <f>'밸런스 조정'!$C$65*IF(M7="Boss",5,IF(M7="Elite",2,1))</f>
        <v>10</v>
      </c>
    </row>
    <row r="8" spans="2:18" ht="30" customHeight="1">
      <c r="B8" s="19">
        <v>6</v>
      </c>
      <c r="C8" s="16" t="s">
        <v>197</v>
      </c>
      <c r="D8" s="16" t="s">
        <v>209</v>
      </c>
      <c r="E8" s="20">
        <v>1</v>
      </c>
      <c r="F8" s="21" t="s">
        <v>208</v>
      </c>
      <c r="G8" s="21">
        <v>2.5</v>
      </c>
      <c r="H8" s="21">
        <v>8</v>
      </c>
      <c r="I8" s="21">
        <v>14</v>
      </c>
      <c r="J8" s="21">
        <v>2</v>
      </c>
      <c r="K8" s="21">
        <v>12</v>
      </c>
      <c r="L8" s="18" t="s">
        <v>203</v>
      </c>
      <c r="M8" s="25" t="s">
        <v>43</v>
      </c>
      <c r="N8" s="26">
        <f>N7</f>
        <v>8</v>
      </c>
      <c r="O8" s="26">
        <f>ROUND(O7*(1+P8),0)</f>
        <v>150</v>
      </c>
      <c r="P8" s="27">
        <v>0.15</v>
      </c>
      <c r="Q8" s="41">
        <f>'밸런스 조정'!$C$64</f>
        <v>0</v>
      </c>
      <c r="R8" s="41">
        <f>'밸런스 조정'!$C$65*IF(M8="Boss",5,IF(M8="Elite",2,1))</f>
        <v>10</v>
      </c>
    </row>
    <row r="9" spans="2:18" ht="30" customHeight="1">
      <c r="B9" s="19">
        <v>7</v>
      </c>
      <c r="C9" s="16" t="s">
        <v>197</v>
      </c>
      <c r="D9" s="16" t="s">
        <v>210</v>
      </c>
      <c r="E9" s="20">
        <v>1</v>
      </c>
      <c r="F9" s="21" t="s">
        <v>205</v>
      </c>
      <c r="G9" s="21">
        <v>2</v>
      </c>
      <c r="H9" s="21">
        <v>0</v>
      </c>
      <c r="I9" s="21">
        <v>8</v>
      </c>
      <c r="J9" s="21">
        <v>2</v>
      </c>
      <c r="K9" s="21">
        <v>12</v>
      </c>
      <c r="L9" s="18" t="s">
        <v>200</v>
      </c>
      <c r="M9" s="25" t="s">
        <v>43</v>
      </c>
      <c r="N9" s="26">
        <f>ROUND(N7*(1+'밸런스 조정'!$C$17),0)</f>
        <v>8</v>
      </c>
      <c r="O9" s="26" t="n">
        <f>ROUND(O7*(1+P9),0)</f>
        <v>151</v>
      </c>
      <c r="P9" s="27" t="n">
        <f>'밸런스 조정'!$C$18</f>
        <v>0.16</v>
      </c>
      <c r="Q9" s="41">
        <f>'밸런스 조정'!$C$64</f>
        <v>0</v>
      </c>
      <c r="R9" s="41">
        <f>'밸런스 조정'!$C$65*IF(M9="Boss",5,IF(M9="Elite",2,1))</f>
        <v>10</v>
      </c>
    </row>
    <row r="10" spans="2:18" ht="30" customHeight="1">
      <c r="B10" s="19">
        <v>8</v>
      </c>
      <c r="C10" s="16" t="s">
        <v>197</v>
      </c>
      <c r="D10" s="16" t="s">
        <v>211</v>
      </c>
      <c r="E10" s="20">
        <v>1</v>
      </c>
      <c r="F10" s="21" t="s">
        <v>205</v>
      </c>
      <c r="G10" s="21">
        <v>2</v>
      </c>
      <c r="H10" s="21">
        <v>0</v>
      </c>
      <c r="I10" s="21">
        <v>5</v>
      </c>
      <c r="J10" s="21">
        <v>2</v>
      </c>
      <c r="K10" s="21">
        <v>12</v>
      </c>
      <c r="L10" s="18" t="s">
        <v>203</v>
      </c>
      <c r="M10" s="25" t="s">
        <v>43</v>
      </c>
      <c r="N10" s="26">
        <f>N9</f>
        <v>8</v>
      </c>
      <c r="O10" s="26" t="n">
        <f>ROUND(O9*(1+P10),0)</f>
        <v>174</v>
      </c>
      <c r="P10" s="27">
        <v>0.15</v>
      </c>
      <c r="Q10" s="41">
        <f>'밸런스 조정'!$C$64</f>
        <v>0</v>
      </c>
      <c r="R10" s="41">
        <f>'밸런스 조정'!$C$65*IF(M10="Boss",5,IF(M10="Elite",2,1))</f>
        <v>10</v>
      </c>
    </row>
    <row r="11" spans="2:18" ht="30" customHeight="1">
      <c r="B11" s="19">
        <v>9</v>
      </c>
      <c r="C11" s="16" t="s">
        <v>197</v>
      </c>
      <c r="D11" s="16" t="s">
        <v>212</v>
      </c>
      <c r="E11" s="20">
        <v>1</v>
      </c>
      <c r="F11" s="21" t="s">
        <v>213</v>
      </c>
      <c r="G11" s="21">
        <v>3</v>
      </c>
      <c r="H11" s="21">
        <v>4</v>
      </c>
      <c r="I11" s="21">
        <v>36</v>
      </c>
      <c r="J11" s="21">
        <v>0.45</v>
      </c>
      <c r="K11" s="21">
        <v>11.9</v>
      </c>
      <c r="L11" s="18" t="s">
        <v>200</v>
      </c>
      <c r="M11" s="25" t="s">
        <v>43</v>
      </c>
      <c r="N11" s="26">
        <f>(ROUND(N9*(1+'밸런스 조정'!$C$17),0))*0.45</f>
        <v>3.6</v>
      </c>
      <c r="O11" s="26" t="n">
        <f>ROUND(O9*(1+P11),0)</f>
        <v>175</v>
      </c>
      <c r="P11" s="27" t="n">
        <f>'밸런스 조정'!$C$18</f>
        <v>0.16</v>
      </c>
      <c r="Q11" s="41">
        <f>'밸런스 조정'!$C$64</f>
        <v>0</v>
      </c>
      <c r="R11" s="41">
        <f>'밸런스 조정'!$C$65*IF(M11="Boss",5,IF(M11="Elite",2,1))</f>
        <v>10</v>
      </c>
    </row>
    <row r="12" spans="2:18" ht="30" customHeight="1">
      <c r="B12" s="19">
        <v>10</v>
      </c>
      <c r="C12" s="16" t="s">
        <v>197</v>
      </c>
      <c r="D12" s="16" t="s">
        <v>214</v>
      </c>
      <c r="E12" s="20">
        <v>1</v>
      </c>
      <c r="F12" s="21" t="s">
        <v>213</v>
      </c>
      <c r="G12" s="21">
        <v>3</v>
      </c>
      <c r="H12" s="21">
        <v>4</v>
      </c>
      <c r="I12" s="21">
        <v>36</v>
      </c>
      <c r="J12" s="21">
        <v>0.45</v>
      </c>
      <c r="K12" s="21">
        <v>11.9</v>
      </c>
      <c r="L12" s="18" t="s">
        <v>203</v>
      </c>
      <c r="M12" s="25" t="s">
        <v>43</v>
      </c>
      <c r="N12" s="26">
        <f>N11</f>
        <v>3.6</v>
      </c>
      <c r="O12" s="26" t="n">
        <f>ROUND(O11*(1+P12),0)</f>
        <v>201</v>
      </c>
      <c r="P12" s="27">
        <v>0.15</v>
      </c>
      <c r="Q12" s="41">
        <f>'밸런스 조정'!$C$64</f>
        <v>0</v>
      </c>
      <c r="R12" s="41">
        <f>'밸런스 조정'!$C$65*IF(M12="Boss",5,IF(M12="Elite",2,1))</f>
        <v>10</v>
      </c>
    </row>
    <row r="13" spans="2:18" ht="30" customHeight="1">
      <c r="B13" s="19">
        <v>11</v>
      </c>
      <c r="C13" s="16" t="s">
        <v>197</v>
      </c>
      <c r="D13" s="16" t="s">
        <v>215</v>
      </c>
      <c r="E13" s="20">
        <v>0</v>
      </c>
      <c r="F13" s="21" t="s">
        <v>205</v>
      </c>
      <c r="G13" s="21">
        <v>2</v>
      </c>
      <c r="H13" s="21">
        <v>0</v>
      </c>
      <c r="I13" s="21">
        <v>8</v>
      </c>
      <c r="J13" s="21">
        <v>2</v>
      </c>
      <c r="K13" s="21">
        <v>12</v>
      </c>
      <c r="L13" s="18" t="s">
        <v>200</v>
      </c>
      <c r="M13" s="25" t="s">
        <v>43</v>
      </c>
      <c r="N13" s="26">
        <f>ROUND(N11*(1+'밸런스 조정'!$C$17),0)</f>
        <v>4</v>
      </c>
      <c r="O13" s="26" t="n">
        <f>ROUND(O11*(1+P13),0)</f>
        <v>203</v>
      </c>
      <c r="P13" s="27" t="n">
        <f>'밸런스 조정'!$C$18</f>
        <v>0.16</v>
      </c>
      <c r="Q13" s="41">
        <f>'밸런스 조정'!$C$64</f>
        <v>0</v>
      </c>
      <c r="R13" s="41">
        <f>'밸런스 조정'!$C$65*IF(M13="Boss",5,IF(M13="Elite",2,1))</f>
        <v>10</v>
      </c>
    </row>
    <row r="14" spans="2:18" ht="30" customHeight="1">
      <c r="B14" s="19">
        <v>12</v>
      </c>
      <c r="C14" s="16" t="s">
        <v>197</v>
      </c>
      <c r="D14" s="16" t="s">
        <v>216</v>
      </c>
      <c r="E14" s="20">
        <v>1</v>
      </c>
      <c r="F14" s="21" t="s">
        <v>205</v>
      </c>
      <c r="G14" s="21">
        <v>2</v>
      </c>
      <c r="H14" s="21">
        <v>0</v>
      </c>
      <c r="I14" s="21">
        <v>5</v>
      </c>
      <c r="J14" s="21">
        <v>2</v>
      </c>
      <c r="K14" s="21">
        <v>12</v>
      </c>
      <c r="L14" s="18" t="s">
        <v>203</v>
      </c>
      <c r="M14" s="25" t="s">
        <v>82</v>
      </c>
      <c r="N14" s="26">
        <f>N13</f>
        <v>4</v>
      </c>
      <c r="O14" s="26" t="n">
        <f>ROUND(O13*3,0)</f>
        <v>609</v>
      </c>
      <c r="P14" s="27">
        <v>0.15</v>
      </c>
      <c r="Q14" s="41">
        <f>'밸런스 조정'!$C$64</f>
        <v>0</v>
      </c>
      <c r="R14" s="41">
        <f>'밸런스 조정'!$C$65*IF(M14="Boss",5,IF(M14="Elite",2,1))</f>
        <v>50</v>
      </c>
    </row>
    <row r="15" spans="2:18" ht="30" customHeight="1">
      <c r="B15" s="19">
        <v>13</v>
      </c>
      <c r="C15" s="16" t="s">
        <v>197</v>
      </c>
      <c r="D15" s="16" t="s">
        <v>217</v>
      </c>
      <c r="E15" s="20">
        <v>1</v>
      </c>
      <c r="F15" s="21" t="s">
        <v>208</v>
      </c>
      <c r="G15" s="21">
        <v>2.5</v>
      </c>
      <c r="H15" s="21">
        <v>8</v>
      </c>
      <c r="I15" s="21">
        <v>18</v>
      </c>
      <c r="J15" s="21">
        <v>2</v>
      </c>
      <c r="K15" s="21">
        <v>12</v>
      </c>
      <c r="L15" s="18" t="s">
        <v>200</v>
      </c>
      <c r="M15" s="25" t="s">
        <v>43</v>
      </c>
      <c r="N15" s="26">
        <f>ROUND(N13*(1+'밸런스 조정'!$C$17),0)</f>
        <v>4</v>
      </c>
      <c r="O15" s="26" t="n">
        <f>ROUND(O13*(1+P15),0)</f>
        <v>235</v>
      </c>
      <c r="P15" s="27" t="n">
        <f>'밸런스 조정'!$C$18</f>
        <v>0.16</v>
      </c>
      <c r="Q15" s="41">
        <f>'밸런스 조정'!$C$64</f>
        <v>0</v>
      </c>
      <c r="R15" s="41">
        <f>'밸런스 조정'!$C$65*IF(M15="Boss",5,IF(M15="Elite",2,1))</f>
        <v>10</v>
      </c>
    </row>
    <row r="16" spans="2:18" ht="30" customHeight="1">
      <c r="B16" s="19">
        <v>14</v>
      </c>
      <c r="C16" s="16" t="s">
        <v>197</v>
      </c>
      <c r="D16" s="16" t="s">
        <v>218</v>
      </c>
      <c r="E16" s="20">
        <v>1</v>
      </c>
      <c r="F16" s="21" t="s">
        <v>208</v>
      </c>
      <c r="G16" s="21">
        <v>2.5</v>
      </c>
      <c r="H16" s="21">
        <v>8</v>
      </c>
      <c r="I16" s="21">
        <v>14</v>
      </c>
      <c r="J16" s="21">
        <v>2</v>
      </c>
      <c r="K16" s="21">
        <v>12</v>
      </c>
      <c r="L16" s="18" t="s">
        <v>203</v>
      </c>
      <c r="M16" s="25" t="s">
        <v>43</v>
      </c>
      <c r="N16" s="26">
        <f>N15</f>
        <v>4</v>
      </c>
      <c r="O16" s="26" t="n">
        <f>ROUND(O15*(1+P16),0)</f>
        <v>270</v>
      </c>
      <c r="P16" s="27">
        <v>0.15</v>
      </c>
      <c r="Q16" s="41">
        <f>'밸런스 조정'!$C$64</f>
        <v>0</v>
      </c>
      <c r="R16" s="41">
        <f>'밸런스 조정'!$C$65*IF(M16="Boss",5,IF(M16="Elite",2,1))</f>
        <v>10</v>
      </c>
    </row>
    <row r="17" spans="2:18" ht="30" customHeight="1">
      <c r="B17" s="19">
        <v>15</v>
      </c>
      <c r="C17" s="16" t="s">
        <v>197</v>
      </c>
      <c r="D17" s="16" t="s">
        <v>219</v>
      </c>
      <c r="E17" s="20">
        <v>1</v>
      </c>
      <c r="F17" s="21" t="s">
        <v>220</v>
      </c>
      <c r="G17" s="21">
        <v>0</v>
      </c>
      <c r="H17" s="21">
        <v>0</v>
      </c>
      <c r="I17" s="21">
        <v>20</v>
      </c>
      <c r="J17" s="21">
        <v>0.62</v>
      </c>
      <c r="K17" s="21">
        <v>18</v>
      </c>
      <c r="L17" s="18" t="s">
        <v>200</v>
      </c>
      <c r="M17" s="25" t="s">
        <v>81</v>
      </c>
      <c r="N17" s="26">
        <v>100</v>
      </c>
      <c r="O17" s="26" t="n">
        <f>ROUND(O15*'밸런스 조정'!$C$20,0)</f>
        <v>423</v>
      </c>
      <c r="P17" s="27"/>
      <c r="Q17" s="41">
        <f>'밸런스 조정'!$C$64</f>
        <v>0</v>
      </c>
      <c r="R17" s="41">
        <f>'밸런스 조정'!$C$65*IF(M17="Boss",5,IF(M17="Elite",2,1))</f>
        <v>20</v>
      </c>
    </row>
    <row r="18" spans="2:18" ht="30" customHeight="1">
      <c r="B18" s="19">
        <v>16</v>
      </c>
      <c r="C18" s="16" t="s">
        <v>197</v>
      </c>
      <c r="D18" s="16" t="s">
        <v>221</v>
      </c>
      <c r="E18" s="20">
        <v>1</v>
      </c>
      <c r="F18" s="21" t="s">
        <v>220</v>
      </c>
      <c r="G18" s="21">
        <v>0</v>
      </c>
      <c r="H18" s="21">
        <v>0</v>
      </c>
      <c r="I18" s="21">
        <v>20</v>
      </c>
      <c r="J18" s="21">
        <v>0.62</v>
      </c>
      <c r="K18" s="21">
        <v>18</v>
      </c>
      <c r="L18" s="18" t="s">
        <v>203</v>
      </c>
      <c r="M18" s="25" t="s">
        <v>81</v>
      </c>
      <c r="N18" s="26">
        <v>100</v>
      </c>
      <c r="O18" s="26" t="n">
        <f>ROUND(O17*(1+P18),0)</f>
        <v>486</v>
      </c>
      <c r="P18" s="27">
        <v>0.15</v>
      </c>
      <c r="Q18" s="41">
        <f>'밸런스 조정'!$C$64</f>
        <v>0</v>
      </c>
      <c r="R18" s="41">
        <f>'밸런스 조정'!$C$65*IF(M18="Boss",5,IF(M18="Elite",2,1))</f>
        <v>20</v>
      </c>
    </row>
    <row r="19" spans="2:18" ht="30" customHeight="1">
      <c r="B19" s="19">
        <v>17</v>
      </c>
      <c r="C19" s="16" t="s">
        <v>197</v>
      </c>
      <c r="D19" s="16" t="s">
        <v>222</v>
      </c>
      <c r="E19" s="20">
        <v>1</v>
      </c>
      <c r="F19" s="21" t="s">
        <v>205</v>
      </c>
      <c r="G19" s="21">
        <v>2</v>
      </c>
      <c r="H19" s="21">
        <v>0</v>
      </c>
      <c r="I19" s="21">
        <v>8</v>
      </c>
      <c r="J19" s="21">
        <v>2</v>
      </c>
      <c r="K19" s="21">
        <v>12</v>
      </c>
      <c r="L19" s="18" t="s">
        <v>200</v>
      </c>
      <c r="M19" s="25" t="s">
        <v>43</v>
      </c>
      <c r="N19" s="26">
        <f>ROUND(N15*(1+'밸런스 조정'!$C$17),0)</f>
        <v>4</v>
      </c>
      <c r="O19" s="26" t="n">
        <f>ROUND(O15*(1+P19),0)</f>
        <v>273</v>
      </c>
      <c r="P19" s="27" t="n">
        <f>'밸런스 조정'!$C$18</f>
        <v>0.16</v>
      </c>
      <c r="Q19" s="41">
        <f>'밸런스 조정'!$C$64</f>
        <v>0</v>
      </c>
      <c r="R19" s="41">
        <f>'밸런스 조정'!$C$65*IF(M19="Boss",5,IF(M19="Elite",2,1))</f>
        <v>10</v>
      </c>
    </row>
    <row r="20" spans="2:18" ht="30" customHeight="1">
      <c r="B20" s="19">
        <v>18</v>
      </c>
      <c r="C20" s="16" t="s">
        <v>197</v>
      </c>
      <c r="D20" s="16" t="s">
        <v>223</v>
      </c>
      <c r="E20" s="20">
        <v>1</v>
      </c>
      <c r="F20" s="21" t="s">
        <v>205</v>
      </c>
      <c r="G20" s="21">
        <v>2</v>
      </c>
      <c r="H20" s="21">
        <v>0</v>
      </c>
      <c r="I20" s="21">
        <v>5</v>
      </c>
      <c r="J20" s="21">
        <v>2</v>
      </c>
      <c r="K20" s="21">
        <v>12</v>
      </c>
      <c r="L20" s="18" t="s">
        <v>203</v>
      </c>
      <c r="M20" s="25" t="s">
        <v>43</v>
      </c>
      <c r="N20" s="26">
        <f>N19</f>
        <v>4</v>
      </c>
      <c r="O20" s="26" t="n">
        <f>ROUND(O19*(1+P20),0)</f>
        <v>314</v>
      </c>
      <c r="P20" s="27">
        <v>0.15</v>
      </c>
      <c r="Q20" s="41">
        <f>'밸런스 조정'!$C$64</f>
        <v>0</v>
      </c>
      <c r="R20" s="41">
        <f>'밸런스 조정'!$C$65*IF(M20="Boss",5,IF(M20="Elite",2,1))</f>
        <v>10</v>
      </c>
    </row>
    <row r="21" spans="2:18" ht="30" customHeight="1">
      <c r="B21" s="19">
        <v>19</v>
      </c>
      <c r="C21" s="16" t="s">
        <v>197</v>
      </c>
      <c r="D21" s="16" t="s">
        <v>224</v>
      </c>
      <c r="E21" s="20">
        <v>1</v>
      </c>
      <c r="F21" s="21" t="s">
        <v>208</v>
      </c>
      <c r="G21" s="21">
        <v>1.4</v>
      </c>
      <c r="H21" s="21">
        <v>2</v>
      </c>
      <c r="I21" s="21">
        <v>18</v>
      </c>
      <c r="J21" s="21">
        <v>2</v>
      </c>
      <c r="K21" s="21">
        <v>12</v>
      </c>
      <c r="L21" s="18" t="s">
        <v>200</v>
      </c>
      <c r="M21" s="25" t="s">
        <v>43</v>
      </c>
      <c r="N21" s="26">
        <f>ROUND(N19*(1+'밸런스 조정'!$C$17),0)</f>
        <v>4</v>
      </c>
      <c r="O21" s="26" t="n">
        <f>ROUND(O19*(1+P21),0)</f>
        <v>317</v>
      </c>
      <c r="P21" s="27" t="n">
        <f>'밸런스 조정'!$C$18</f>
        <v>0.16</v>
      </c>
      <c r="Q21" s="41">
        <f>'밸런스 조정'!$C$64</f>
        <v>0</v>
      </c>
      <c r="R21" s="41">
        <f>'밸런스 조정'!$C$65*IF(M21="Boss",5,IF(M21="Elite",2,1))</f>
        <v>10</v>
      </c>
    </row>
    <row r="22" spans="2:18" ht="30" customHeight="1">
      <c r="B22" s="19">
        <v>20</v>
      </c>
      <c r="C22" s="16" t="s">
        <v>197</v>
      </c>
      <c r="D22" s="16" t="s">
        <v>225</v>
      </c>
      <c r="E22" s="20">
        <v>1</v>
      </c>
      <c r="F22" s="21" t="s">
        <v>208</v>
      </c>
      <c r="G22" s="21">
        <v>1.4</v>
      </c>
      <c r="H22" s="21">
        <v>2</v>
      </c>
      <c r="I22" s="21">
        <v>14</v>
      </c>
      <c r="J22" s="21">
        <v>2</v>
      </c>
      <c r="K22" s="21">
        <v>12</v>
      </c>
      <c r="L22" s="18" t="s">
        <v>203</v>
      </c>
      <c r="M22" s="25" t="s">
        <v>43</v>
      </c>
      <c r="N22" s="26">
        <f>N21</f>
        <v>4</v>
      </c>
      <c r="O22" s="26" t="n">
        <f>ROUND(O21*(1+P22),0)</f>
        <v>365</v>
      </c>
      <c r="P22" s="27">
        <v>0.15</v>
      </c>
      <c r="Q22" s="41">
        <f>'밸런스 조정'!$C$64</f>
        <v>0</v>
      </c>
      <c r="R22" s="41">
        <f>'밸런스 조정'!$C$65*IF(M22="Boss",5,IF(M22="Elite",2,1))</f>
        <v>10</v>
      </c>
    </row>
    <row r="23" spans="2:18" ht="30" customHeight="1">
      <c r="B23" s="19">
        <v>21</v>
      </c>
      <c r="C23" s="16" t="s">
        <v>197</v>
      </c>
      <c r="D23" s="16" t="s">
        <v>226</v>
      </c>
      <c r="E23" s="20">
        <v>1</v>
      </c>
      <c r="F23" s="21" t="s">
        <v>205</v>
      </c>
      <c r="G23" s="21">
        <v>2</v>
      </c>
      <c r="H23" s="21">
        <v>0</v>
      </c>
      <c r="I23" s="21">
        <v>8</v>
      </c>
      <c r="J23" s="21">
        <v>2</v>
      </c>
      <c r="K23" s="21">
        <v>12</v>
      </c>
      <c r="L23" s="18" t="s">
        <v>200</v>
      </c>
      <c r="M23" s="25" t="s">
        <v>43</v>
      </c>
      <c r="N23" s="26">
        <f>ROUND(N21*(1+'밸런스 조정'!$C$17),0)</f>
        <v>4</v>
      </c>
      <c r="O23" s="26" t="n">
        <f>ROUND(O21*(1+P23),0)</f>
        <v>368</v>
      </c>
      <c r="P23" s="27" t="n">
        <f>'밸런스 조정'!$C$18</f>
        <v>0.16</v>
      </c>
      <c r="Q23" s="41">
        <f>'밸런스 조정'!$C$64</f>
        <v>0</v>
      </c>
      <c r="R23" s="41">
        <f>'밸런스 조정'!$C$65*IF(M23="Boss",5,IF(M23="Elite",2,1))</f>
        <v>10</v>
      </c>
    </row>
    <row r="24" spans="2:18" ht="30" customHeight="1">
      <c r="B24" s="19">
        <v>22</v>
      </c>
      <c r="C24" s="16" t="s">
        <v>197</v>
      </c>
      <c r="D24" s="16" t="s">
        <v>227</v>
      </c>
      <c r="E24" s="20">
        <v>1</v>
      </c>
      <c r="F24" s="21" t="s">
        <v>205</v>
      </c>
      <c r="G24" s="21">
        <v>2</v>
      </c>
      <c r="H24" s="21">
        <v>0</v>
      </c>
      <c r="I24" s="21">
        <v>5</v>
      </c>
      <c r="J24" s="21">
        <v>2</v>
      </c>
      <c r="K24" s="21">
        <v>12</v>
      </c>
      <c r="L24" s="18" t="s">
        <v>203</v>
      </c>
      <c r="M24" s="25" t="s">
        <v>43</v>
      </c>
      <c r="N24" s="26">
        <f>N23</f>
        <v>4</v>
      </c>
      <c r="O24" s="26" t="n">
        <f>ROUND(O23*(1+P24),0)</f>
        <v>423</v>
      </c>
      <c r="P24" s="27">
        <v>0.15</v>
      </c>
      <c r="Q24" s="41">
        <f>'밸런스 조정'!$C$64</f>
        <v>0</v>
      </c>
      <c r="R24" s="41">
        <f>'밸런스 조정'!$C$65*IF(M24="Boss",5,IF(M24="Elite",2,1))</f>
        <v>10</v>
      </c>
    </row>
    <row r="25" spans="2:18" ht="30" customHeight="1">
      <c r="B25" s="19">
        <v>23</v>
      </c>
      <c r="C25" s="16" t="s">
        <v>197</v>
      </c>
      <c r="D25" s="16" t="s">
        <v>228</v>
      </c>
      <c r="E25" s="20">
        <v>1</v>
      </c>
      <c r="F25" s="21" t="s">
        <v>220</v>
      </c>
      <c r="G25" s="21">
        <v>0</v>
      </c>
      <c r="H25" s="21">
        <v>0</v>
      </c>
      <c r="I25" s="21">
        <v>16</v>
      </c>
      <c r="J25" s="21">
        <v>0.62</v>
      </c>
      <c r="K25" s="21">
        <v>18</v>
      </c>
      <c r="L25" s="18" t="s">
        <v>200</v>
      </c>
      <c r="M25" s="25" t="s">
        <v>81</v>
      </c>
      <c r="N25" s="26">
        <v>100</v>
      </c>
      <c r="O25" s="26" t="n">
        <f>ROUND(O23*'밸런스 조정'!$C$20,0)</f>
        <v>662</v>
      </c>
      <c r="P25" s="27"/>
      <c r="Q25" s="41">
        <f>'밸런스 조정'!$C$64</f>
        <v>0</v>
      </c>
      <c r="R25" s="41">
        <f>'밸런스 조정'!$C$65*IF(M25="Boss",5,IF(M25="Elite",2,1))</f>
        <v>20</v>
      </c>
    </row>
    <row r="26" spans="2:18" ht="30" customHeight="1">
      <c r="B26" s="19">
        <v>24</v>
      </c>
      <c r="C26" s="16" t="s">
        <v>197</v>
      </c>
      <c r="D26" s="16" t="s">
        <v>229</v>
      </c>
      <c r="E26" s="20">
        <v>1</v>
      </c>
      <c r="F26" s="21" t="s">
        <v>220</v>
      </c>
      <c r="G26" s="21">
        <v>0</v>
      </c>
      <c r="H26" s="21">
        <v>0</v>
      </c>
      <c r="I26" s="21">
        <v>16</v>
      </c>
      <c r="J26" s="21">
        <v>0.62</v>
      </c>
      <c r="K26" s="21">
        <v>18</v>
      </c>
      <c r="L26" s="18" t="s">
        <v>203</v>
      </c>
      <c r="M26" s="25" t="s">
        <v>81</v>
      </c>
      <c r="N26" s="26">
        <v>100</v>
      </c>
      <c r="O26" s="26" t="n">
        <f>ROUND(O25*(1+P26),0)</f>
        <v>761</v>
      </c>
      <c r="P26" s="27">
        <v>0.15</v>
      </c>
      <c r="Q26" s="41">
        <f>'밸런스 조정'!$C$64</f>
        <v>0</v>
      </c>
      <c r="R26" s="41">
        <f>'밸런스 조정'!$C$65*IF(M26="Boss",5,IF(M26="Elite",2,1))</f>
        <v>20</v>
      </c>
    </row>
    <row r="27" spans="2:18" ht="30" customHeight="1">
      <c r="B27" s="19">
        <v>25</v>
      </c>
      <c r="C27" s="16" t="s">
        <v>197</v>
      </c>
      <c r="D27" s="16" t="s">
        <v>230</v>
      </c>
      <c r="E27" s="20">
        <v>1</v>
      </c>
      <c r="F27" s="21" t="s">
        <v>205</v>
      </c>
      <c r="G27" s="21">
        <v>2</v>
      </c>
      <c r="H27" s="21">
        <v>0</v>
      </c>
      <c r="I27" s="21">
        <v>8</v>
      </c>
      <c r="J27" s="21">
        <v>2</v>
      </c>
      <c r="K27" s="21">
        <v>12</v>
      </c>
      <c r="L27" s="18" t="s">
        <v>200</v>
      </c>
      <c r="M27" s="25" t="s">
        <v>43</v>
      </c>
      <c r="N27" s="26">
        <f>ROUND(N23*(1+'밸런스 조정'!$C$17),0)</f>
        <v>4</v>
      </c>
      <c r="O27" s="26" t="n">
        <f>ROUND(O23*(1+P27),0)</f>
        <v>427</v>
      </c>
      <c r="P27" s="27" t="n">
        <f>'밸런스 조정'!$C$18</f>
        <v>0.16</v>
      </c>
      <c r="Q27" s="41">
        <f>'밸런스 조정'!$C$64</f>
        <v>0</v>
      </c>
      <c r="R27" s="41">
        <f>'밸런스 조정'!$C$65*IF(M27="Boss",5,IF(M27="Elite",2,1))</f>
        <v>10</v>
      </c>
    </row>
    <row r="28" spans="2:18" ht="30" customHeight="1">
      <c r="B28" s="19">
        <v>26</v>
      </c>
      <c r="C28" s="16" t="s">
        <v>197</v>
      </c>
      <c r="D28" s="16" t="s">
        <v>231</v>
      </c>
      <c r="E28" s="20">
        <v>1</v>
      </c>
      <c r="F28" s="21" t="s">
        <v>205</v>
      </c>
      <c r="G28" s="21">
        <v>2</v>
      </c>
      <c r="H28" s="21">
        <v>0</v>
      </c>
      <c r="I28" s="21">
        <v>5</v>
      </c>
      <c r="J28" s="21">
        <v>2</v>
      </c>
      <c r="K28" s="21">
        <v>12</v>
      </c>
      <c r="L28" s="18" t="s">
        <v>203</v>
      </c>
      <c r="M28" s="25" t="s">
        <v>43</v>
      </c>
      <c r="N28" s="26">
        <f>N27</f>
        <v>4</v>
      </c>
      <c r="O28" s="26" t="n">
        <f>ROUND(O27*(1+P28),0)</f>
        <v>491</v>
      </c>
      <c r="P28" s="27">
        <v>0.15</v>
      </c>
      <c r="Q28" s="41">
        <f>'밸런스 조정'!$C$64</f>
        <v>0</v>
      </c>
      <c r="R28" s="41">
        <f>'밸런스 조정'!$C$65*IF(M28="Boss",5,IF(M28="Elite",2,1))</f>
        <v>10</v>
      </c>
    </row>
    <row r="29" spans="2:18" ht="30" customHeight="1">
      <c r="B29" s="19">
        <v>27</v>
      </c>
      <c r="C29" s="16" t="s">
        <v>197</v>
      </c>
      <c r="D29" s="16" t="s">
        <v>232</v>
      </c>
      <c r="E29" s="20">
        <v>1</v>
      </c>
      <c r="F29" s="21" t="s">
        <v>205</v>
      </c>
      <c r="G29" s="21">
        <v>2</v>
      </c>
      <c r="H29" s="21">
        <v>0</v>
      </c>
      <c r="I29" s="21">
        <v>8</v>
      </c>
      <c r="J29" s="21">
        <v>2</v>
      </c>
      <c r="K29" s="21">
        <v>12</v>
      </c>
      <c r="L29" s="18" t="s">
        <v>200</v>
      </c>
      <c r="M29" s="25" t="s">
        <v>43</v>
      </c>
      <c r="N29" s="26">
        <f>ROUND(N27*(1+'밸런스 조정'!$C$17),0)</f>
        <v>4</v>
      </c>
      <c r="O29" s="26" t="n">
        <f>ROUND(O27*(1+P29),0)</f>
        <v>495</v>
      </c>
      <c r="P29" s="27" t="n">
        <f>'밸런스 조정'!$C$18</f>
        <v>0.16</v>
      </c>
      <c r="Q29" s="41">
        <f>'밸런스 조정'!$C$64</f>
        <v>0</v>
      </c>
      <c r="R29" s="41">
        <f>'밸런스 조정'!$C$65*IF(M29="Boss",5,IF(M29="Elite",2,1))</f>
        <v>10</v>
      </c>
    </row>
    <row r="30" spans="2:18">
      <c r="B30">
        <v>28</v>
      </c>
      <c r="C30" t="s">
        <v>197</v>
      </c>
      <c r="D30" t="s">
        <v>233</v>
      </c>
      <c r="E30">
        <v>1</v>
      </c>
      <c r="F30" t="s">
        <v>205</v>
      </c>
      <c r="G30">
        <v>2</v>
      </c>
      <c r="H30">
        <v>0</v>
      </c>
      <c r="I30">
        <v>5</v>
      </c>
      <c r="J30">
        <v>2</v>
      </c>
      <c r="K30">
        <v>12</v>
      </c>
      <c r="L30" t="s">
        <v>203</v>
      </c>
      <c r="M30" t="s">
        <v>43</v>
      </c>
      <c r="N30">
        <f>N29</f>
        <v>4</v>
      </c>
      <c r="O30" t="n">
        <f>ROUND(O29*(1+P30),0)</f>
        <v>569</v>
      </c>
      <c r="P30">
        <v>0.15</v>
      </c>
      <c r="Q30" s="41">
        <f>'밸런스 조정'!$C$64</f>
        <v>0</v>
      </c>
      <c r="R30" s="41">
        <f>'밸런스 조정'!$C$65*IF(M30="Boss",5,IF(M30="Elite",2,1))</f>
        <v>10</v>
      </c>
    </row>
    <row r="31" spans="2:18">
      <c r="B31">
        <v>29</v>
      </c>
      <c r="C31" t="s">
        <v>197</v>
      </c>
      <c r="D31" t="s">
        <v>234</v>
      </c>
      <c r="E31">
        <v>1</v>
      </c>
      <c r="F31" t="s">
        <v>208</v>
      </c>
      <c r="G31">
        <v>2.5</v>
      </c>
      <c r="H31">
        <v>8</v>
      </c>
      <c r="I31">
        <v>18</v>
      </c>
      <c r="J31">
        <v>2</v>
      </c>
      <c r="K31">
        <v>12</v>
      </c>
      <c r="L31" t="s">
        <v>200</v>
      </c>
      <c r="M31" t="s">
        <v>43</v>
      </c>
      <c r="N31">
        <f>ROUND(N29*(1+'밸런스 조정'!$C$17),0)</f>
        <v>4</v>
      </c>
      <c r="O31" t="n">
        <f>ROUND(O29*(1+P31),0)</f>
        <v>574</v>
      </c>
      <c r="P31" t="n">
        <f>'밸런스 조정'!$C$18</f>
        <v>0.16</v>
      </c>
      <c r="Q31" s="41">
        <f>'밸런스 조정'!$C$64</f>
        <v>0</v>
      </c>
      <c r="R31" s="41">
        <f>'밸런스 조정'!$C$65*IF(M31="Boss",5,IF(M31="Elite",2,1))</f>
        <v>10</v>
      </c>
    </row>
    <row r="32" spans="2:18">
      <c r="B32">
        <v>30</v>
      </c>
      <c r="C32" t="s">
        <v>197</v>
      </c>
      <c r="D32" t="s">
        <v>235</v>
      </c>
      <c r="E32">
        <v>1</v>
      </c>
      <c r="F32" t="s">
        <v>208</v>
      </c>
      <c r="G32">
        <v>2.5</v>
      </c>
      <c r="H32">
        <v>8</v>
      </c>
      <c r="I32">
        <v>14</v>
      </c>
      <c r="J32">
        <v>2</v>
      </c>
      <c r="K32">
        <v>12</v>
      </c>
      <c r="L32" t="s">
        <v>203</v>
      </c>
      <c r="M32" t="s">
        <v>43</v>
      </c>
      <c r="N32">
        <f>N31</f>
        <v>4</v>
      </c>
      <c r="O32" t="n">
        <f>ROUND(O31*(1+P32),0)</f>
        <v>660</v>
      </c>
      <c r="P32">
        <v>0.15</v>
      </c>
      <c r="Q32" s="41">
        <f>'밸런스 조정'!$C$64</f>
        <v>0</v>
      </c>
      <c r="R32" s="41">
        <f>'밸런스 조정'!$C$65*IF(M32="Boss",5,IF(M32="Elite",2,1))</f>
        <v>10</v>
      </c>
    </row>
    <row r="33" spans="2:18">
      <c r="B33">
        <v>31</v>
      </c>
      <c r="C33" t="s">
        <v>197</v>
      </c>
      <c r="D33" t="s">
        <v>236</v>
      </c>
      <c r="E33">
        <v>1</v>
      </c>
      <c r="F33" t="s">
        <v>205</v>
      </c>
      <c r="G33">
        <v>2</v>
      </c>
      <c r="H33">
        <v>0</v>
      </c>
      <c r="I33">
        <v>8</v>
      </c>
      <c r="J33">
        <v>2</v>
      </c>
      <c r="K33">
        <v>12</v>
      </c>
      <c r="L33" t="s">
        <v>200</v>
      </c>
      <c r="M33" t="s">
        <v>43</v>
      </c>
      <c r="N33">
        <f>ROUND(N31*(1+'밸런스 조정'!$C$17),0)</f>
        <v>4</v>
      </c>
      <c r="O33" t="n">
        <f>ROUND(O31*(1+P33),0)</f>
        <v>666</v>
      </c>
      <c r="P33" t="n">
        <f>'밸런스 조정'!$C$18</f>
        <v>0.16</v>
      </c>
      <c r="Q33" s="41">
        <f>'밸런스 조정'!$C$64</f>
        <v>0</v>
      </c>
      <c r="R33" s="41">
        <f>'밸런스 조정'!$C$65*IF(M33="Boss",5,IF(M33="Elite",2,1))</f>
        <v>10</v>
      </c>
    </row>
    <row r="34" spans="2:18">
      <c r="B34">
        <v>32</v>
      </c>
      <c r="C34" t="s">
        <v>197</v>
      </c>
      <c r="D34" t="s">
        <v>237</v>
      </c>
      <c r="E34">
        <v>1</v>
      </c>
      <c r="F34" t="s">
        <v>205</v>
      </c>
      <c r="G34">
        <v>2</v>
      </c>
      <c r="H34">
        <v>0</v>
      </c>
      <c r="I34">
        <v>5</v>
      </c>
      <c r="J34">
        <v>2</v>
      </c>
      <c r="K34">
        <v>12</v>
      </c>
      <c r="L34" t="s">
        <v>203</v>
      </c>
      <c r="M34" t="s">
        <v>43</v>
      </c>
      <c r="N34">
        <f>N33</f>
        <v>4</v>
      </c>
      <c r="O34" t="n">
        <f>ROUND(O33*(1+P34),0)</f>
        <v>766</v>
      </c>
      <c r="P34">
        <v>0.15</v>
      </c>
      <c r="Q34" s="41">
        <f>'밸런스 조정'!$C$64</f>
        <v>0</v>
      </c>
      <c r="R34" s="41">
        <f>'밸런스 조정'!$C$65*IF(M34="Boss",5,IF(M34="Elite",2,1))</f>
        <v>10</v>
      </c>
    </row>
    <row r="35" spans="2:18">
      <c r="B35">
        <v>33</v>
      </c>
      <c r="C35" t="s">
        <v>197</v>
      </c>
      <c r="D35" t="s">
        <v>238</v>
      </c>
      <c r="E35">
        <v>1</v>
      </c>
      <c r="F35" t="s">
        <v>213</v>
      </c>
      <c r="G35">
        <v>3</v>
      </c>
      <c r="H35">
        <v>8</v>
      </c>
      <c r="I35">
        <v>16</v>
      </c>
      <c r="J35">
        <v>0.45</v>
      </c>
      <c r="K35">
        <v>11.9</v>
      </c>
      <c r="L35" t="s">
        <v>200</v>
      </c>
      <c r="M35" t="s">
        <v>43</v>
      </c>
      <c r="N35">
        <f>(ROUND(N33*(1+'밸런스 조정'!$C$17),0))*0.45</f>
        <v>1.8</v>
      </c>
      <c r="O35" t="n">
        <f>ROUND(O33*(1+P35),0)</f>
        <v>773</v>
      </c>
      <c r="P35" t="n">
        <f>'밸런스 조정'!$C$18</f>
        <v>0.16</v>
      </c>
      <c r="Q35" s="41">
        <f>'밸런스 조정'!$C$64</f>
        <v>0</v>
      </c>
      <c r="R35" s="41">
        <f>'밸런스 조정'!$C$65*IF(M35="Boss",5,IF(M35="Elite",2,1))</f>
        <v>10</v>
      </c>
    </row>
    <row r="36" spans="2:18">
      <c r="B36">
        <v>34</v>
      </c>
      <c r="C36" t="s">
        <v>197</v>
      </c>
      <c r="D36" t="s">
        <v>239</v>
      </c>
      <c r="E36">
        <v>1</v>
      </c>
      <c r="F36" t="s">
        <v>213</v>
      </c>
      <c r="G36">
        <v>3</v>
      </c>
      <c r="H36">
        <v>8</v>
      </c>
      <c r="I36">
        <v>12</v>
      </c>
      <c r="J36">
        <v>0.45</v>
      </c>
      <c r="K36">
        <v>11.9</v>
      </c>
      <c r="L36" t="s">
        <v>203</v>
      </c>
      <c r="M36" t="s">
        <v>43</v>
      </c>
      <c r="N36">
        <f>N35</f>
        <v>1.8</v>
      </c>
      <c r="O36" t="n">
        <f>ROUND(O35*(1+P36),0)</f>
        <v>889</v>
      </c>
      <c r="P36">
        <v>0.15</v>
      </c>
      <c r="Q36" s="41">
        <f>'밸런스 조정'!$C$64</f>
        <v>0</v>
      </c>
      <c r="R36" s="41">
        <f>'밸런스 조정'!$C$65*IF(M36="Boss",5,IF(M36="Elite",2,1))</f>
        <v>10</v>
      </c>
    </row>
    <row r="37" spans="2:18">
      <c r="B37">
        <v>35</v>
      </c>
      <c r="C37" t="s">
        <v>197</v>
      </c>
      <c r="D37" t="s">
        <v>240</v>
      </c>
      <c r="E37">
        <v>1</v>
      </c>
      <c r="F37" t="s">
        <v>205</v>
      </c>
      <c r="G37">
        <v>2</v>
      </c>
      <c r="H37">
        <v>0</v>
      </c>
      <c r="I37">
        <v>8</v>
      </c>
      <c r="J37">
        <v>2</v>
      </c>
      <c r="K37">
        <v>12</v>
      </c>
      <c r="L37" t="s">
        <v>200</v>
      </c>
      <c r="M37" t="s">
        <v>43</v>
      </c>
      <c r="N37">
        <f>ROUND(N35*(1+'밸런스 조정'!$C$17),0)</f>
        <v>2</v>
      </c>
      <c r="O37" t="n">
        <f>ROUND(O35*(1+P37),0)</f>
        <v>897</v>
      </c>
      <c r="P37" t="n">
        <f>'밸런스 조정'!$C$18</f>
        <v>0.16</v>
      </c>
      <c r="Q37" s="41">
        <f>'밸런스 조정'!$C$64</f>
        <v>0</v>
      </c>
      <c r="R37" s="41">
        <f>'밸런스 조정'!$C$65*IF(M37="Boss",5,IF(M37="Elite",2,1))</f>
        <v>10</v>
      </c>
    </row>
    <row r="38" spans="2:18">
      <c r="B38">
        <v>36</v>
      </c>
      <c r="C38" t="s">
        <v>197</v>
      </c>
      <c r="D38" t="s">
        <v>241</v>
      </c>
      <c r="E38">
        <v>1</v>
      </c>
      <c r="F38" t="s">
        <v>205</v>
      </c>
      <c r="G38">
        <v>2</v>
      </c>
      <c r="H38">
        <v>0</v>
      </c>
      <c r="I38">
        <v>5</v>
      </c>
      <c r="J38">
        <v>2</v>
      </c>
      <c r="K38">
        <v>12</v>
      </c>
      <c r="L38" t="s">
        <v>203</v>
      </c>
      <c r="M38" t="s">
        <v>43</v>
      </c>
      <c r="N38">
        <f>N37</f>
        <v>2</v>
      </c>
      <c r="O38" t="n">
        <f>ROUND(O37*(1+P38),0)</f>
        <v>1032</v>
      </c>
      <c r="P38">
        <v>0.15</v>
      </c>
      <c r="Q38" s="41">
        <f>'밸런스 조정'!$C$64</f>
        <v>0</v>
      </c>
      <c r="R38" s="41">
        <f>'밸런스 조정'!$C$65*IF(M38="Boss",5,IF(M38="Elite",2,1))</f>
        <v>10</v>
      </c>
    </row>
    <row r="39" spans="2:18">
      <c r="B39">
        <v>37</v>
      </c>
      <c r="C39" t="s">
        <v>197</v>
      </c>
      <c r="D39" t="s">
        <v>242</v>
      </c>
      <c r="E39">
        <v>1</v>
      </c>
      <c r="F39" t="s">
        <v>208</v>
      </c>
      <c r="G39">
        <v>1.4</v>
      </c>
      <c r="H39">
        <v>2</v>
      </c>
      <c r="I39">
        <v>18</v>
      </c>
      <c r="J39">
        <v>2</v>
      </c>
      <c r="K39">
        <v>12</v>
      </c>
      <c r="L39" t="s">
        <v>200</v>
      </c>
      <c r="M39" t="s">
        <v>43</v>
      </c>
      <c r="N39">
        <f>ROUND(N37*(1+'밸런스 조정'!$C$17),0)</f>
        <v>2</v>
      </c>
      <c r="O39" t="n">
        <f>ROUND(O37*(1+P39),0)</f>
        <v>1041</v>
      </c>
      <c r="P39" t="n">
        <f>'밸런스 조정'!$C$18</f>
        <v>0.16</v>
      </c>
      <c r="Q39" s="41">
        <f>'밸런스 조정'!$C$64</f>
        <v>0</v>
      </c>
      <c r="R39" s="41">
        <f>'밸런스 조정'!$C$65*IF(M39="Boss",5,IF(M39="Elite",2,1))</f>
        <v>10</v>
      </c>
    </row>
    <row r="40" spans="2:18">
      <c r="B40">
        <v>38</v>
      </c>
      <c r="C40" t="s">
        <v>197</v>
      </c>
      <c r="D40" t="s">
        <v>243</v>
      </c>
      <c r="E40">
        <v>1</v>
      </c>
      <c r="F40" t="s">
        <v>208</v>
      </c>
      <c r="G40">
        <v>1.4</v>
      </c>
      <c r="H40">
        <v>2</v>
      </c>
      <c r="I40">
        <v>14</v>
      </c>
      <c r="J40">
        <v>2</v>
      </c>
      <c r="K40">
        <v>12</v>
      </c>
      <c r="L40" t="s">
        <v>203</v>
      </c>
      <c r="M40" t="s">
        <v>43</v>
      </c>
      <c r="N40">
        <f>N39</f>
        <v>2</v>
      </c>
      <c r="O40" t="n">
        <f>ROUND(O39*(1+P40),0)</f>
        <v>1197</v>
      </c>
      <c r="P40">
        <v>0.15</v>
      </c>
      <c r="Q40" s="41">
        <f>'밸런스 조정'!$C$64</f>
        <v>0</v>
      </c>
      <c r="R40" s="41">
        <f>'밸런스 조정'!$C$65*IF(M40="Boss",5,IF(M40="Elite",2,1))</f>
        <v>10</v>
      </c>
    </row>
    <row r="41" spans="2:18">
      <c r="B41">
        <v>39</v>
      </c>
      <c r="C41" t="s">
        <v>197</v>
      </c>
      <c r="D41" t="s">
        <v>244</v>
      </c>
      <c r="E41">
        <v>1</v>
      </c>
      <c r="F41" t="s">
        <v>205</v>
      </c>
      <c r="G41">
        <v>2</v>
      </c>
      <c r="H41">
        <v>0</v>
      </c>
      <c r="I41">
        <v>8</v>
      </c>
      <c r="J41">
        <v>2</v>
      </c>
      <c r="K41">
        <v>12</v>
      </c>
      <c r="L41" t="s">
        <v>200</v>
      </c>
      <c r="M41" t="s">
        <v>43</v>
      </c>
      <c r="N41">
        <f>ROUND(N39*(1+'밸런스 조정'!$C$17),0)</f>
        <v>2</v>
      </c>
      <c r="O41" t="n">
        <f>ROUND(O39*(1+P41),0)</f>
        <v>1208</v>
      </c>
      <c r="P41" t="n">
        <f>'밸런스 조정'!$C$18</f>
        <v>0.16</v>
      </c>
      <c r="Q41" s="41">
        <f>'밸런스 조정'!$C$64</f>
        <v>0</v>
      </c>
      <c r="R41" s="41">
        <f>'밸런스 조정'!$C$65*IF(M41="Boss",5,IF(M41="Elite",2,1))</f>
        <v>10</v>
      </c>
    </row>
    <row r="42" spans="2:18">
      <c r="B42">
        <v>40</v>
      </c>
      <c r="C42" t="s">
        <v>197</v>
      </c>
      <c r="D42" t="s">
        <v>245</v>
      </c>
      <c r="E42">
        <v>1</v>
      </c>
      <c r="F42" t="s">
        <v>205</v>
      </c>
      <c r="G42">
        <v>2</v>
      </c>
      <c r="H42">
        <v>0</v>
      </c>
      <c r="I42">
        <v>5</v>
      </c>
      <c r="J42">
        <v>2</v>
      </c>
      <c r="K42">
        <v>12</v>
      </c>
      <c r="L42" t="s">
        <v>203</v>
      </c>
      <c r="M42" t="s">
        <v>43</v>
      </c>
      <c r="N42">
        <f>N41</f>
        <v>2</v>
      </c>
      <c r="O42" t="n">
        <f>ROUND(O41*(1+P42),0)</f>
        <v>1389</v>
      </c>
      <c r="P42">
        <v>0.15</v>
      </c>
      <c r="Q42" s="41">
        <f>'밸런스 조정'!$C$64</f>
        <v>0</v>
      </c>
      <c r="R42" s="41">
        <f>'밸런스 조정'!$C$65*IF(M42="Boss",5,IF(M42="Elite",2,1))</f>
        <v>10</v>
      </c>
    </row>
    <row r="43" spans="2:18">
      <c r="B43">
        <v>41</v>
      </c>
      <c r="C43" t="s">
        <v>197</v>
      </c>
      <c r="D43" t="s">
        <v>246</v>
      </c>
      <c r="E43">
        <v>1</v>
      </c>
      <c r="F43" t="s">
        <v>205</v>
      </c>
      <c r="G43">
        <v>2</v>
      </c>
      <c r="H43">
        <v>0</v>
      </c>
      <c r="I43">
        <v>8</v>
      </c>
      <c r="J43">
        <v>2</v>
      </c>
      <c r="K43">
        <v>12</v>
      </c>
      <c r="L43" t="s">
        <v>200</v>
      </c>
      <c r="M43" t="s">
        <v>43</v>
      </c>
      <c r="N43">
        <f>ROUND(N41*(1+'밸런스 조정'!$C$17),0)</f>
        <v>2</v>
      </c>
      <c r="O43" t="n">
        <f>ROUND(O41*(1+P43),0)</f>
        <v>1401</v>
      </c>
      <c r="P43" t="n">
        <f>'밸런스 조정'!$C$18</f>
        <v>0.16</v>
      </c>
      <c r="Q43" s="41">
        <f>'밸런스 조정'!$C$64</f>
        <v>0</v>
      </c>
      <c r="R43" s="41">
        <f>'밸런스 조정'!$C$65*IF(M43="Boss",5,IF(M43="Elite",2,1))</f>
        <v>10</v>
      </c>
    </row>
    <row r="44" spans="2:18">
      <c r="B44">
        <v>42</v>
      </c>
      <c r="C44" t="s">
        <v>197</v>
      </c>
      <c r="D44" t="s">
        <v>247</v>
      </c>
      <c r="E44">
        <v>1</v>
      </c>
      <c r="F44" t="s">
        <v>205</v>
      </c>
      <c r="G44">
        <v>2</v>
      </c>
      <c r="H44">
        <v>0</v>
      </c>
      <c r="I44">
        <v>5</v>
      </c>
      <c r="J44">
        <v>2</v>
      </c>
      <c r="K44">
        <v>12</v>
      </c>
      <c r="L44" t="s">
        <v>203</v>
      </c>
      <c r="M44" t="s">
        <v>43</v>
      </c>
      <c r="N44">
        <f>N43</f>
        <v>2</v>
      </c>
      <c r="O44" t="n">
        <f>ROUND(O43*(1+P44),0)</f>
        <v>1611</v>
      </c>
      <c r="P44">
        <v>0.15</v>
      </c>
      <c r="Q44" s="41">
        <f>'밸런스 조정'!$C$64</f>
        <v>0</v>
      </c>
      <c r="R44" s="41">
        <f>'밸런스 조정'!$C$65*IF(M44="Boss",5,IF(M44="Elite",2,1))</f>
        <v>10</v>
      </c>
    </row>
    <row r="45" spans="2:18">
      <c r="B45">
        <v>43</v>
      </c>
      <c r="C45" t="s">
        <v>197</v>
      </c>
      <c r="D45" t="s">
        <v>248</v>
      </c>
      <c r="E45">
        <v>1</v>
      </c>
      <c r="F45" t="s">
        <v>205</v>
      </c>
      <c r="G45">
        <v>2</v>
      </c>
      <c r="H45">
        <v>0</v>
      </c>
      <c r="I45">
        <v>8</v>
      </c>
      <c r="J45">
        <v>2</v>
      </c>
      <c r="K45">
        <v>12</v>
      </c>
      <c r="L45" t="s">
        <v>200</v>
      </c>
      <c r="M45" t="s">
        <v>43</v>
      </c>
      <c r="N45">
        <f>ROUND(N43*(1+'밸런스 조정'!$C$17),0)</f>
        <v>2</v>
      </c>
      <c r="O45" t="n">
        <f>ROUND(O43*(1+P45),0)</f>
        <v>1625</v>
      </c>
      <c r="P45" t="n">
        <f>'밸런스 조정'!$C$18</f>
        <v>0.16</v>
      </c>
      <c r="Q45" s="41">
        <f>'밸런스 조정'!$C$64</f>
        <v>0</v>
      </c>
      <c r="R45" s="41">
        <f>'밸런스 조정'!$C$65*IF(M45="Boss",5,IF(M45="Elite",2,1))</f>
        <v>10</v>
      </c>
    </row>
    <row r="46" spans="2:18">
      <c r="B46">
        <v>44</v>
      </c>
      <c r="C46" t="s">
        <v>197</v>
      </c>
      <c r="D46" t="s">
        <v>249</v>
      </c>
      <c r="E46">
        <v>1</v>
      </c>
      <c r="F46" t="s">
        <v>205</v>
      </c>
      <c r="G46">
        <v>2</v>
      </c>
      <c r="H46">
        <v>0</v>
      </c>
      <c r="I46">
        <v>5</v>
      </c>
      <c r="J46">
        <v>2</v>
      </c>
      <c r="K46">
        <v>12</v>
      </c>
      <c r="L46" t="s">
        <v>203</v>
      </c>
      <c r="M46" t="s">
        <v>43</v>
      </c>
      <c r="N46">
        <f>N45</f>
        <v>2</v>
      </c>
      <c r="O46" t="n">
        <f>ROUND(O45*(1+P46),0)</f>
        <v>1869</v>
      </c>
      <c r="P46">
        <v>0.15</v>
      </c>
      <c r="Q46" s="41">
        <f>'밸런스 조정'!$C$64</f>
        <v>0</v>
      </c>
      <c r="R46" s="41">
        <f>'밸런스 조정'!$C$65*IF(M46="Boss",5,IF(M46="Elite",2,1))</f>
        <v>10</v>
      </c>
    </row>
    <row r="47" spans="2:18">
      <c r="B47">
        <v>45</v>
      </c>
      <c r="C47" t="s">
        <v>197</v>
      </c>
      <c r="D47" t="s">
        <v>250</v>
      </c>
      <c r="E47">
        <v>1</v>
      </c>
      <c r="F47" t="s">
        <v>205</v>
      </c>
      <c r="G47">
        <v>2</v>
      </c>
      <c r="H47">
        <v>0</v>
      </c>
      <c r="I47">
        <v>8</v>
      </c>
      <c r="J47">
        <v>2</v>
      </c>
      <c r="K47">
        <v>12</v>
      </c>
      <c r="L47" t="s">
        <v>200</v>
      </c>
      <c r="M47" t="s">
        <v>43</v>
      </c>
      <c r="N47">
        <f>ROUND(N45*(1+'밸런스 조정'!$C$17),0)</f>
        <v>2</v>
      </c>
      <c r="O47" t="n">
        <f>ROUND(O45*(1+P47),0)</f>
        <v>1885</v>
      </c>
      <c r="P47" t="n">
        <f>'밸런스 조정'!$C$18</f>
        <v>0.16</v>
      </c>
      <c r="Q47" s="41">
        <f>'밸런스 조정'!$C$64</f>
        <v>0</v>
      </c>
      <c r="R47" s="41">
        <f>'밸런스 조정'!$C$65*IF(M47="Boss",5,IF(M47="Elite",2,1))</f>
        <v>10</v>
      </c>
    </row>
    <row r="48" spans="2:18">
      <c r="B48">
        <v>46</v>
      </c>
      <c r="C48" t="s">
        <v>197</v>
      </c>
      <c r="D48" t="s">
        <v>251</v>
      </c>
      <c r="E48">
        <v>1</v>
      </c>
      <c r="F48" t="s">
        <v>205</v>
      </c>
      <c r="G48">
        <v>2</v>
      </c>
      <c r="H48">
        <v>0</v>
      </c>
      <c r="I48">
        <v>5</v>
      </c>
      <c r="J48">
        <v>2</v>
      </c>
      <c r="K48">
        <v>12</v>
      </c>
      <c r="L48" t="s">
        <v>203</v>
      </c>
      <c r="M48" t="s">
        <v>43</v>
      </c>
      <c r="N48">
        <f>N47</f>
        <v>2</v>
      </c>
      <c r="O48" t="n">
        <f>ROUND(O47*(1+P48),0)</f>
        <v>2168</v>
      </c>
      <c r="P48">
        <v>0.15</v>
      </c>
      <c r="Q48" s="41">
        <f>'밸런스 조정'!$C$64</f>
        <v>0</v>
      </c>
      <c r="R48" s="41">
        <f>'밸런스 조정'!$C$65*IF(M48="Boss",5,IF(M48="Elite",2,1))</f>
        <v>10</v>
      </c>
    </row>
    <row r="49" spans="2:18">
      <c r="B49">
        <v>47</v>
      </c>
      <c r="C49" t="s">
        <v>197</v>
      </c>
      <c r="D49" t="s">
        <v>252</v>
      </c>
      <c r="E49">
        <v>1</v>
      </c>
      <c r="F49" t="s">
        <v>220</v>
      </c>
      <c r="G49">
        <v>0</v>
      </c>
      <c r="H49">
        <v>0</v>
      </c>
      <c r="I49">
        <v>16</v>
      </c>
      <c r="J49">
        <v>0.62</v>
      </c>
      <c r="K49">
        <v>18</v>
      </c>
      <c r="L49" t="s">
        <v>200</v>
      </c>
      <c r="M49" t="s">
        <v>81</v>
      </c>
      <c r="N49">
        <v>100</v>
      </c>
      <c r="O49" t="n">
        <f>ROUND(O47*'밸런스 조정'!$C$20,0)</f>
        <v>3393</v>
      </c>
      <c r="Q49" s="41">
        <f>'밸런스 조정'!$C$64</f>
        <v>0</v>
      </c>
      <c r="R49" s="41">
        <f>'밸런스 조정'!$C$65*IF(M49="Boss",5,IF(M49="Elite",2,1))</f>
        <v>20</v>
      </c>
    </row>
    <row r="50" spans="2:18">
      <c r="B50">
        <v>48</v>
      </c>
      <c r="C50" t="s">
        <v>197</v>
      </c>
      <c r="D50" t="s">
        <v>253</v>
      </c>
      <c r="E50">
        <v>1</v>
      </c>
      <c r="F50" t="s">
        <v>220</v>
      </c>
      <c r="G50">
        <v>0</v>
      </c>
      <c r="H50">
        <v>0</v>
      </c>
      <c r="I50">
        <v>16</v>
      </c>
      <c r="J50">
        <v>0.62</v>
      </c>
      <c r="K50">
        <v>18</v>
      </c>
      <c r="L50" t="s">
        <v>203</v>
      </c>
      <c r="M50" t="s">
        <v>81</v>
      </c>
      <c r="N50">
        <v>100</v>
      </c>
      <c r="O50" t="n">
        <f>ROUND(O49*(1+P50),0)</f>
        <v>3902</v>
      </c>
      <c r="P50">
        <v>0.15</v>
      </c>
      <c r="Q50" s="41">
        <f>'밸런스 조정'!$C$64</f>
        <v>0</v>
      </c>
      <c r="R50" s="41">
        <f>'밸런스 조정'!$C$65*IF(M50="Boss",5,IF(M50="Elite",2,1))</f>
        <v>20</v>
      </c>
    </row>
    <row r="51" spans="2:18">
      <c r="B51">
        <v>49</v>
      </c>
      <c r="C51" t="s">
        <v>197</v>
      </c>
      <c r="D51" t="s">
        <v>254</v>
      </c>
      <c r="E51">
        <v>1</v>
      </c>
      <c r="F51" t="s">
        <v>205</v>
      </c>
      <c r="G51">
        <v>2</v>
      </c>
      <c r="H51">
        <v>0</v>
      </c>
      <c r="I51">
        <v>8</v>
      </c>
      <c r="J51">
        <v>2</v>
      </c>
      <c r="K51">
        <v>12</v>
      </c>
      <c r="L51" t="s">
        <v>200</v>
      </c>
      <c r="M51" t="s">
        <v>82</v>
      </c>
      <c r="N51">
        <f>ROUND(N47*'밸런스 조정'!$C$21,0)</f>
        <v>6</v>
      </c>
      <c r="O51" t="n">
        <f>ROUND((ROUND(O47*'밸런스 조정'!$C$22,0))*1.5,0)</f>
        <v>3704</v>
      </c>
      <c r="Q51" s="41">
        <f>'밸런스 조정'!$C$64</f>
        <v>0</v>
      </c>
      <c r="R51" s="41">
        <f>'밸런스 조정'!$C$65*IF(M51="Boss",5,IF(M51="Elite",2,1))</f>
        <v>50</v>
      </c>
    </row>
    <row r="52" spans="2:18">
      <c r="B52">
        <v>50</v>
      </c>
      <c r="C52" t="s">
        <v>197</v>
      </c>
      <c r="D52" t="s">
        <v>255</v>
      </c>
      <c r="E52">
        <v>0</v>
      </c>
      <c r="F52" t="s">
        <v>205</v>
      </c>
      <c r="G52">
        <v>2</v>
      </c>
      <c r="H52">
        <v>0</v>
      </c>
      <c r="I52">
        <v>5</v>
      </c>
      <c r="J52">
        <v>2</v>
      </c>
      <c r="K52">
        <v>12</v>
      </c>
      <c r="L52" t="s">
        <v>203</v>
      </c>
      <c r="M52" t="s">
        <v>82</v>
      </c>
      <c r="N52">
        <f>N51</f>
        <v>6</v>
      </c>
      <c r="O52" t="n">
        <f>ROUND(O51*(1+P52),0)</f>
        <v>4260</v>
      </c>
      <c r="P52">
        <v>0.15</v>
      </c>
      <c r="Q52" s="41">
        <f>'밸런스 조정'!$C$64</f>
        <v>0</v>
      </c>
      <c r="R52" s="41">
        <f>'밸런스 조정'!$C$65*IF(M52="Boss",5,IF(M52="Elite",2,1))</f>
        <v>50</v>
      </c>
    </row>
    <row r="53" spans="2:18">
      <c r="B53">
        <v>51</v>
      </c>
      <c r="C53" t="s">
        <v>256</v>
      </c>
      <c r="D53" t="s">
        <v>257</v>
      </c>
      <c r="E53">
        <v>1</v>
      </c>
      <c r="F53" t="s">
        <v>208</v>
      </c>
      <c r="G53">
        <v>2.4</v>
      </c>
      <c r="H53">
        <v>1.2</v>
      </c>
      <c r="I53">
        <v>42</v>
      </c>
      <c r="J53">
        <v>0.55000000000000004</v>
      </c>
      <c r="K53">
        <v>12</v>
      </c>
      <c r="L53" t="s">
        <v>200</v>
      </c>
      <c r="M53" t="s">
        <v>43</v>
      </c>
      <c r="N53">
        <f>ROUND('밸런스 조정'!$C$30*(1+'밸런스 조정'!$C$32)^0*1,0)</f>
        <v>220</v>
      </c>
      <c r="O53">
        <f>ROUND('밸런스 조정'!$C$31*(1+'밸런스 조정'!$C$33)^0*1,0)</f>
        <v>540</v>
      </c>
      <c r="P53">
        <v>4.4999999999999998E-2</v>
      </c>
      <c r="Q53" s="41">
        <f>'밸런스 조정'!$C$64</f>
        <v>0</v>
      </c>
      <c r="R53" s="41" t="n">
        <f>'밸런스 조정'!$C$91*IF(M53="Boss",5,IF(M53="Elite",2,1))</f>
        <v>65</v>
      </c>
    </row>
    <row r="54" spans="2:18">
      <c r="B54">
        <v>52</v>
      </c>
      <c r="C54" t="s">
        <v>256</v>
      </c>
      <c r="D54" t="s">
        <v>258</v>
      </c>
      <c r="E54">
        <v>1</v>
      </c>
      <c r="F54" t="s">
        <v>208</v>
      </c>
      <c r="G54">
        <v>2.4</v>
      </c>
      <c r="H54">
        <v>1.2</v>
      </c>
      <c r="I54">
        <v>38</v>
      </c>
      <c r="J54">
        <v>0.55000000000000004</v>
      </c>
      <c r="K54">
        <v>12</v>
      </c>
      <c r="L54" t="s">
        <v>203</v>
      </c>
      <c r="M54" t="s">
        <v>43</v>
      </c>
      <c r="N54">
        <f>N53</f>
        <v>220</v>
      </c>
      <c r="O54">
        <f>ROUND(O53*(1+P54),0)</f>
        <v>621</v>
      </c>
      <c r="P54">
        <v>0.15</v>
      </c>
      <c r="Q54" s="41">
        <f>'밸런스 조정'!$C$64</f>
        <v>0</v>
      </c>
      <c r="R54" s="41" t="n">
        <f>'밸런스 조정'!$C$91*IF(M54="Boss",5,IF(M54="Elite",2,1))</f>
        <v>65</v>
      </c>
    </row>
    <row r="55" spans="2:18">
      <c r="B55">
        <v>53</v>
      </c>
      <c r="C55" t="s">
        <v>256</v>
      </c>
      <c r="D55" t="s">
        <v>259</v>
      </c>
      <c r="E55">
        <v>1</v>
      </c>
      <c r="F55" t="s">
        <v>220</v>
      </c>
      <c r="G55">
        <v>2.4</v>
      </c>
      <c r="H55">
        <v>0</v>
      </c>
      <c r="I55">
        <v>16</v>
      </c>
      <c r="J55">
        <v>0.55000000000000004</v>
      </c>
      <c r="K55">
        <v>10.199999999999999</v>
      </c>
      <c r="L55" t="s">
        <v>200</v>
      </c>
      <c r="M55" t="s">
        <v>43</v>
      </c>
      <c r="N55">
        <f>(ROUND('밸런스 조정'!$C$30*(1+'밸런스 조정'!$C$32)^1*1,0))*0.45</f>
        <v>102.60000000000001</v>
      </c>
      <c r="O55">
        <f>ROUND('밸런스 조정'!$C$31*(1+'밸런스 조정'!$C$33)^1*1,0)</f>
        <v>581</v>
      </c>
      <c r="P55">
        <v>4.4999999999999998E-2</v>
      </c>
      <c r="Q55" s="41">
        <f>'밸런스 조정'!$C$64</f>
        <v>0</v>
      </c>
      <c r="R55" s="41" t="n">
        <f>'밸런스 조정'!$C$91*IF(M55="Boss",5,IF(M55="Elite",2,1))</f>
        <v>65</v>
      </c>
    </row>
    <row r="56" spans="2:18">
      <c r="B56">
        <v>54</v>
      </c>
      <c r="C56" t="s">
        <v>256</v>
      </c>
      <c r="D56" t="s">
        <v>260</v>
      </c>
      <c r="E56">
        <v>1</v>
      </c>
      <c r="F56" t="s">
        <v>220</v>
      </c>
      <c r="G56">
        <v>2.4</v>
      </c>
      <c r="H56">
        <v>0</v>
      </c>
      <c r="I56">
        <v>12</v>
      </c>
      <c r="J56">
        <v>0.8</v>
      </c>
      <c r="K56">
        <v>10.199999999999999</v>
      </c>
      <c r="L56" t="s">
        <v>203</v>
      </c>
      <c r="M56" t="s">
        <v>43</v>
      </c>
      <c r="N56">
        <f>N55</f>
        <v>102.60000000000001</v>
      </c>
      <c r="O56">
        <f>ROUND(O55*(1+P56),0)</f>
        <v>668</v>
      </c>
      <c r="P56">
        <v>0.15</v>
      </c>
      <c r="Q56" s="41">
        <f>'밸런스 조정'!$C$64</f>
        <v>0</v>
      </c>
      <c r="R56" s="41" t="n">
        <f>'밸런스 조정'!$C$91*IF(M56="Boss",5,IF(M56="Elite",2,1))</f>
        <v>65</v>
      </c>
    </row>
    <row r="57" spans="2:18">
      <c r="B57">
        <v>55</v>
      </c>
      <c r="C57" t="s">
        <v>256</v>
      </c>
      <c r="D57" t="s">
        <v>261</v>
      </c>
      <c r="E57">
        <v>1</v>
      </c>
      <c r="F57" t="s">
        <v>220</v>
      </c>
      <c r="G57">
        <v>2.4</v>
      </c>
      <c r="H57">
        <v>0</v>
      </c>
      <c r="I57">
        <v>16</v>
      </c>
      <c r="J57">
        <v>0.55000000000000004</v>
      </c>
      <c r="K57">
        <v>10.199999999999999</v>
      </c>
      <c r="L57" t="s">
        <v>200</v>
      </c>
      <c r="M57" t="s">
        <v>81</v>
      </c>
      <c r="N57">
        <f>(ROUND('밸런스 조정'!$C$30*(1+'밸런스 조정'!$C$32)^2*'밸런스 조정'!$C$34,0))*0.45</f>
        <v>132.75</v>
      </c>
      <c r="O57">
        <f>ROUND('밸런스 조정'!$C$31*(1+'밸런스 조정'!$C$33)^2*'밸런스 조정'!$C$35,0)</f>
        <v>936</v>
      </c>
      <c r="P57">
        <v>4.4999999999999998E-2</v>
      </c>
      <c r="Q57" s="41">
        <f>'밸런스 조정'!$C$64</f>
        <v>0</v>
      </c>
      <c r="R57" s="41" t="n">
        <f>'밸런스 조정'!$C$91*IF(M57="Boss",5,IF(M57="Elite",2,1))</f>
        <v>130</v>
      </c>
    </row>
    <row r="58" spans="2:18">
      <c r="B58">
        <v>56</v>
      </c>
      <c r="C58" t="s">
        <v>256</v>
      </c>
      <c r="D58" t="s">
        <v>262</v>
      </c>
      <c r="E58">
        <v>1</v>
      </c>
      <c r="F58" t="s">
        <v>220</v>
      </c>
      <c r="G58">
        <v>2.4</v>
      </c>
      <c r="H58">
        <v>0</v>
      </c>
      <c r="I58">
        <v>12</v>
      </c>
      <c r="J58">
        <v>0.8</v>
      </c>
      <c r="K58">
        <v>10.199999999999999</v>
      </c>
      <c r="L58" t="s">
        <v>203</v>
      </c>
      <c r="M58" t="s">
        <v>81</v>
      </c>
      <c r="N58">
        <f>N57</f>
        <v>132.75</v>
      </c>
      <c r="O58">
        <f>ROUND(O57*(1+P58),0)</f>
        <v>1076</v>
      </c>
      <c r="P58">
        <v>0.15</v>
      </c>
      <c r="Q58" s="41">
        <f>'밸런스 조정'!$C$64</f>
        <v>0</v>
      </c>
      <c r="R58" s="41" t="n">
        <f>'밸런스 조정'!$C$91*IF(M58="Boss",5,IF(M58="Elite",2,1))</f>
        <v>130</v>
      </c>
    </row>
    <row r="59" spans="2:18">
      <c r="B59">
        <v>57</v>
      </c>
      <c r="C59" t="s">
        <v>256</v>
      </c>
      <c r="D59" t="s">
        <v>263</v>
      </c>
      <c r="E59">
        <v>1</v>
      </c>
      <c r="F59" t="s">
        <v>220</v>
      </c>
      <c r="G59">
        <v>2.4</v>
      </c>
      <c r="H59">
        <v>0</v>
      </c>
      <c r="I59">
        <v>16</v>
      </c>
      <c r="J59">
        <v>0.55000000000000004</v>
      </c>
      <c r="K59">
        <v>10.199999999999999</v>
      </c>
      <c r="L59" t="s">
        <v>200</v>
      </c>
      <c r="M59" t="s">
        <v>81</v>
      </c>
      <c r="N59">
        <f>(ROUND('밸런스 조정'!$C$30*(1+'밸런스 조정'!$C$32)^3*'밸런스 조정'!$C$34,0))*0.45</f>
        <v>137.25</v>
      </c>
      <c r="O59">
        <f>ROUND('밸런스 조정'!$C$31*(1+'밸런스 조정'!$C$33)^3*'밸런스 조정'!$C$35,0)</f>
        <v>1006</v>
      </c>
      <c r="P59">
        <v>4.4999999999999998E-2</v>
      </c>
      <c r="Q59" s="41">
        <f>'밸런스 조정'!$C$64</f>
        <v>0</v>
      </c>
      <c r="R59" s="41" t="n">
        <f>'밸런스 조정'!$C$91*IF(M59="Boss",5,IF(M59="Elite",2,1))</f>
        <v>130</v>
      </c>
    </row>
    <row r="60" spans="2:18">
      <c r="B60">
        <v>58</v>
      </c>
      <c r="C60" t="s">
        <v>256</v>
      </c>
      <c r="D60" t="s">
        <v>264</v>
      </c>
      <c r="E60">
        <v>1</v>
      </c>
      <c r="F60" t="s">
        <v>220</v>
      </c>
      <c r="G60">
        <v>2.4</v>
      </c>
      <c r="H60">
        <v>0</v>
      </c>
      <c r="I60">
        <v>12</v>
      </c>
      <c r="J60">
        <v>0.8</v>
      </c>
      <c r="K60">
        <v>10.199999999999999</v>
      </c>
      <c r="L60" t="s">
        <v>203</v>
      </c>
      <c r="M60" t="s">
        <v>81</v>
      </c>
      <c r="N60">
        <f>N59</f>
        <v>137.25</v>
      </c>
      <c r="O60">
        <f>ROUND(O59*(1+P60),0)</f>
        <v>1157</v>
      </c>
      <c r="P60">
        <v>0.15</v>
      </c>
      <c r="Q60" s="41">
        <f>'밸런스 조정'!$C$64</f>
        <v>0</v>
      </c>
      <c r="R60" s="41" t="n">
        <f>'밸런스 조정'!$C$91*IF(M60="Boss",5,IF(M60="Elite",2,1))</f>
        <v>130</v>
      </c>
    </row>
    <row r="61" spans="2:18">
      <c r="B61">
        <v>59</v>
      </c>
      <c r="C61" t="s">
        <v>256</v>
      </c>
      <c r="D61" t="s">
        <v>265</v>
      </c>
      <c r="E61">
        <v>1</v>
      </c>
      <c r="F61" t="s">
        <v>208</v>
      </c>
      <c r="G61">
        <v>2.4</v>
      </c>
      <c r="H61">
        <v>1.2</v>
      </c>
      <c r="I61">
        <v>8</v>
      </c>
      <c r="J61">
        <v>0.55000000000000004</v>
      </c>
      <c r="K61">
        <v>12</v>
      </c>
      <c r="L61" t="s">
        <v>200</v>
      </c>
      <c r="M61" t="s">
        <v>43</v>
      </c>
      <c r="N61">
        <f>ROUND('밸런스 조정'!$C$30*(1+'밸런스 조정'!$C$32)^4*1,0)</f>
        <v>252</v>
      </c>
      <c r="O61">
        <f>ROUND('밸런스 조정'!$C$31*(1+'밸런스 조정'!$C$33)^4*1,0)</f>
        <v>721</v>
      </c>
      <c r="P61">
        <v>4.4999999999999998E-2</v>
      </c>
      <c r="Q61" s="41">
        <f>'밸런스 조정'!$C$64</f>
        <v>0</v>
      </c>
      <c r="R61" s="41" t="n">
        <f>'밸런스 조정'!$C$91*IF(M61="Boss",5,IF(M61="Elite",2,1))</f>
        <v>65</v>
      </c>
    </row>
    <row r="62" spans="2:18">
      <c r="B62">
        <v>60</v>
      </c>
      <c r="C62" t="s">
        <v>256</v>
      </c>
      <c r="D62" t="s">
        <v>266</v>
      </c>
      <c r="E62">
        <v>1</v>
      </c>
      <c r="F62" t="s">
        <v>208</v>
      </c>
      <c r="G62">
        <v>2.4</v>
      </c>
      <c r="H62">
        <v>1.2</v>
      </c>
      <c r="I62">
        <v>5</v>
      </c>
      <c r="J62">
        <v>0.55000000000000004</v>
      </c>
      <c r="K62">
        <v>12</v>
      </c>
      <c r="L62" t="s">
        <v>203</v>
      </c>
      <c r="M62" t="s">
        <v>43</v>
      </c>
      <c r="N62">
        <f>N61</f>
        <v>252</v>
      </c>
      <c r="O62">
        <f>ROUND(O61*(1+P62),0)</f>
        <v>829</v>
      </c>
      <c r="P62">
        <v>0.15</v>
      </c>
      <c r="Q62" s="41">
        <f>'밸런스 조정'!$C$64</f>
        <v>0</v>
      </c>
      <c r="R62" s="41" t="n">
        <f>'밸런스 조정'!$C$91*IF(M62="Boss",5,IF(M62="Elite",2,1))</f>
        <v>65</v>
      </c>
    </row>
    <row r="63" spans="2:18">
      <c r="B63">
        <v>61</v>
      </c>
      <c r="C63" t="s">
        <v>256</v>
      </c>
      <c r="D63" t="s">
        <v>267</v>
      </c>
      <c r="E63">
        <v>1</v>
      </c>
      <c r="F63" t="s">
        <v>220</v>
      </c>
      <c r="G63">
        <v>2.4</v>
      </c>
      <c r="H63">
        <v>0</v>
      </c>
      <c r="I63">
        <v>16</v>
      </c>
      <c r="J63">
        <v>0.55000000000000004</v>
      </c>
      <c r="K63">
        <v>10.199999999999999</v>
      </c>
      <c r="L63" t="s">
        <v>200</v>
      </c>
      <c r="M63" t="s">
        <v>43</v>
      </c>
      <c r="N63">
        <f>(ROUND('밸런스 조정'!$C$30*(1+'밸런스 조정'!$C$32)^5*1,0))*0.45</f>
        <v>117.45</v>
      </c>
      <c r="O63">
        <f>ROUND('밸런스 조정'!$C$31*(1+'밸런스 조정'!$C$33)^5*1,0)</f>
        <v>775</v>
      </c>
      <c r="P63">
        <v>4.4999999999999998E-2</v>
      </c>
      <c r="Q63" s="41">
        <f>'밸런스 조정'!$C$64</f>
        <v>0</v>
      </c>
      <c r="R63" s="41" t="n">
        <f>'밸런스 조정'!$C$91*IF(M63="Boss",5,IF(M63="Elite",2,1))</f>
        <v>65</v>
      </c>
    </row>
    <row r="64" spans="2:18">
      <c r="B64">
        <v>62</v>
      </c>
      <c r="C64" t="s">
        <v>256</v>
      </c>
      <c r="D64" t="s">
        <v>268</v>
      </c>
      <c r="E64">
        <v>1</v>
      </c>
      <c r="F64" t="s">
        <v>220</v>
      </c>
      <c r="G64">
        <v>2.4</v>
      </c>
      <c r="H64">
        <v>0</v>
      </c>
      <c r="I64">
        <v>12</v>
      </c>
      <c r="J64">
        <v>0.8</v>
      </c>
      <c r="K64">
        <v>10.199999999999999</v>
      </c>
      <c r="L64" t="s">
        <v>203</v>
      </c>
      <c r="M64" t="s">
        <v>43</v>
      </c>
      <c r="N64">
        <f>N63</f>
        <v>117.45</v>
      </c>
      <c r="O64">
        <f>ROUND(O63*(1+P64),0)</f>
        <v>891</v>
      </c>
      <c r="P64">
        <v>0.15</v>
      </c>
      <c r="Q64" s="41">
        <f>'밸런스 조정'!$C$64</f>
        <v>0</v>
      </c>
      <c r="R64" s="41" t="n">
        <f>'밸런스 조정'!$C$91*IF(M64="Boss",5,IF(M64="Elite",2,1))</f>
        <v>65</v>
      </c>
    </row>
    <row r="65" spans="2:18">
      <c r="B65">
        <v>63</v>
      </c>
      <c r="C65" t="s">
        <v>256</v>
      </c>
      <c r="D65" t="s">
        <v>269</v>
      </c>
      <c r="E65">
        <v>1</v>
      </c>
      <c r="F65" t="s">
        <v>208</v>
      </c>
      <c r="G65">
        <v>2.4</v>
      </c>
      <c r="H65">
        <v>1.2</v>
      </c>
      <c r="I65">
        <v>42</v>
      </c>
      <c r="J65">
        <v>0.55000000000000004</v>
      </c>
      <c r="K65">
        <v>12</v>
      </c>
      <c r="L65" t="s">
        <v>200</v>
      </c>
      <c r="M65" t="s">
        <v>43</v>
      </c>
      <c r="N65">
        <f>ROUND('밸런스 조정'!$C$30*(1+'밸런스 조정'!$C$32)^6*1,0)</f>
        <v>270</v>
      </c>
      <c r="O65">
        <f>ROUND('밸런스 조정'!$C$31*(1+'밸런스 조정'!$C$33)^6*1,0)</f>
        <v>833</v>
      </c>
      <c r="P65">
        <v>4.4999999999999998E-2</v>
      </c>
      <c r="Q65" s="41">
        <f>'밸런스 조정'!$C$64</f>
        <v>0</v>
      </c>
      <c r="R65" s="41" t="n">
        <f>'밸런스 조정'!$C$91*IF(M65="Boss",5,IF(M65="Elite",2,1))</f>
        <v>65</v>
      </c>
    </row>
    <row r="66" spans="2:18">
      <c r="B66">
        <v>64</v>
      </c>
      <c r="C66" t="s">
        <v>256</v>
      </c>
      <c r="D66" t="s">
        <v>270</v>
      </c>
      <c r="E66">
        <v>1</v>
      </c>
      <c r="F66" t="s">
        <v>208</v>
      </c>
      <c r="G66">
        <v>2.4</v>
      </c>
      <c r="H66">
        <v>1.2</v>
      </c>
      <c r="I66">
        <v>38</v>
      </c>
      <c r="J66">
        <v>0.55000000000000004</v>
      </c>
      <c r="K66">
        <v>12</v>
      </c>
      <c r="L66" t="s">
        <v>203</v>
      </c>
      <c r="M66" t="s">
        <v>43</v>
      </c>
      <c r="N66">
        <f>N65</f>
        <v>270</v>
      </c>
      <c r="O66">
        <f>ROUND(O65*(1+P66),0)</f>
        <v>958</v>
      </c>
      <c r="P66">
        <v>0.15</v>
      </c>
      <c r="Q66" s="41">
        <f>'밸런스 조정'!$C$64</f>
        <v>0</v>
      </c>
      <c r="R66" s="41" t="n">
        <f>'밸런스 조정'!$C$91*IF(M66="Boss",5,IF(M66="Elite",2,1))</f>
        <v>65</v>
      </c>
    </row>
    <row r="67" spans="2:18">
      <c r="B67">
        <v>65</v>
      </c>
      <c r="C67" t="s">
        <v>256</v>
      </c>
      <c r="D67" t="s">
        <v>271</v>
      </c>
      <c r="E67">
        <v>1</v>
      </c>
      <c r="F67" t="s">
        <v>220</v>
      </c>
      <c r="G67">
        <v>2.4</v>
      </c>
      <c r="H67">
        <v>0</v>
      </c>
      <c r="I67">
        <v>8</v>
      </c>
      <c r="J67">
        <v>0.55000000000000004</v>
      </c>
      <c r="K67">
        <v>10.199999999999999</v>
      </c>
      <c r="L67" t="s">
        <v>200</v>
      </c>
      <c r="M67" t="s">
        <v>43</v>
      </c>
      <c r="N67">
        <f>(ROUND('밸런스 조정'!$C$30*(1+'밸런스 조정'!$C$32)^7*1,0))*0.45</f>
        <v>126</v>
      </c>
      <c r="O67">
        <f>ROUND('밸런스 조정'!$C$31*(1+'밸런스 조정'!$C$33)^7*1,0)</f>
        <v>896</v>
      </c>
      <c r="P67">
        <v>4.4999999999999998E-2</v>
      </c>
      <c r="Q67" s="41">
        <f>'밸런스 조정'!$C$64</f>
        <v>0</v>
      </c>
      <c r="R67" s="41" t="n">
        <f>'밸런스 조정'!$C$91*IF(M67="Boss",5,IF(M67="Elite",2,1))</f>
        <v>65</v>
      </c>
    </row>
    <row r="68" spans="2:18">
      <c r="B68">
        <v>66</v>
      </c>
      <c r="C68" t="s">
        <v>256</v>
      </c>
      <c r="D68" t="s">
        <v>272</v>
      </c>
      <c r="E68">
        <v>1</v>
      </c>
      <c r="F68" t="s">
        <v>220</v>
      </c>
      <c r="G68">
        <v>2.4</v>
      </c>
      <c r="H68">
        <v>0</v>
      </c>
      <c r="I68">
        <v>6</v>
      </c>
      <c r="J68">
        <v>0.8</v>
      </c>
      <c r="K68">
        <v>10.199999999999999</v>
      </c>
      <c r="L68" t="s">
        <v>203</v>
      </c>
      <c r="M68" t="s">
        <v>43</v>
      </c>
      <c r="N68">
        <f>N67</f>
        <v>126</v>
      </c>
      <c r="O68">
        <f>ROUND(O67*(1+P68),0)</f>
        <v>1030</v>
      </c>
      <c r="P68">
        <v>0.15</v>
      </c>
      <c r="Q68" s="41">
        <f>'밸런스 조정'!$C$64</f>
        <v>0</v>
      </c>
      <c r="R68" s="41" t="n">
        <f>'밸런스 조정'!$C$91*IF(M68="Boss",5,IF(M68="Elite",2,1))</f>
        <v>65</v>
      </c>
    </row>
    <row r="69" spans="2:18">
      <c r="B69">
        <v>67</v>
      </c>
      <c r="C69" t="s">
        <v>256</v>
      </c>
      <c r="D69" t="s">
        <v>273</v>
      </c>
      <c r="E69">
        <v>1</v>
      </c>
      <c r="F69" t="s">
        <v>220</v>
      </c>
      <c r="G69">
        <v>2.4</v>
      </c>
      <c r="H69">
        <v>0</v>
      </c>
      <c r="I69">
        <v>16</v>
      </c>
      <c r="J69">
        <v>0.55000000000000004</v>
      </c>
      <c r="K69">
        <v>10.199999999999999</v>
      </c>
      <c r="L69" t="s">
        <v>200</v>
      </c>
      <c r="M69" t="s">
        <v>81</v>
      </c>
      <c r="N69">
        <f>(ROUND('밸런스 조정'!$C$30*(1+'밸런스 조정'!$C$32)^8*'밸런스 조정'!$C$34,0))*0.45</f>
        <v>162.9</v>
      </c>
      <c r="O69">
        <f>ROUND('밸런스 조정'!$C$31*(1+'밸런스 조정'!$C$33)^8*'밸런스 조정'!$C$35,0)</f>
        <v>1445</v>
      </c>
      <c r="P69">
        <v>4.4999999999999998E-2</v>
      </c>
      <c r="Q69" s="41">
        <f>'밸런스 조정'!$C$64</f>
        <v>0</v>
      </c>
      <c r="R69" s="41" t="n">
        <f>'밸런스 조정'!$C$91*IF(M69="Boss",5,IF(M69="Elite",2,1))</f>
        <v>130</v>
      </c>
    </row>
    <row r="70" spans="2:18">
      <c r="B70">
        <v>68</v>
      </c>
      <c r="C70" t="s">
        <v>256</v>
      </c>
      <c r="D70" t="s">
        <v>274</v>
      </c>
      <c r="E70">
        <v>1</v>
      </c>
      <c r="F70" t="s">
        <v>220</v>
      </c>
      <c r="G70">
        <v>2.4</v>
      </c>
      <c r="H70">
        <v>0</v>
      </c>
      <c r="I70">
        <v>12</v>
      </c>
      <c r="J70">
        <v>0.8</v>
      </c>
      <c r="K70">
        <v>10.199999999999999</v>
      </c>
      <c r="L70" t="s">
        <v>203</v>
      </c>
      <c r="M70" t="s">
        <v>81</v>
      </c>
      <c r="N70">
        <f>N69</f>
        <v>162.9</v>
      </c>
      <c r="O70">
        <f>ROUND(O69*(1+P70),0)</f>
        <v>1662</v>
      </c>
      <c r="P70">
        <v>0.15</v>
      </c>
      <c r="Q70" s="41">
        <f>'밸런스 조정'!$C$64</f>
        <v>0</v>
      </c>
      <c r="R70" s="41" t="n">
        <f>'밸런스 조정'!$C$91*IF(M70="Boss",5,IF(M70="Elite",2,1))</f>
        <v>130</v>
      </c>
    </row>
    <row r="71" spans="2:18">
      <c r="B71">
        <v>69</v>
      </c>
      <c r="C71" t="s">
        <v>256</v>
      </c>
      <c r="D71" t="s">
        <v>275</v>
      </c>
      <c r="E71">
        <v>1</v>
      </c>
      <c r="F71" t="s">
        <v>220</v>
      </c>
      <c r="G71">
        <v>2.4</v>
      </c>
      <c r="H71">
        <v>0</v>
      </c>
      <c r="I71">
        <v>16</v>
      </c>
      <c r="J71">
        <v>0.55000000000000004</v>
      </c>
      <c r="K71">
        <v>10.199999999999999</v>
      </c>
      <c r="L71" t="s">
        <v>200</v>
      </c>
      <c r="M71" t="s">
        <v>81</v>
      </c>
      <c r="N71">
        <f>(ROUND('밸런스 조정'!$C$30*(1+'밸런스 조정'!$C$32)^9*'밸런스 조정'!$C$34,0))*0.45</f>
        <v>168.75</v>
      </c>
      <c r="O71">
        <f>ROUND('밸런스 조정'!$C$31*(1+'밸런스 조정'!$C$33)^9*'밸런스 조정'!$C$35,0)</f>
        <v>1553</v>
      </c>
      <c r="P71">
        <v>4.4999999999999998E-2</v>
      </c>
      <c r="Q71" s="41">
        <f>'밸런스 조정'!$C$64</f>
        <v>0</v>
      </c>
      <c r="R71" s="41" t="n">
        <f>'밸런스 조정'!$C$91*IF(M71="Boss",5,IF(M71="Elite",2,1))</f>
        <v>130</v>
      </c>
    </row>
    <row r="72" spans="2:18">
      <c r="B72">
        <v>70</v>
      </c>
      <c r="C72" t="s">
        <v>256</v>
      </c>
      <c r="D72" t="s">
        <v>276</v>
      </c>
      <c r="E72">
        <v>1</v>
      </c>
      <c r="F72" t="s">
        <v>220</v>
      </c>
      <c r="G72">
        <v>2.4</v>
      </c>
      <c r="H72">
        <v>0</v>
      </c>
      <c r="I72">
        <v>12</v>
      </c>
      <c r="J72">
        <v>0.8</v>
      </c>
      <c r="K72">
        <v>10.199999999999999</v>
      </c>
      <c r="L72" t="s">
        <v>203</v>
      </c>
      <c r="M72" t="s">
        <v>81</v>
      </c>
      <c r="N72">
        <f>N71</f>
        <v>168.75</v>
      </c>
      <c r="O72">
        <f>ROUND(O71*(1+P72),0)</f>
        <v>1786</v>
      </c>
      <c r="P72">
        <v>0.15</v>
      </c>
      <c r="Q72" s="41">
        <f>'밸런스 조정'!$C$64</f>
        <v>0</v>
      </c>
      <c r="R72" s="41" t="n">
        <f>'밸런스 조정'!$C$91*IF(M72="Boss",5,IF(M72="Elite",2,1))</f>
        <v>130</v>
      </c>
    </row>
    <row r="73" spans="2:18">
      <c r="B73">
        <v>71</v>
      </c>
      <c r="C73" t="s">
        <v>256</v>
      </c>
      <c r="D73" t="s">
        <v>277</v>
      </c>
      <c r="E73">
        <v>1</v>
      </c>
      <c r="F73" t="s">
        <v>208</v>
      </c>
      <c r="G73">
        <v>2.4</v>
      </c>
      <c r="H73">
        <v>1.2</v>
      </c>
      <c r="I73">
        <v>42</v>
      </c>
      <c r="J73">
        <v>0.55000000000000004</v>
      </c>
      <c r="K73">
        <v>12</v>
      </c>
      <c r="L73" t="s">
        <v>200</v>
      </c>
      <c r="M73" t="s">
        <v>43</v>
      </c>
      <c r="N73">
        <f>ROUND('밸런스 조정'!$C$30*(1+'밸런스 조정'!$C$32)^10*1,0)</f>
        <v>310</v>
      </c>
      <c r="O73">
        <f>ROUND('밸런스 조정'!$C$31*(1+'밸런스 조정'!$C$33)^10*1,0)</f>
        <v>1113</v>
      </c>
      <c r="P73">
        <v>4.4999999999999998E-2</v>
      </c>
      <c r="Q73" s="41">
        <f>'밸런스 조정'!$C$64</f>
        <v>0</v>
      </c>
      <c r="R73" s="41" t="n">
        <f>'밸런스 조정'!$C$91*IF(M73="Boss",5,IF(M73="Elite",2,1))</f>
        <v>65</v>
      </c>
    </row>
    <row r="74" spans="2:18">
      <c r="B74">
        <v>72</v>
      </c>
      <c r="C74" t="s">
        <v>256</v>
      </c>
      <c r="D74" t="s">
        <v>278</v>
      </c>
      <c r="E74">
        <v>1</v>
      </c>
      <c r="F74" t="s">
        <v>208</v>
      </c>
      <c r="G74">
        <v>2.4</v>
      </c>
      <c r="H74">
        <v>1.2</v>
      </c>
      <c r="I74">
        <v>38</v>
      </c>
      <c r="J74">
        <v>0.55000000000000004</v>
      </c>
      <c r="K74">
        <v>12</v>
      </c>
      <c r="L74" t="s">
        <v>203</v>
      </c>
      <c r="M74" t="s">
        <v>43</v>
      </c>
      <c r="N74">
        <f>N73</f>
        <v>310</v>
      </c>
      <c r="O74">
        <f>ROUND(O73*(1+P74),0)</f>
        <v>1280</v>
      </c>
      <c r="P74">
        <v>0.15</v>
      </c>
      <c r="Q74" s="41">
        <f>'밸런스 조정'!$C$64</f>
        <v>0</v>
      </c>
      <c r="R74" s="41" t="n">
        <f>'밸런스 조정'!$C$91*IF(M74="Boss",5,IF(M74="Elite",2,1))</f>
        <v>65</v>
      </c>
    </row>
    <row r="75" spans="2:18">
      <c r="B75">
        <v>73</v>
      </c>
      <c r="C75" t="s">
        <v>256</v>
      </c>
      <c r="D75" t="s">
        <v>279</v>
      </c>
      <c r="E75">
        <v>1</v>
      </c>
      <c r="F75" t="s">
        <v>220</v>
      </c>
      <c r="G75">
        <v>2.4</v>
      </c>
      <c r="H75">
        <v>0</v>
      </c>
      <c r="I75">
        <v>16</v>
      </c>
      <c r="J75">
        <v>0.55000000000000004</v>
      </c>
      <c r="K75">
        <v>10.199999999999999</v>
      </c>
      <c r="L75" t="s">
        <v>200</v>
      </c>
      <c r="M75" t="s">
        <v>43</v>
      </c>
      <c r="N75">
        <f>(ROUND('밸런스 조정'!$C$30*(1+'밸런스 조정'!$C$32)^11*1,0))*0.45</f>
        <v>144.45000000000002</v>
      </c>
      <c r="O75">
        <f>ROUND('밸런스 조정'!$C$31*(1+'밸런스 조정'!$C$33)^11*1,0)</f>
        <v>1196</v>
      </c>
      <c r="P75">
        <v>4.4999999999999998E-2</v>
      </c>
      <c r="Q75" s="41">
        <f>'밸런스 조정'!$C$64</f>
        <v>0</v>
      </c>
      <c r="R75" s="41" t="n">
        <f>'밸런스 조정'!$C$91*IF(M75="Boss",5,IF(M75="Elite",2,1))</f>
        <v>65</v>
      </c>
    </row>
    <row r="76" spans="2:18">
      <c r="B76">
        <v>74</v>
      </c>
      <c r="C76" t="s">
        <v>256</v>
      </c>
      <c r="D76" t="s">
        <v>280</v>
      </c>
      <c r="E76">
        <v>1</v>
      </c>
      <c r="F76" t="s">
        <v>220</v>
      </c>
      <c r="G76">
        <v>2.4</v>
      </c>
      <c r="H76">
        <v>0</v>
      </c>
      <c r="I76">
        <v>12</v>
      </c>
      <c r="J76">
        <v>0.8</v>
      </c>
      <c r="K76">
        <v>10.199999999999999</v>
      </c>
      <c r="L76" t="s">
        <v>203</v>
      </c>
      <c r="M76" t="s">
        <v>43</v>
      </c>
      <c r="N76">
        <f>N75</f>
        <v>144.45000000000002</v>
      </c>
      <c r="O76">
        <f>ROUND(O75*(1+P76),0)</f>
        <v>1375</v>
      </c>
      <c r="P76">
        <v>0.15</v>
      </c>
      <c r="Q76" s="41">
        <f>'밸런스 조정'!$C$64</f>
        <v>0</v>
      </c>
      <c r="R76" s="41" t="n">
        <f>'밸런스 조정'!$C$91*IF(M76="Boss",5,IF(M76="Elite",2,1))</f>
        <v>65</v>
      </c>
    </row>
    <row r="77" spans="2:18">
      <c r="B77">
        <v>75</v>
      </c>
      <c r="C77" t="s">
        <v>256</v>
      </c>
      <c r="D77" t="s">
        <v>281</v>
      </c>
      <c r="E77">
        <v>1</v>
      </c>
      <c r="F77" t="s">
        <v>208</v>
      </c>
      <c r="G77">
        <v>2.4</v>
      </c>
      <c r="H77">
        <v>1.2</v>
      </c>
      <c r="I77">
        <v>42</v>
      </c>
      <c r="J77">
        <v>0.55000000000000004</v>
      </c>
      <c r="K77">
        <v>12</v>
      </c>
      <c r="L77" t="s">
        <v>200</v>
      </c>
      <c r="M77" t="s">
        <v>43</v>
      </c>
      <c r="N77">
        <f>ROUND('밸런스 조정'!$C$30*(1+'밸런스 조정'!$C$32)^12*1,0)</f>
        <v>332</v>
      </c>
      <c r="O77">
        <f>ROUND('밸런스 조정'!$C$31*(1+'밸런스 조정'!$C$33)^12*1,0)</f>
        <v>1286</v>
      </c>
      <c r="P77">
        <v>4.4999999999999998E-2</v>
      </c>
      <c r="Q77" s="41">
        <f>'밸런스 조정'!$C$64</f>
        <v>0</v>
      </c>
      <c r="R77" s="41" t="n">
        <f>'밸런스 조정'!$C$91*IF(M77="Boss",5,IF(M77="Elite",2,1))</f>
        <v>65</v>
      </c>
    </row>
    <row r="78" spans="2:18">
      <c r="B78">
        <v>76</v>
      </c>
      <c r="C78" t="s">
        <v>256</v>
      </c>
      <c r="D78" t="s">
        <v>282</v>
      </c>
      <c r="E78">
        <v>1</v>
      </c>
      <c r="F78" t="s">
        <v>208</v>
      </c>
      <c r="G78">
        <v>2.4</v>
      </c>
      <c r="H78">
        <v>1.2</v>
      </c>
      <c r="I78">
        <v>38</v>
      </c>
      <c r="J78">
        <v>0.55000000000000004</v>
      </c>
      <c r="K78">
        <v>12</v>
      </c>
      <c r="L78" t="s">
        <v>203</v>
      </c>
      <c r="M78" t="s">
        <v>43</v>
      </c>
      <c r="N78">
        <f>N77</f>
        <v>332</v>
      </c>
      <c r="O78">
        <f>ROUND(O77*(1+P78),0)</f>
        <v>1479</v>
      </c>
      <c r="P78">
        <v>0.15</v>
      </c>
      <c r="Q78" s="41">
        <f>'밸런스 조정'!$C$64</f>
        <v>0</v>
      </c>
      <c r="R78" s="41" t="n">
        <f>'밸런스 조정'!$C$91*IF(M78="Boss",5,IF(M78="Elite",2,1))</f>
        <v>65</v>
      </c>
    </row>
    <row r="79" spans="2:18">
      <c r="B79">
        <v>77</v>
      </c>
      <c r="C79" t="s">
        <v>256</v>
      </c>
      <c r="D79" t="s">
        <v>283</v>
      </c>
      <c r="E79">
        <v>1</v>
      </c>
      <c r="F79" t="s">
        <v>220</v>
      </c>
      <c r="G79">
        <v>2.4</v>
      </c>
      <c r="H79">
        <v>0</v>
      </c>
      <c r="I79">
        <v>8</v>
      </c>
      <c r="J79">
        <v>0.55000000000000004</v>
      </c>
      <c r="K79">
        <v>10.199999999999999</v>
      </c>
      <c r="L79" t="s">
        <v>200</v>
      </c>
      <c r="M79" t="s">
        <v>43</v>
      </c>
      <c r="N79">
        <f>(ROUND('밸런스 조정'!$C$30*(1+'밸런스 조정'!$C$32)^13*1,0))*0.45</f>
        <v>154.80000000000001</v>
      </c>
      <c r="O79">
        <f>ROUND('밸런스 조정'!$C$31*(1+'밸런스 조정'!$C$33)^13*1,0)</f>
        <v>1383</v>
      </c>
      <c r="P79">
        <v>4.4999999999999998E-2</v>
      </c>
      <c r="Q79" s="41">
        <f>'밸런스 조정'!$C$64</f>
        <v>0</v>
      </c>
      <c r="R79" s="41" t="n">
        <f>'밸런스 조정'!$C$91*IF(M79="Boss",5,IF(M79="Elite",2,1))</f>
        <v>65</v>
      </c>
    </row>
    <row r="80" spans="2:18">
      <c r="B80">
        <v>78</v>
      </c>
      <c r="C80" t="s">
        <v>256</v>
      </c>
      <c r="D80" t="s">
        <v>284</v>
      </c>
      <c r="E80">
        <v>1</v>
      </c>
      <c r="F80" t="s">
        <v>220</v>
      </c>
      <c r="G80">
        <v>2.4</v>
      </c>
      <c r="H80">
        <v>0</v>
      </c>
      <c r="I80">
        <v>6</v>
      </c>
      <c r="J80">
        <v>0.8</v>
      </c>
      <c r="K80">
        <v>10.199999999999999</v>
      </c>
      <c r="L80" t="s">
        <v>203</v>
      </c>
      <c r="M80" t="s">
        <v>43</v>
      </c>
      <c r="N80">
        <f>N79</f>
        <v>154.80000000000001</v>
      </c>
      <c r="O80">
        <f>ROUND(O79*(1+P80),0)</f>
        <v>1590</v>
      </c>
      <c r="P80">
        <v>0.15</v>
      </c>
      <c r="Q80" s="41">
        <f>'밸런스 조정'!$C$64</f>
        <v>0</v>
      </c>
      <c r="R80" s="41" t="n">
        <f>'밸런스 조정'!$C$91*IF(M80="Boss",5,IF(M80="Elite",2,1))</f>
        <v>65</v>
      </c>
    </row>
    <row r="81" spans="2:18">
      <c r="B81">
        <v>79</v>
      </c>
      <c r="C81" t="s">
        <v>256</v>
      </c>
      <c r="D81" t="s">
        <v>285</v>
      </c>
      <c r="E81">
        <v>1</v>
      </c>
      <c r="F81" t="s">
        <v>220</v>
      </c>
      <c r="G81">
        <v>2.4</v>
      </c>
      <c r="H81">
        <v>0</v>
      </c>
      <c r="I81">
        <v>16</v>
      </c>
      <c r="J81">
        <v>0.55000000000000004</v>
      </c>
      <c r="K81">
        <v>10.199999999999999</v>
      </c>
      <c r="L81" t="s">
        <v>200</v>
      </c>
      <c r="M81" t="s">
        <v>81</v>
      </c>
      <c r="N81">
        <f>(ROUND('밸런스 조정'!$C$30*(1+'밸런스 조정'!$C$32)^14*'밸런스 조정'!$C$34,0))*0.45</f>
        <v>200.25</v>
      </c>
      <c r="O81">
        <f>ROUND('밸런스 조정'!$C$31*(1+'밸런스 조정'!$C$33)^14*'밸런스 조정'!$C$35,0)</f>
        <v>2229</v>
      </c>
      <c r="P81">
        <v>4.4999999999999998E-2</v>
      </c>
      <c r="Q81" s="41">
        <f>'밸런스 조정'!$C$64</f>
        <v>0</v>
      </c>
      <c r="R81" s="41" t="n">
        <f>'밸런스 조정'!$C$91*IF(M81="Boss",5,IF(M81="Elite",2,1))</f>
        <v>130</v>
      </c>
    </row>
    <row r="82" spans="2:18">
      <c r="B82">
        <v>80</v>
      </c>
      <c r="C82" t="s">
        <v>256</v>
      </c>
      <c r="D82" t="s">
        <v>286</v>
      </c>
      <c r="E82">
        <v>1</v>
      </c>
      <c r="F82" t="s">
        <v>220</v>
      </c>
      <c r="G82">
        <v>2.4</v>
      </c>
      <c r="H82">
        <v>0</v>
      </c>
      <c r="I82">
        <v>12</v>
      </c>
      <c r="J82">
        <v>0.8</v>
      </c>
      <c r="K82">
        <v>10.199999999999999</v>
      </c>
      <c r="L82" t="s">
        <v>203</v>
      </c>
      <c r="M82" t="s">
        <v>81</v>
      </c>
      <c r="N82">
        <f>N81</f>
        <v>200.25</v>
      </c>
      <c r="O82">
        <f>ROUND(O81*(1+P82),0)</f>
        <v>2563</v>
      </c>
      <c r="P82">
        <v>0.15</v>
      </c>
      <c r="Q82" s="41">
        <f>'밸런스 조정'!$C$64</f>
        <v>0</v>
      </c>
      <c r="R82" s="41" t="n">
        <f>'밸런스 조정'!$C$91*IF(M82="Boss",5,IF(M82="Elite",2,1))</f>
        <v>130</v>
      </c>
    </row>
    <row r="83" spans="2:18">
      <c r="B83">
        <v>81</v>
      </c>
      <c r="C83" t="s">
        <v>256</v>
      </c>
      <c r="D83" t="s">
        <v>287</v>
      </c>
      <c r="E83">
        <v>1</v>
      </c>
      <c r="F83" t="s">
        <v>220</v>
      </c>
      <c r="G83">
        <v>2.4</v>
      </c>
      <c r="H83">
        <v>0</v>
      </c>
      <c r="I83">
        <v>16</v>
      </c>
      <c r="J83">
        <v>0.55000000000000004</v>
      </c>
      <c r="K83">
        <v>10.199999999999999</v>
      </c>
      <c r="L83" t="s">
        <v>200</v>
      </c>
      <c r="M83" t="s">
        <v>81</v>
      </c>
      <c r="N83">
        <f>(ROUND('밸런스 조정'!$C$30*(1+'밸런스 조정'!$C$32)^15*'밸런스 조정'!$C$34,0))*0.45</f>
        <v>207.45000000000002</v>
      </c>
      <c r="O83">
        <f>ROUND('밸런스 조정'!$C$31*(1+'밸런스 조정'!$C$33)^15*'밸런스 조정'!$C$35,0)</f>
        <v>2397</v>
      </c>
      <c r="P83">
        <v>4.4999999999999998E-2</v>
      </c>
      <c r="Q83" s="41">
        <f>'밸런스 조정'!$C$64</f>
        <v>0</v>
      </c>
      <c r="R83" s="41" t="n">
        <f>'밸런스 조정'!$C$91*IF(M83="Boss",5,IF(M83="Elite",2,1))</f>
        <v>130</v>
      </c>
    </row>
    <row r="84" spans="2:18">
      <c r="B84">
        <v>82</v>
      </c>
      <c r="C84" t="s">
        <v>256</v>
      </c>
      <c r="D84" t="s">
        <v>288</v>
      </c>
      <c r="E84">
        <v>1</v>
      </c>
      <c r="F84" t="s">
        <v>220</v>
      </c>
      <c r="G84">
        <v>2.4</v>
      </c>
      <c r="H84">
        <v>0</v>
      </c>
      <c r="I84">
        <v>12</v>
      </c>
      <c r="J84">
        <v>0.8</v>
      </c>
      <c r="K84">
        <v>10.199999999999999</v>
      </c>
      <c r="L84" t="s">
        <v>203</v>
      </c>
      <c r="M84" t="s">
        <v>81</v>
      </c>
      <c r="N84">
        <f>N83</f>
        <v>207.45000000000002</v>
      </c>
      <c r="O84">
        <f>ROUND(O83*(1+P84),0)</f>
        <v>2757</v>
      </c>
      <c r="P84">
        <v>0.15</v>
      </c>
      <c r="Q84" s="41">
        <f>'밸런스 조정'!$C$64</f>
        <v>0</v>
      </c>
      <c r="R84" s="41" t="n">
        <f>'밸런스 조정'!$C$91*IF(M84="Boss",5,IF(M84="Elite",2,1))</f>
        <v>130</v>
      </c>
    </row>
    <row r="85" spans="2:18">
      <c r="B85">
        <v>83</v>
      </c>
      <c r="C85" t="s">
        <v>256</v>
      </c>
      <c r="D85" t="s">
        <v>289</v>
      </c>
      <c r="E85">
        <v>1</v>
      </c>
      <c r="F85" t="s">
        <v>208</v>
      </c>
      <c r="G85">
        <v>2.4</v>
      </c>
      <c r="H85">
        <v>1.2</v>
      </c>
      <c r="I85">
        <v>42</v>
      </c>
      <c r="J85">
        <v>0.55000000000000004</v>
      </c>
      <c r="K85">
        <v>12</v>
      </c>
      <c r="L85" t="s">
        <v>200</v>
      </c>
      <c r="M85" t="s">
        <v>43</v>
      </c>
      <c r="N85">
        <f>ROUND('밸런스 조정'!$C$30*(1+'밸런스 조정'!$C$32)^16*1,0)</f>
        <v>381</v>
      </c>
      <c r="O85">
        <f>ROUND('밸런스 조정'!$C$31*(1+'밸런스 조정'!$C$33)^16*1,0)</f>
        <v>1718</v>
      </c>
      <c r="P85">
        <v>4.4999999999999998E-2</v>
      </c>
      <c r="Q85" s="41">
        <f>'밸런스 조정'!$C$64</f>
        <v>0</v>
      </c>
      <c r="R85" s="41" t="n">
        <f>'밸런스 조정'!$C$91*IF(M85="Boss",5,IF(M85="Elite",2,1))</f>
        <v>65</v>
      </c>
    </row>
    <row r="86" spans="2:18">
      <c r="B86">
        <v>84</v>
      </c>
      <c r="C86" t="s">
        <v>256</v>
      </c>
      <c r="D86" t="s">
        <v>290</v>
      </c>
      <c r="E86">
        <v>1</v>
      </c>
      <c r="F86" t="s">
        <v>208</v>
      </c>
      <c r="G86">
        <v>2.4</v>
      </c>
      <c r="H86">
        <v>1.2</v>
      </c>
      <c r="I86">
        <v>38</v>
      </c>
      <c r="J86">
        <v>0.55000000000000004</v>
      </c>
      <c r="K86">
        <v>12</v>
      </c>
      <c r="L86" t="s">
        <v>203</v>
      </c>
      <c r="M86" t="s">
        <v>43</v>
      </c>
      <c r="N86">
        <f>N85</f>
        <v>381</v>
      </c>
      <c r="O86">
        <f>ROUND(O85*(1+P86),0)</f>
        <v>1976</v>
      </c>
      <c r="P86">
        <v>0.15</v>
      </c>
      <c r="Q86" s="41">
        <f>'밸런스 조정'!$C$64</f>
        <v>0</v>
      </c>
      <c r="R86" s="41" t="n">
        <f>'밸런스 조정'!$C$91*IF(M86="Boss",5,IF(M86="Elite",2,1))</f>
        <v>65</v>
      </c>
    </row>
    <row r="87" spans="2:18">
      <c r="B87">
        <v>85</v>
      </c>
      <c r="C87" t="s">
        <v>256</v>
      </c>
      <c r="D87" t="s">
        <v>291</v>
      </c>
      <c r="E87">
        <v>1</v>
      </c>
      <c r="F87" t="s">
        <v>220</v>
      </c>
      <c r="G87">
        <v>2.4</v>
      </c>
      <c r="H87">
        <v>0</v>
      </c>
      <c r="I87">
        <v>8</v>
      </c>
      <c r="J87">
        <v>0.55000000000000004</v>
      </c>
      <c r="K87">
        <v>10.199999999999999</v>
      </c>
      <c r="L87" t="s">
        <v>200</v>
      </c>
      <c r="M87" t="s">
        <v>43</v>
      </c>
      <c r="N87">
        <f>(ROUND('밸런스 조정'!$C$30*(1+'밸런스 조정'!$C$32)^17*1,0))*0.45</f>
        <v>177.75</v>
      </c>
      <c r="O87">
        <f>ROUND('밸런스 조정'!$C$31*(1+'밸런스 조정'!$C$33)^17*1,0)</f>
        <v>1846</v>
      </c>
      <c r="P87">
        <v>4.4999999999999998E-2</v>
      </c>
      <c r="Q87" s="41">
        <f>'밸런스 조정'!$C$64</f>
        <v>0</v>
      </c>
      <c r="R87" s="41" t="n">
        <f>'밸런스 조정'!$C$91*IF(M87="Boss",5,IF(M87="Elite",2,1))</f>
        <v>65</v>
      </c>
    </row>
    <row r="88" spans="2:18">
      <c r="B88">
        <v>86</v>
      </c>
      <c r="C88" t="s">
        <v>256</v>
      </c>
      <c r="D88" t="s">
        <v>292</v>
      </c>
      <c r="E88">
        <v>1</v>
      </c>
      <c r="F88" t="s">
        <v>220</v>
      </c>
      <c r="G88">
        <v>2.4</v>
      </c>
      <c r="H88">
        <v>0</v>
      </c>
      <c r="I88">
        <v>6</v>
      </c>
      <c r="J88">
        <v>0.8</v>
      </c>
      <c r="K88">
        <v>10.199999999999999</v>
      </c>
      <c r="L88" t="s">
        <v>203</v>
      </c>
      <c r="M88" t="s">
        <v>43</v>
      </c>
      <c r="N88">
        <f>N87</f>
        <v>177.75</v>
      </c>
      <c r="O88">
        <f>ROUND(O87*(1+P88),0)</f>
        <v>2123</v>
      </c>
      <c r="P88">
        <v>0.15</v>
      </c>
      <c r="Q88" s="41">
        <f>'밸런스 조정'!$C$64</f>
        <v>0</v>
      </c>
      <c r="R88" s="41" t="n">
        <f>'밸런스 조정'!$C$91*IF(M88="Boss",5,IF(M88="Elite",2,1))</f>
        <v>65</v>
      </c>
    </row>
    <row r="89" spans="2:18">
      <c r="B89">
        <v>87</v>
      </c>
      <c r="C89" t="s">
        <v>256</v>
      </c>
      <c r="D89" t="s">
        <v>293</v>
      </c>
      <c r="E89">
        <v>1</v>
      </c>
      <c r="F89" t="s">
        <v>208</v>
      </c>
      <c r="G89">
        <v>2.4</v>
      </c>
      <c r="H89">
        <v>1.2</v>
      </c>
      <c r="I89">
        <v>42</v>
      </c>
      <c r="J89">
        <v>0.55000000000000004</v>
      </c>
      <c r="K89">
        <v>12</v>
      </c>
      <c r="L89" t="s">
        <v>200</v>
      </c>
      <c r="M89" t="s">
        <v>43</v>
      </c>
      <c r="N89">
        <f>ROUND('밸런스 조정'!$C$30*(1+'밸런스 조정'!$C$32)^18*1,0)</f>
        <v>409</v>
      </c>
      <c r="O89">
        <f>ROUND('밸런스 조정'!$C$31*(1+'밸런스 조정'!$C$33)^18*1,0)</f>
        <v>1985</v>
      </c>
      <c r="P89">
        <v>4.4999999999999998E-2</v>
      </c>
      <c r="Q89" s="41">
        <f>'밸런스 조정'!$C$64</f>
        <v>0</v>
      </c>
      <c r="R89" s="41" t="n">
        <f>'밸런스 조정'!$C$91*IF(M89="Boss",5,IF(M89="Elite",2,1))</f>
        <v>65</v>
      </c>
    </row>
    <row r="90" spans="2:18">
      <c r="B90">
        <v>88</v>
      </c>
      <c r="C90" t="s">
        <v>256</v>
      </c>
      <c r="D90" t="s">
        <v>294</v>
      </c>
      <c r="E90">
        <v>1</v>
      </c>
      <c r="F90" t="s">
        <v>208</v>
      </c>
      <c r="G90">
        <v>2.4</v>
      </c>
      <c r="H90">
        <v>1.2</v>
      </c>
      <c r="I90">
        <v>38</v>
      </c>
      <c r="J90">
        <v>0.55000000000000004</v>
      </c>
      <c r="K90">
        <v>12</v>
      </c>
      <c r="L90" t="s">
        <v>203</v>
      </c>
      <c r="M90" t="s">
        <v>43</v>
      </c>
      <c r="N90">
        <f>N89</f>
        <v>409</v>
      </c>
      <c r="O90">
        <f>ROUND(O89*(1+P90),0)</f>
        <v>2283</v>
      </c>
      <c r="P90">
        <v>0.15</v>
      </c>
      <c r="Q90" s="41">
        <f>'밸런스 조정'!$C$64</f>
        <v>0</v>
      </c>
      <c r="R90" s="41" t="n">
        <f>'밸런스 조정'!$C$91*IF(M90="Boss",5,IF(M90="Elite",2,1))</f>
        <v>65</v>
      </c>
    </row>
    <row r="91" spans="2:18">
      <c r="B91">
        <v>89</v>
      </c>
      <c r="C91" t="s">
        <v>256</v>
      </c>
      <c r="D91" t="s">
        <v>295</v>
      </c>
      <c r="E91">
        <v>1</v>
      </c>
      <c r="F91" t="s">
        <v>220</v>
      </c>
      <c r="G91">
        <v>2.4</v>
      </c>
      <c r="H91">
        <v>0</v>
      </c>
      <c r="I91">
        <v>16</v>
      </c>
      <c r="J91">
        <v>0.55000000000000004</v>
      </c>
      <c r="K91">
        <v>10.199999999999999</v>
      </c>
      <c r="L91" t="s">
        <v>200</v>
      </c>
      <c r="M91" t="s">
        <v>43</v>
      </c>
      <c r="N91">
        <f>(ROUND('밸런스 조정'!$C$30*(1+'밸런스 조정'!$C$32)^19*1,0))*0.45</f>
        <v>190.35</v>
      </c>
      <c r="O91">
        <f>ROUND('밸런스 조정'!$C$31*(1+'밸런스 조정'!$C$33)^19*1,0)</f>
        <v>2134</v>
      </c>
      <c r="P91">
        <v>4.4999999999999998E-2</v>
      </c>
      <c r="Q91" s="41">
        <f>'밸런스 조정'!$C$64</f>
        <v>0</v>
      </c>
      <c r="R91" s="41" t="n">
        <f>'밸런스 조정'!$C$91*IF(M91="Boss",5,IF(M91="Elite",2,1))</f>
        <v>65</v>
      </c>
    </row>
    <row r="92" spans="2:18">
      <c r="B92">
        <v>90</v>
      </c>
      <c r="C92" t="s">
        <v>256</v>
      </c>
      <c r="D92" t="s">
        <v>296</v>
      </c>
      <c r="E92">
        <v>1</v>
      </c>
      <c r="F92" t="s">
        <v>220</v>
      </c>
      <c r="G92">
        <v>2.4</v>
      </c>
      <c r="H92">
        <v>0</v>
      </c>
      <c r="I92">
        <v>12</v>
      </c>
      <c r="J92">
        <v>0.8</v>
      </c>
      <c r="K92">
        <v>10.199999999999999</v>
      </c>
      <c r="L92" t="s">
        <v>203</v>
      </c>
      <c r="M92" t="s">
        <v>43</v>
      </c>
      <c r="N92">
        <f>N91</f>
        <v>190.35</v>
      </c>
      <c r="O92">
        <f>ROUND(O91*(1+P92),0)</f>
        <v>2454</v>
      </c>
      <c r="P92">
        <v>0.15</v>
      </c>
      <c r="Q92" s="41">
        <f>'밸런스 조정'!$C$64</f>
        <v>0</v>
      </c>
      <c r="R92" s="41" t="n">
        <f>'밸런스 조정'!$C$91*IF(M92="Boss",5,IF(M92="Elite",2,1))</f>
        <v>65</v>
      </c>
    </row>
    <row r="93" spans="2:18">
      <c r="B93">
        <v>91</v>
      </c>
      <c r="C93" t="s">
        <v>256</v>
      </c>
      <c r="D93" t="s">
        <v>297</v>
      </c>
      <c r="E93">
        <v>1</v>
      </c>
      <c r="F93" t="s">
        <v>220</v>
      </c>
      <c r="G93">
        <v>2.4</v>
      </c>
      <c r="H93">
        <v>0</v>
      </c>
      <c r="I93">
        <v>16</v>
      </c>
      <c r="J93">
        <v>0.55000000000000004</v>
      </c>
      <c r="K93">
        <v>10.199999999999999</v>
      </c>
      <c r="L93" t="s">
        <v>200</v>
      </c>
      <c r="M93" t="s">
        <v>81</v>
      </c>
      <c r="N93">
        <f>(ROUND('밸런스 조정'!$C$30*(1+'밸런스 조정'!$C$32)^20*'밸런스 조정'!$C$34,0))*0.45</f>
        <v>246.15</v>
      </c>
      <c r="O93">
        <f>ROUND('밸런스 조정'!$C$31*(1+'밸런스 조정'!$C$33)^20*'밸런스 조정'!$C$35,0)</f>
        <v>3441</v>
      </c>
      <c r="P93">
        <v>4.4999999999999998E-2</v>
      </c>
      <c r="Q93" s="41">
        <f>'밸런스 조정'!$C$64</f>
        <v>0</v>
      </c>
      <c r="R93" s="41" t="n">
        <f>'밸런스 조정'!$C$91*IF(M93="Boss",5,IF(M93="Elite",2,1))</f>
        <v>130</v>
      </c>
    </row>
    <row r="94" spans="2:18">
      <c r="B94">
        <v>92</v>
      </c>
      <c r="C94" t="s">
        <v>256</v>
      </c>
      <c r="D94" t="s">
        <v>298</v>
      </c>
      <c r="E94">
        <v>1</v>
      </c>
      <c r="F94" t="s">
        <v>220</v>
      </c>
      <c r="G94">
        <v>2.4</v>
      </c>
      <c r="H94">
        <v>0</v>
      </c>
      <c r="I94">
        <v>12</v>
      </c>
      <c r="J94">
        <v>0.8</v>
      </c>
      <c r="K94">
        <v>10.199999999999999</v>
      </c>
      <c r="L94" t="s">
        <v>203</v>
      </c>
      <c r="M94" t="s">
        <v>81</v>
      </c>
      <c r="N94">
        <f>N93</f>
        <v>246.15</v>
      </c>
      <c r="O94">
        <f>ROUND(O93*(1+P94),0)</f>
        <v>3957</v>
      </c>
      <c r="P94">
        <v>0.15</v>
      </c>
      <c r="Q94" s="41">
        <f>'밸런스 조정'!$C$64</f>
        <v>0</v>
      </c>
      <c r="R94" s="41" t="n">
        <f>'밸런스 조정'!$C$91*IF(M94="Boss",5,IF(M94="Elite",2,1))</f>
        <v>130</v>
      </c>
    </row>
    <row r="95" spans="2:18">
      <c r="B95">
        <v>93</v>
      </c>
      <c r="C95" t="s">
        <v>256</v>
      </c>
      <c r="D95" t="s">
        <v>299</v>
      </c>
      <c r="E95">
        <v>1</v>
      </c>
      <c r="F95" t="s">
        <v>220</v>
      </c>
      <c r="G95">
        <v>2.4</v>
      </c>
      <c r="H95">
        <v>0</v>
      </c>
      <c r="I95">
        <v>16</v>
      </c>
      <c r="J95">
        <v>0.55000000000000004</v>
      </c>
      <c r="K95">
        <v>10.199999999999999</v>
      </c>
      <c r="L95" t="s">
        <v>200</v>
      </c>
      <c r="M95" t="s">
        <v>81</v>
      </c>
      <c r="N95">
        <f>(ROUND('밸런스 조정'!$C$30*(1+'밸런스 조정'!$C$32)^21*'밸런스 조정'!$C$34,0))*0.45</f>
        <v>254.70000000000002</v>
      </c>
      <c r="O95">
        <f>ROUND('밸런스 조정'!$C$31*(1+'밸런스 조정'!$C$33)^21*'밸런스 조정'!$C$35,0)</f>
        <v>3699</v>
      </c>
      <c r="P95">
        <v>4.4999999999999998E-2</v>
      </c>
      <c r="Q95" s="41">
        <f>'밸런스 조정'!$C$64</f>
        <v>0</v>
      </c>
      <c r="R95" s="41" t="n">
        <f>'밸런스 조정'!$C$91*IF(M95="Boss",5,IF(M95="Elite",2,1))</f>
        <v>130</v>
      </c>
    </row>
    <row r="96" spans="2:18">
      <c r="B96">
        <v>94</v>
      </c>
      <c r="C96" t="s">
        <v>256</v>
      </c>
      <c r="D96" t="s">
        <v>300</v>
      </c>
      <c r="E96">
        <v>1</v>
      </c>
      <c r="F96" t="s">
        <v>220</v>
      </c>
      <c r="G96">
        <v>2.4</v>
      </c>
      <c r="H96">
        <v>0</v>
      </c>
      <c r="I96">
        <v>12</v>
      </c>
      <c r="J96">
        <v>0.8</v>
      </c>
      <c r="K96">
        <v>10.199999999999999</v>
      </c>
      <c r="L96" t="s">
        <v>203</v>
      </c>
      <c r="M96" t="s">
        <v>81</v>
      </c>
      <c r="N96">
        <f>N95</f>
        <v>254.70000000000002</v>
      </c>
      <c r="O96">
        <f>ROUND(O95*(1+P96),0)</f>
        <v>4254</v>
      </c>
      <c r="P96">
        <v>0.15</v>
      </c>
      <c r="Q96" s="41">
        <f>'밸런스 조정'!$C$64</f>
        <v>0</v>
      </c>
      <c r="R96" s="41" t="n">
        <f>'밸런스 조정'!$C$91*IF(M96="Boss",5,IF(M96="Elite",2,1))</f>
        <v>130</v>
      </c>
    </row>
    <row r="97" spans="2:18">
      <c r="B97">
        <v>95</v>
      </c>
      <c r="C97" t="s">
        <v>256</v>
      </c>
      <c r="D97" t="s">
        <v>301</v>
      </c>
      <c r="E97">
        <v>1</v>
      </c>
      <c r="F97" t="s">
        <v>208</v>
      </c>
      <c r="G97">
        <v>2.4</v>
      </c>
      <c r="H97">
        <v>1.2</v>
      </c>
      <c r="I97">
        <v>42</v>
      </c>
      <c r="J97">
        <v>0.55000000000000004</v>
      </c>
      <c r="K97">
        <v>12</v>
      </c>
      <c r="L97" t="s">
        <v>200</v>
      </c>
      <c r="M97" t="s">
        <v>43</v>
      </c>
      <c r="N97">
        <f>ROUND('밸런스 조정'!$C$30*(1+'밸런스 조정'!$C$32)^22*1,0)</f>
        <v>469</v>
      </c>
      <c r="O97">
        <f>ROUND('밸런스 조정'!$C$31*(1+'밸런스 조정'!$C$33)^22*1,0)</f>
        <v>2651</v>
      </c>
      <c r="P97">
        <v>4.4999999999999998E-2</v>
      </c>
      <c r="Q97" s="41">
        <f>'밸런스 조정'!$C$64</f>
        <v>0</v>
      </c>
      <c r="R97" s="41" t="n">
        <f>'밸런스 조정'!$C$91*IF(M97="Boss",5,IF(M97="Elite",2,1))</f>
        <v>65</v>
      </c>
    </row>
    <row r="98" spans="2:18">
      <c r="B98">
        <v>96</v>
      </c>
      <c r="C98" t="s">
        <v>256</v>
      </c>
      <c r="D98" t="s">
        <v>302</v>
      </c>
      <c r="E98">
        <v>1</v>
      </c>
      <c r="F98" t="s">
        <v>208</v>
      </c>
      <c r="G98">
        <v>2.4</v>
      </c>
      <c r="H98">
        <v>1.2</v>
      </c>
      <c r="I98">
        <v>38</v>
      </c>
      <c r="J98">
        <v>0.55000000000000004</v>
      </c>
      <c r="K98">
        <v>12</v>
      </c>
      <c r="L98" t="s">
        <v>203</v>
      </c>
      <c r="M98" t="s">
        <v>43</v>
      </c>
      <c r="N98">
        <f>N97</f>
        <v>469</v>
      </c>
      <c r="O98">
        <f>ROUND(O97*(1+P98),0)</f>
        <v>3049</v>
      </c>
      <c r="P98">
        <v>0.15</v>
      </c>
      <c r="Q98" s="41">
        <f>'밸런스 조정'!$C$64</f>
        <v>0</v>
      </c>
      <c r="R98" s="41" t="n">
        <f>'밸런스 조정'!$C$91*IF(M98="Boss",5,IF(M98="Elite",2,1))</f>
        <v>65</v>
      </c>
    </row>
    <row r="99" spans="2:18">
      <c r="B99">
        <v>97</v>
      </c>
      <c r="C99" t="s">
        <v>256</v>
      </c>
      <c r="D99" t="s">
        <v>303</v>
      </c>
      <c r="E99">
        <v>1</v>
      </c>
      <c r="F99" t="s">
        <v>220</v>
      </c>
      <c r="G99">
        <v>2.4</v>
      </c>
      <c r="H99">
        <v>0</v>
      </c>
      <c r="I99">
        <v>16</v>
      </c>
      <c r="J99">
        <v>0.55000000000000004</v>
      </c>
      <c r="K99">
        <v>10.199999999999999</v>
      </c>
      <c r="L99" t="s">
        <v>200</v>
      </c>
      <c r="M99" t="s">
        <v>43</v>
      </c>
      <c r="N99">
        <f>(ROUND('밸런스 조정'!$C$30*(1+'밸런스 조정'!$C$32)^23*1,0))*0.45</f>
        <v>218.25</v>
      </c>
      <c r="O99">
        <f>ROUND('밸런스 조정'!$C$31*(1+'밸런스 조정'!$C$33)^23*1,0)</f>
        <v>2850</v>
      </c>
      <c r="P99">
        <v>4.4999999999999998E-2</v>
      </c>
      <c r="Q99" s="41">
        <f>'밸런스 조정'!$C$64</f>
        <v>0</v>
      </c>
      <c r="R99" s="41" t="n">
        <f>'밸런스 조정'!$C$91*IF(M99="Boss",5,IF(M99="Elite",2,1))</f>
        <v>65</v>
      </c>
    </row>
    <row r="100" spans="2:18">
      <c r="B100">
        <v>98</v>
      </c>
      <c r="C100" t="s">
        <v>256</v>
      </c>
      <c r="D100" t="s">
        <v>304</v>
      </c>
      <c r="E100">
        <v>1</v>
      </c>
      <c r="F100" t="s">
        <v>220</v>
      </c>
      <c r="G100">
        <v>2.4</v>
      </c>
      <c r="H100">
        <v>0</v>
      </c>
      <c r="I100">
        <v>12</v>
      </c>
      <c r="J100">
        <v>0.8</v>
      </c>
      <c r="K100">
        <v>10.199999999999999</v>
      </c>
      <c r="L100" t="s">
        <v>203</v>
      </c>
      <c r="M100" t="s">
        <v>43</v>
      </c>
      <c r="N100">
        <f>N99</f>
        <v>218.25</v>
      </c>
      <c r="O100">
        <f>ROUND(O99*(1+P100),0)</f>
        <v>3278</v>
      </c>
      <c r="P100">
        <v>0.15</v>
      </c>
      <c r="Q100" s="41">
        <f>'밸런스 조정'!$C$64</f>
        <v>0</v>
      </c>
      <c r="R100" s="41" t="n">
        <f>'밸런스 조정'!$C$91*IF(M100="Boss",5,IF(M100="Elite",2,1))</f>
        <v>65</v>
      </c>
    </row>
    <row r="101" spans="2:18">
      <c r="B101">
        <v>99</v>
      </c>
      <c r="C101" t="s">
        <v>256</v>
      </c>
      <c r="D101" t="s">
        <v>305</v>
      </c>
      <c r="E101">
        <v>1</v>
      </c>
      <c r="F101" t="s">
        <v>220</v>
      </c>
      <c r="G101">
        <v>2.4</v>
      </c>
      <c r="H101">
        <v>0</v>
      </c>
      <c r="I101">
        <v>16</v>
      </c>
      <c r="J101">
        <v>0.55000000000000004</v>
      </c>
      <c r="K101">
        <v>10.199999999999999</v>
      </c>
      <c r="L101" t="s">
        <v>200</v>
      </c>
      <c r="M101" t="s">
        <v>82</v>
      </c>
      <c r="N101">
        <f>(ROUND('밸런스 조정'!$C$30*(1+'밸런스 조정'!$C$32)^24*'밸런스 조정'!$C$36,0))*0.45</f>
        <v>406.8</v>
      </c>
      <c r="O101">
        <f>ROUND('밸런스 조정'!$C$31*(1+'밸런스 조정'!$C$33)^24*'밸런스 조정'!$C$37,0)</f>
        <v>7965</v>
      </c>
      <c r="P101">
        <v>4.4999999999999998E-2</v>
      </c>
      <c r="Q101" s="41">
        <f>'밸런스 조정'!$C$64</f>
        <v>0</v>
      </c>
      <c r="R101" s="41" t="n">
        <f>'밸런스 조정'!$C$91*IF(M101="Boss",5,IF(M101="Elite",2,1))</f>
        <v>325</v>
      </c>
    </row>
    <row r="102" spans="2:18">
      <c r="B102">
        <v>100</v>
      </c>
      <c r="C102" t="s">
        <v>256</v>
      </c>
      <c r="D102" t="s">
        <v>306</v>
      </c>
      <c r="E102">
        <v>1</v>
      </c>
      <c r="F102" t="s">
        <v>220</v>
      </c>
      <c r="G102">
        <v>2.4</v>
      </c>
      <c r="H102">
        <v>0</v>
      </c>
      <c r="I102">
        <v>12</v>
      </c>
      <c r="J102">
        <v>0.8</v>
      </c>
      <c r="K102">
        <v>10.199999999999999</v>
      </c>
      <c r="L102" t="s">
        <v>203</v>
      </c>
      <c r="M102" t="s">
        <v>82</v>
      </c>
      <c r="N102">
        <f>N101</f>
        <v>406.8</v>
      </c>
      <c r="O102">
        <f>ROUND(O101*(1+P102),0)</f>
        <v>9160</v>
      </c>
      <c r="P102">
        <v>0.15</v>
      </c>
      <c r="Q102" s="41">
        <f>'밸런스 조정'!$C$64</f>
        <v>0</v>
      </c>
      <c r="R102" s="41" t="n">
        <f>'밸런스 조정'!$C$91*IF(M102="Boss",5,IF(M102="Elite",2,1))</f>
        <v>325</v>
      </c>
    </row>
    <row r="103" spans="2:18">
      <c r="B103">
        <v>101</v>
      </c>
      <c r="C103" t="s">
        <v>307</v>
      </c>
      <c r="D103" t="s">
        <v>308</v>
      </c>
      <c r="E103">
        <v>1</v>
      </c>
      <c r="F103" t="s">
        <v>208</v>
      </c>
      <c r="G103">
        <v>2.2000000000000002</v>
      </c>
      <c r="H103">
        <v>1.2</v>
      </c>
      <c r="I103">
        <v>32</v>
      </c>
      <c r="J103">
        <v>0.65</v>
      </c>
      <c r="K103">
        <v>12</v>
      </c>
      <c r="L103" t="s">
        <v>309</v>
      </c>
      <c r="M103" t="s">
        <v>43</v>
      </c>
      <c r="N103">
        <f>ROUND('밸런스 조정'!$C$72*(1+'밸런스 조정'!$C$74)^0*IF(M103="Boss",'밸런스 조정'!$C$78,IF(M103="Elite",'밸런스 조정'!$C$76,1)),0)</f>
        <v>650</v>
      </c>
      <c r="O103" t="n">
        <f>ROUND('밸런스 조정'!$C$73*(1+'밸런스 조정'!$C$75)^0*IF(M103="Boss",'밸런스 조정'!$C$79,IF(M103="Elite",'밸런스 조정'!$C$77,1)),0)</f>
        <v>2000</v>
      </c>
      <c r="P103" t="n">
        <f>'밸런스 조정'!$C$75</f>
        <v>0.05</v>
      </c>
      <c r="Q103">
        <f>'밸런스 조정'!$C$64</f>
        <v>0</v>
      </c>
      <c r="R103" t="n">
        <f>'밸런스 조정'!$C$90*IF(M103="Boss",5,IF(M103="Elite",2,1))</f>
        <v>350</v>
      </c>
    </row>
    <row r="104" spans="2:18">
      <c r="B104">
        <v>102</v>
      </c>
      <c r="C104" t="s">
        <v>307</v>
      </c>
      <c r="D104" t="s">
        <v>310</v>
      </c>
      <c r="E104">
        <v>1</v>
      </c>
      <c r="F104" t="s">
        <v>208</v>
      </c>
      <c r="G104">
        <v>2.2000000000000002</v>
      </c>
      <c r="H104">
        <v>1.2</v>
      </c>
      <c r="I104">
        <v>28</v>
      </c>
      <c r="J104">
        <v>0.65</v>
      </c>
      <c r="K104">
        <v>12</v>
      </c>
      <c r="L104" t="s">
        <v>203</v>
      </c>
      <c r="M104" t="s">
        <v>43</v>
      </c>
      <c r="N104">
        <f>ROUND('밸런스 조정'!$C$72*(1+'밸런스 조정'!$C$74)^0*IF(M104="Boss",'밸런스 조정'!$C$78,IF(M104="Elite",'밸런스 조정'!$C$76,1)),0)</f>
        <v>650</v>
      </c>
      <c r="O104" t="n">
        <f>ROUND(O103*(1+P104),0)</f>
        <v>2300</v>
      </c>
      <c r="P104">
        <v>0.15</v>
      </c>
      <c r="Q104">
        <f>'밸런스 조정'!$C$64</f>
        <v>0</v>
      </c>
      <c r="R104" t="n">
        <f>'밸런스 조정'!$C$90*IF(M104="Boss",5,IF(M104="Elite",2,1))</f>
        <v>350</v>
      </c>
    </row>
    <row r="105" spans="2:18">
      <c r="B105">
        <v>103</v>
      </c>
      <c r="C105" t="s">
        <v>307</v>
      </c>
      <c r="D105" t="s">
        <v>311</v>
      </c>
      <c r="E105">
        <v>1</v>
      </c>
      <c r="F105" t="s">
        <v>208</v>
      </c>
      <c r="G105">
        <v>2.2000000000000002</v>
      </c>
      <c r="H105">
        <v>1.2</v>
      </c>
      <c r="I105">
        <v>32</v>
      </c>
      <c r="J105">
        <v>0.65</v>
      </c>
      <c r="K105">
        <v>12</v>
      </c>
      <c r="L105" t="s">
        <v>309</v>
      </c>
      <c r="M105" t="s">
        <v>43</v>
      </c>
      <c r="N105">
        <f>ROUND('밸런스 조정'!$C$72*(1+'밸런스 조정'!$C$74)^1*IF(M105="Boss",'밸런스 조정'!$C$78,IF(M105="Elite",'밸런스 조정'!$C$76,1)),0)</f>
        <v>673</v>
      </c>
      <c r="O105" t="n">
        <f>ROUND('밸런스 조정'!$C$73*(1+'밸런스 조정'!$C$75)^1*IF(M105="Boss",'밸런스 조정'!$C$79,IF(M105="Elite",'밸런스 조정'!$C$77,1)),0)</f>
        <v>2100</v>
      </c>
      <c r="P105" t="n">
        <f>'밸런스 조정'!$C$75</f>
        <v>0.05</v>
      </c>
      <c r="Q105">
        <f>'밸런스 조정'!$C$64</f>
        <v>0</v>
      </c>
      <c r="R105" t="n">
        <f>'밸런스 조정'!$C$90*IF(M105="Boss",5,IF(M105="Elite",2,1))</f>
        <v>350</v>
      </c>
    </row>
    <row r="106" spans="2:18">
      <c r="B106">
        <v>104</v>
      </c>
      <c r="C106" t="s">
        <v>307</v>
      </c>
      <c r="D106" t="s">
        <v>312</v>
      </c>
      <c r="E106">
        <v>1</v>
      </c>
      <c r="F106" t="s">
        <v>208</v>
      </c>
      <c r="G106">
        <v>2.2000000000000002</v>
      </c>
      <c r="H106">
        <v>1.2</v>
      </c>
      <c r="I106">
        <v>28</v>
      </c>
      <c r="J106">
        <v>0.65</v>
      </c>
      <c r="K106">
        <v>12</v>
      </c>
      <c r="L106" t="s">
        <v>203</v>
      </c>
      <c r="M106" t="s">
        <v>43</v>
      </c>
      <c r="N106">
        <f>ROUND('밸런스 조정'!$C$72*(1+'밸런스 조정'!$C$74)^1*IF(M106="Boss",'밸런스 조정'!$C$78,IF(M106="Elite",'밸런스 조정'!$C$76,1)),0)</f>
        <v>673</v>
      </c>
      <c r="O106" t="n">
        <f>ROUND(O105*(1+P106),0)</f>
        <v>2415</v>
      </c>
      <c r="P106">
        <v>0.15</v>
      </c>
      <c r="Q106">
        <f>'밸런스 조정'!$C$64</f>
        <v>0</v>
      </c>
      <c r="R106" t="n">
        <f>'밸런스 조정'!$C$90*IF(M106="Boss",5,IF(M106="Elite",2,1))</f>
        <v>350</v>
      </c>
    </row>
    <row r="107" spans="2:18">
      <c r="B107">
        <v>105</v>
      </c>
      <c r="C107" t="s">
        <v>307</v>
      </c>
      <c r="D107" t="s">
        <v>313</v>
      </c>
      <c r="E107">
        <v>1</v>
      </c>
      <c r="F107" t="s">
        <v>220</v>
      </c>
      <c r="G107">
        <v>2.2000000000000002</v>
      </c>
      <c r="H107">
        <v>0</v>
      </c>
      <c r="I107">
        <v>16</v>
      </c>
      <c r="J107" t="n">
        <v>0.6</v>
      </c>
      <c r="K107">
        <v>10.199999999999999</v>
      </c>
      <c r="L107" t="s">
        <v>309</v>
      </c>
      <c r="M107" t="s">
        <v>43</v>
      </c>
      <c r="N107">
        <f>(ROUND('밸런스 조정'!$C$72*(1+'밸런스 조정'!$C$74)^2*IF(M107="Boss",'밸런스 조정'!$C$78,IF(M107="Elite",'밸런스 조정'!$C$76,1)),0))*0.45</f>
        <v>313.2</v>
      </c>
      <c r="O107" t="n">
        <f>ROUND('밸런스 조정'!$C$73*(1+'밸런스 조정'!$C$75)^2*IF(M107="Boss",'밸런스 조정'!$C$79,IF(M107="Elite",'밸런스 조정'!$C$77,1)),0)</f>
        <v>2205</v>
      </c>
      <c r="P107" t="n">
        <f>'밸런스 조정'!$C$75</f>
        <v>0.05</v>
      </c>
      <c r="Q107">
        <f>'밸런스 조정'!$C$64</f>
        <v>0</v>
      </c>
      <c r="R107" t="n">
        <f>'밸런스 조정'!$C$90*IF(M107="Boss",5,IF(M107="Elite",2,1))</f>
        <v>350</v>
      </c>
    </row>
    <row r="108" spans="2:18">
      <c r="B108">
        <v>106</v>
      </c>
      <c r="C108" t="s">
        <v>307</v>
      </c>
      <c r="D108" t="s">
        <v>314</v>
      </c>
      <c r="E108">
        <v>1</v>
      </c>
      <c r="F108" t="s">
        <v>220</v>
      </c>
      <c r="G108">
        <v>2.2000000000000002</v>
      </c>
      <c r="H108">
        <v>0</v>
      </c>
      <c r="I108">
        <v>12</v>
      </c>
      <c r="J108" t="n">
        <v>0.6</v>
      </c>
      <c r="K108">
        <v>10.199999999999999</v>
      </c>
      <c r="L108" t="s">
        <v>203</v>
      </c>
      <c r="M108" t="s">
        <v>43</v>
      </c>
      <c r="N108">
        <f>(ROUND('밸런스 조정'!$C$72*(1+'밸런스 조정'!$C$74)^2*IF(M108="Boss",'밸런스 조정'!$C$78,IF(M108="Elite",'밸런스 조정'!$C$76,1)),0))*0.45</f>
        <v>313.2</v>
      </c>
      <c r="O108" t="n">
        <f>ROUND(O107*(1+P108),0)</f>
        <v>2536</v>
      </c>
      <c r="P108">
        <v>0.15</v>
      </c>
      <c r="Q108">
        <f>'밸런스 조정'!$C$64</f>
        <v>0</v>
      </c>
      <c r="R108" t="n">
        <f>'밸런스 조정'!$C$90*IF(M108="Boss",5,IF(M108="Elite",2,1))</f>
        <v>350</v>
      </c>
    </row>
    <row r="109" spans="2:18">
      <c r="B109">
        <v>107</v>
      </c>
      <c r="C109" t="s">
        <v>307</v>
      </c>
      <c r="D109" t="s">
        <v>315</v>
      </c>
      <c r="E109">
        <v>1</v>
      </c>
      <c r="F109" t="s">
        <v>220</v>
      </c>
      <c r="G109">
        <v>2.2000000000000002</v>
      </c>
      <c r="H109">
        <v>0</v>
      </c>
      <c r="I109">
        <v>16</v>
      </c>
      <c r="J109">
        <v>0.65</v>
      </c>
      <c r="K109">
        <v>10.199999999999999</v>
      </c>
      <c r="L109" t="s">
        <v>309</v>
      </c>
      <c r="M109" t="s">
        <v>43</v>
      </c>
      <c r="N109">
        <f>(ROUND('밸런스 조정'!$C$72*(1+'밸런스 조정'!$C$74)^3*IF(M109="Boss",'밸런스 조정'!$C$78,IF(M109="Elite",'밸런스 조정'!$C$76,1)),0))*0.45</f>
        <v>324.45</v>
      </c>
      <c r="O109" t="n">
        <f>ROUND('밸런스 조정'!$C$73*(1+'밸런스 조정'!$C$75)^3*IF(M109="Boss",'밸런스 조정'!$C$79,IF(M109="Elite",'밸런스 조정'!$C$77,1)),0)</f>
        <v>2315</v>
      </c>
      <c r="P109" t="n">
        <f>'밸런스 조정'!$C$75</f>
        <v>0.05</v>
      </c>
      <c r="Q109">
        <f>'밸런스 조정'!$C$64</f>
        <v>0</v>
      </c>
      <c r="R109" t="n">
        <f>'밸런스 조정'!$C$90*IF(M109="Boss",5,IF(M109="Elite",2,1))</f>
        <v>350</v>
      </c>
    </row>
    <row r="110" spans="2:18">
      <c r="B110">
        <v>108</v>
      </c>
      <c r="C110" t="s">
        <v>307</v>
      </c>
      <c r="D110" t="s">
        <v>316</v>
      </c>
      <c r="E110">
        <v>1</v>
      </c>
      <c r="F110" t="s">
        <v>220</v>
      </c>
      <c r="G110">
        <v>2.2000000000000002</v>
      </c>
      <c r="H110">
        <v>0</v>
      </c>
      <c r="I110">
        <v>12</v>
      </c>
      <c r="J110">
        <v>0.9</v>
      </c>
      <c r="K110">
        <v>10.199999999999999</v>
      </c>
      <c r="L110" t="s">
        <v>203</v>
      </c>
      <c r="M110" t="s">
        <v>43</v>
      </c>
      <c r="N110">
        <f>(ROUND('밸런스 조정'!$C$72*(1+'밸런스 조정'!$C$74)^3*IF(M110="Boss",'밸런스 조정'!$C$78,IF(M110="Elite",'밸런스 조정'!$C$76,1)),0))*0.45</f>
        <v>324.45</v>
      </c>
      <c r="O110" t="n">
        <f>ROUND(O109*(1+P110),0)</f>
        <v>2662</v>
      </c>
      <c r="P110">
        <v>0.15</v>
      </c>
      <c r="Q110">
        <f>'밸런스 조정'!$C$64</f>
        <v>0</v>
      </c>
      <c r="R110" t="n">
        <f>'밸런스 조정'!$C$90*IF(M110="Boss",5,IF(M110="Elite",2,1))</f>
        <v>350</v>
      </c>
    </row>
    <row r="111" spans="2:18">
      <c r="B111">
        <v>109</v>
      </c>
      <c r="C111" t="s">
        <v>307</v>
      </c>
      <c r="D111" t="s">
        <v>317</v>
      </c>
      <c r="E111">
        <v>1</v>
      </c>
      <c r="F111" t="s">
        <v>220</v>
      </c>
      <c r="G111">
        <v>2.2000000000000002</v>
      </c>
      <c r="H111">
        <v>0</v>
      </c>
      <c r="I111">
        <v>16</v>
      </c>
      <c r="J111">
        <v>0.65</v>
      </c>
      <c r="K111">
        <v>10.199999999999999</v>
      </c>
      <c r="L111" t="s">
        <v>309</v>
      </c>
      <c r="M111" t="s">
        <v>81</v>
      </c>
      <c r="N111">
        <f>(ROUND('밸런스 조정'!$C$72*(1+'밸런스 조정'!$C$74)^4*IF(M111="Boss",'밸런스 조정'!$C$78,IF(M111="Elite",'밸런스 조정'!$C$76,1)),0))*0.45</f>
        <v>419.40000000000003</v>
      </c>
      <c r="O111" t="n">
        <f>ROUND('밸런스 조정'!$C$73*(1+'밸런스 조정'!$C$75)^4*IF(M111="Boss",'밸런스 조정'!$C$79,IF(M111="Elite",'밸런스 조정'!$C$77,1)),0)</f>
        <v>3647</v>
      </c>
      <c r="P111" t="n">
        <f>'밸런스 조정'!$C$75</f>
        <v>0.05</v>
      </c>
      <c r="Q111">
        <f>'밸런스 조정'!$C$64</f>
        <v>0</v>
      </c>
      <c r="R111" t="n">
        <f>'밸런스 조정'!$C$90*IF(M111="Boss",5,IF(M111="Elite",2,1))</f>
        <v>700</v>
      </c>
    </row>
    <row r="112" spans="2:18">
      <c r="B112">
        <v>110</v>
      </c>
      <c r="C112" t="s">
        <v>307</v>
      </c>
      <c r="D112" t="s">
        <v>318</v>
      </c>
      <c r="E112">
        <v>1</v>
      </c>
      <c r="F112" t="s">
        <v>220</v>
      </c>
      <c r="G112">
        <v>2.2000000000000002</v>
      </c>
      <c r="H112">
        <v>0</v>
      </c>
      <c r="I112">
        <v>12</v>
      </c>
      <c r="J112">
        <v>0.9</v>
      </c>
      <c r="K112">
        <v>10.199999999999999</v>
      </c>
      <c r="L112" t="s">
        <v>203</v>
      </c>
      <c r="M112" t="s">
        <v>81</v>
      </c>
      <c r="N112">
        <f>(ROUND('밸런스 조정'!$C$72*(1+'밸런스 조정'!$C$74)^4*IF(M112="Boss",'밸런스 조정'!$C$78,IF(M112="Elite",'밸런스 조정'!$C$76,1)),0))*0.45</f>
        <v>419.40000000000003</v>
      </c>
      <c r="O112" t="n">
        <f>ROUND(O111*(1+P112),0)</f>
        <v>4194</v>
      </c>
      <c r="P112">
        <v>0.15</v>
      </c>
      <c r="Q112">
        <f>'밸런스 조정'!$C$64</f>
        <v>0</v>
      </c>
      <c r="R112" t="n">
        <f>'밸런스 조정'!$C$90*IF(M112="Boss",5,IF(M112="Elite",2,1))</f>
        <v>700</v>
      </c>
    </row>
    <row r="113" spans="2:18">
      <c r="B113">
        <v>111</v>
      </c>
      <c r="C113" t="s">
        <v>307</v>
      </c>
      <c r="D113" t="s">
        <v>319</v>
      </c>
      <c r="E113">
        <v>1</v>
      </c>
      <c r="F113" t="s">
        <v>208</v>
      </c>
      <c r="G113">
        <v>2.2000000000000002</v>
      </c>
      <c r="H113">
        <v>1.2</v>
      </c>
      <c r="I113">
        <v>32</v>
      </c>
      <c r="J113">
        <v>0.65</v>
      </c>
      <c r="K113">
        <v>12</v>
      </c>
      <c r="L113" t="s">
        <v>309</v>
      </c>
      <c r="M113" t="s">
        <v>43</v>
      </c>
      <c r="N113">
        <f>ROUND('밸런스 조정'!$C$72*(1+'밸런스 조정'!$C$74)^5*IF(M113="Boss",'밸런스 조정'!$C$78,IF(M113="Elite",'밸런스 조정'!$C$76,1)),0)</f>
        <v>772</v>
      </c>
      <c r="O113" t="n">
        <f>ROUND('밸런스 조정'!$C$73*(1+'밸런스 조정'!$C$75)^5*IF(M113="Boss",'밸런스 조정'!$C$79,IF(M113="Elite",'밸런스 조정'!$C$77,1)),0)</f>
        <v>2553</v>
      </c>
      <c r="P113" t="n">
        <f>'밸런스 조정'!$C$75</f>
        <v>0.05</v>
      </c>
      <c r="Q113">
        <f>'밸런스 조정'!$C$64</f>
        <v>0</v>
      </c>
      <c r="R113" t="n">
        <f>'밸런스 조정'!$C$90*IF(M113="Boss",5,IF(M113="Elite",2,1))</f>
        <v>350</v>
      </c>
    </row>
    <row r="114" spans="2:18">
      <c r="B114">
        <v>112</v>
      </c>
      <c r="C114" t="s">
        <v>307</v>
      </c>
      <c r="D114" t="s">
        <v>320</v>
      </c>
      <c r="E114">
        <v>1</v>
      </c>
      <c r="F114" t="s">
        <v>208</v>
      </c>
      <c r="G114">
        <v>2.2000000000000002</v>
      </c>
      <c r="H114">
        <v>1.2</v>
      </c>
      <c r="I114">
        <v>28</v>
      </c>
      <c r="J114">
        <v>0.65</v>
      </c>
      <c r="K114">
        <v>12</v>
      </c>
      <c r="L114" t="s">
        <v>203</v>
      </c>
      <c r="M114" t="s">
        <v>43</v>
      </c>
      <c r="N114">
        <f>ROUND('밸런스 조정'!$C$72*(1+'밸런스 조정'!$C$74)^5*IF(M114="Boss",'밸런스 조정'!$C$78,IF(M114="Elite",'밸런스 조정'!$C$76,1)),0)</f>
        <v>772</v>
      </c>
      <c r="O114" t="n">
        <f>ROUND(O113*(1+P114),0)</f>
        <v>2936</v>
      </c>
      <c r="P114">
        <v>0.15</v>
      </c>
      <c r="Q114">
        <f>'밸런스 조정'!$C$64</f>
        <v>0</v>
      </c>
      <c r="R114" t="n">
        <f>'밸런스 조정'!$C$90*IF(M114="Boss",5,IF(M114="Elite",2,1))</f>
        <v>350</v>
      </c>
    </row>
    <row r="115" spans="2:18">
      <c r="B115">
        <v>113</v>
      </c>
      <c r="C115" t="s">
        <v>307</v>
      </c>
      <c r="D115" t="s">
        <v>321</v>
      </c>
      <c r="E115">
        <v>1</v>
      </c>
      <c r="F115" t="s">
        <v>208</v>
      </c>
      <c r="G115">
        <v>2.2000000000000002</v>
      </c>
      <c r="H115">
        <v>1.2</v>
      </c>
      <c r="I115">
        <v>32</v>
      </c>
      <c r="J115">
        <v>0.65</v>
      </c>
      <c r="K115">
        <v>12</v>
      </c>
      <c r="L115" t="s">
        <v>309</v>
      </c>
      <c r="M115" t="s">
        <v>43</v>
      </c>
      <c r="N115">
        <f>ROUND('밸런스 조정'!$C$72*(1+'밸런스 조정'!$C$74)^6*IF(M115="Boss",'밸런스 조정'!$C$78,IF(M115="Elite",'밸런스 조정'!$C$76,1)),0)</f>
        <v>799</v>
      </c>
      <c r="O115" t="n">
        <f>ROUND('밸런스 조정'!$C$73*(1+'밸런스 조정'!$C$75)^6*IF(M115="Boss",'밸런스 조정'!$C$79,IF(M115="Elite",'밸런스 조정'!$C$77,1)),0)</f>
        <v>2680</v>
      </c>
      <c r="P115" t="n">
        <f>'밸런스 조정'!$C$75</f>
        <v>0.05</v>
      </c>
      <c r="Q115">
        <f>'밸런스 조정'!$C$64</f>
        <v>0</v>
      </c>
      <c r="R115" t="n">
        <f>'밸런스 조정'!$C$90*IF(M115="Boss",5,IF(M115="Elite",2,1))</f>
        <v>350</v>
      </c>
    </row>
    <row r="116" spans="2:18">
      <c r="B116">
        <v>114</v>
      </c>
      <c r="C116" t="s">
        <v>307</v>
      </c>
      <c r="D116" t="s">
        <v>322</v>
      </c>
      <c r="E116">
        <v>1</v>
      </c>
      <c r="F116" t="s">
        <v>208</v>
      </c>
      <c r="G116">
        <v>2.2000000000000002</v>
      </c>
      <c r="H116">
        <v>1.2</v>
      </c>
      <c r="I116">
        <v>28</v>
      </c>
      <c r="J116">
        <v>0.65</v>
      </c>
      <c r="K116">
        <v>12</v>
      </c>
      <c r="L116" t="s">
        <v>203</v>
      </c>
      <c r="M116" t="s">
        <v>43</v>
      </c>
      <c r="N116">
        <f>ROUND('밸런스 조정'!$C$72*(1+'밸런스 조정'!$C$74)^6*IF(M116="Boss",'밸런스 조정'!$C$78,IF(M116="Elite",'밸런스 조정'!$C$76,1)),0)</f>
        <v>799</v>
      </c>
      <c r="O116" t="n">
        <f>ROUND(O115*(1+P116),0)</f>
        <v>3082</v>
      </c>
      <c r="P116">
        <v>0.15</v>
      </c>
      <c r="Q116">
        <f>'밸런스 조정'!$C$64</f>
        <v>0</v>
      </c>
      <c r="R116" t="n">
        <f>'밸런스 조정'!$C$90*IF(M116="Boss",5,IF(M116="Elite",2,1))</f>
        <v>350</v>
      </c>
    </row>
    <row r="117" spans="2:18">
      <c r="B117">
        <v>115</v>
      </c>
      <c r="C117" t="s">
        <v>307</v>
      </c>
      <c r="D117" t="s">
        <v>323</v>
      </c>
      <c r="E117">
        <v>1</v>
      </c>
      <c r="F117" t="s">
        <v>220</v>
      </c>
      <c r="G117">
        <v>2.2000000000000002</v>
      </c>
      <c r="H117">
        <v>0</v>
      </c>
      <c r="I117">
        <v>16</v>
      </c>
      <c r="J117" t="n">
        <v>0.6</v>
      </c>
      <c r="K117">
        <v>10.199999999999999</v>
      </c>
      <c r="L117" t="s">
        <v>309</v>
      </c>
      <c r="M117" t="s">
        <v>43</v>
      </c>
      <c r="N117">
        <f>(ROUND('밸런스 조정'!$C$72*(1+'밸런스 조정'!$C$74)^7*IF(M117="Boss",'밸런스 조정'!$C$78,IF(M117="Elite",'밸런스 조정'!$C$76,1)),0))*0.45</f>
        <v>372.15000000000003</v>
      </c>
      <c r="O117" t="n">
        <f>ROUND('밸런스 조정'!$C$73*(1+'밸런스 조정'!$C$75)^7*IF(M117="Boss",'밸런스 조정'!$C$79,IF(M117="Elite",'밸런스 조정'!$C$77,1)),0)</f>
        <v>2814</v>
      </c>
      <c r="P117" t="n">
        <f>'밸런스 조정'!$C$75</f>
        <v>0.05</v>
      </c>
      <c r="Q117">
        <f>'밸런스 조정'!$C$64</f>
        <v>0</v>
      </c>
      <c r="R117" t="n">
        <f>'밸런스 조정'!$C$90*IF(M117="Boss",5,IF(M117="Elite",2,1))</f>
        <v>350</v>
      </c>
    </row>
    <row r="118" spans="2:18">
      <c r="B118">
        <v>116</v>
      </c>
      <c r="C118" t="s">
        <v>307</v>
      </c>
      <c r="D118" t="s">
        <v>324</v>
      </c>
      <c r="E118">
        <v>1</v>
      </c>
      <c r="F118" t="s">
        <v>220</v>
      </c>
      <c r="G118">
        <v>2.2000000000000002</v>
      </c>
      <c r="H118">
        <v>0</v>
      </c>
      <c r="I118">
        <v>12</v>
      </c>
      <c r="J118" t="n">
        <v>0.6</v>
      </c>
      <c r="K118">
        <v>10.199999999999999</v>
      </c>
      <c r="L118" t="s">
        <v>203</v>
      </c>
      <c r="M118" t="s">
        <v>43</v>
      </c>
      <c r="N118">
        <f>(ROUND('밸런스 조정'!$C$72*(1+'밸런스 조정'!$C$74)^7*IF(M118="Boss",'밸런스 조정'!$C$78,IF(M118="Elite",'밸런스 조정'!$C$76,1)),0))*0.45</f>
        <v>372.15000000000003</v>
      </c>
      <c r="O118" t="n">
        <f>ROUND(O117*(1+P118),0)</f>
        <v>3236</v>
      </c>
      <c r="P118">
        <v>0.15</v>
      </c>
      <c r="Q118">
        <f>'밸런스 조정'!$C$64</f>
        <v>0</v>
      </c>
      <c r="R118" t="n">
        <f>'밸런스 조정'!$C$90*IF(M118="Boss",5,IF(M118="Elite",2,1))</f>
        <v>350</v>
      </c>
    </row>
    <row r="119" spans="2:18">
      <c r="B119">
        <v>117</v>
      </c>
      <c r="C119" t="s">
        <v>307</v>
      </c>
      <c r="D119" t="s">
        <v>325</v>
      </c>
      <c r="E119">
        <v>1</v>
      </c>
      <c r="F119" t="s">
        <v>220</v>
      </c>
      <c r="G119">
        <v>2.2000000000000002</v>
      </c>
      <c r="H119">
        <v>0</v>
      </c>
      <c r="I119">
        <v>16</v>
      </c>
      <c r="J119">
        <v>0.65</v>
      </c>
      <c r="K119">
        <v>10.199999999999999</v>
      </c>
      <c r="L119" t="s">
        <v>309</v>
      </c>
      <c r="M119" t="s">
        <v>43</v>
      </c>
      <c r="N119">
        <f>(ROUND('밸런스 조정'!$C$72*(1+'밸런스 조정'!$C$74)^8*IF(M119="Boss",'밸런스 조정'!$C$78,IF(M119="Elite",'밸런스 조정'!$C$76,1)),0))*0.45</f>
        <v>385.2</v>
      </c>
      <c r="O119" t="n">
        <f>ROUND('밸런스 조정'!$C$73*(1+'밸런스 조정'!$C$75)^8*IF(M119="Boss",'밸런스 조정'!$C$79,IF(M119="Elite",'밸런스 조정'!$C$77,1)),0)</f>
        <v>2955</v>
      </c>
      <c r="P119" t="n">
        <f>'밸런스 조정'!$C$75</f>
        <v>0.05</v>
      </c>
      <c r="Q119">
        <f>'밸런스 조정'!$C$64</f>
        <v>0</v>
      </c>
      <c r="R119" t="n">
        <f>'밸런스 조정'!$C$90*IF(M119="Boss",5,IF(M119="Elite",2,1))</f>
        <v>350</v>
      </c>
    </row>
    <row r="120" spans="2:18">
      <c r="B120">
        <v>118</v>
      </c>
      <c r="C120" t="s">
        <v>307</v>
      </c>
      <c r="D120" t="s">
        <v>326</v>
      </c>
      <c r="E120">
        <v>1</v>
      </c>
      <c r="F120" t="s">
        <v>220</v>
      </c>
      <c r="G120">
        <v>2.2000000000000002</v>
      </c>
      <c r="H120">
        <v>0</v>
      </c>
      <c r="I120">
        <v>12</v>
      </c>
      <c r="J120">
        <v>0.9</v>
      </c>
      <c r="K120">
        <v>10.199999999999999</v>
      </c>
      <c r="L120" t="s">
        <v>203</v>
      </c>
      <c r="M120" t="s">
        <v>43</v>
      </c>
      <c r="N120">
        <f>(ROUND('밸런스 조정'!$C$72*(1+'밸런스 조정'!$C$74)^8*IF(M120="Boss",'밸런스 조정'!$C$78,IF(M120="Elite",'밸런스 조정'!$C$76,1)),0))*0.45</f>
        <v>385.2</v>
      </c>
      <c r="O120" t="n">
        <f>ROUND(O119*(1+P120),0)</f>
        <v>3398</v>
      </c>
      <c r="P120">
        <v>0.15</v>
      </c>
      <c r="Q120">
        <f>'밸런스 조정'!$C$64</f>
        <v>0</v>
      </c>
      <c r="R120" t="n">
        <f>'밸런스 조정'!$C$90*IF(M120="Boss",5,IF(M120="Elite",2,1))</f>
        <v>350</v>
      </c>
    </row>
    <row r="121" spans="2:18">
      <c r="B121">
        <v>119</v>
      </c>
      <c r="C121" t="s">
        <v>307</v>
      </c>
      <c r="D121" t="s">
        <v>327</v>
      </c>
      <c r="E121">
        <v>1</v>
      </c>
      <c r="F121" t="s">
        <v>220</v>
      </c>
      <c r="G121">
        <v>2.2000000000000002</v>
      </c>
      <c r="H121">
        <v>0</v>
      </c>
      <c r="I121">
        <v>16</v>
      </c>
      <c r="J121">
        <v>0.65</v>
      </c>
      <c r="K121">
        <v>10.199999999999999</v>
      </c>
      <c r="L121" t="s">
        <v>309</v>
      </c>
      <c r="M121" t="s">
        <v>81</v>
      </c>
      <c r="N121">
        <f>(ROUND('밸런스 조정'!$C$72*(1+'밸런스 조정'!$C$74)^9*IF(M121="Boss",'밸런스 조정'!$C$78,IF(M121="Elite",'밸런스 조정'!$C$76,1)),0))*0.45</f>
        <v>498.15000000000003</v>
      </c>
      <c r="O121" t="n">
        <f>ROUND('밸런스 조정'!$C$73*(1+'밸런스 조정'!$C$75)^9*IF(M121="Boss",'밸런스 조정'!$C$79,IF(M121="Elite",'밸런스 조정'!$C$77,1)),0)</f>
        <v>4654</v>
      </c>
      <c r="P121" t="n">
        <f>'밸런스 조정'!$C$75</f>
        <v>0.05</v>
      </c>
      <c r="Q121">
        <f>'밸런스 조정'!$C$64</f>
        <v>0</v>
      </c>
      <c r="R121" t="n">
        <f>'밸런스 조정'!$C$90*IF(M121="Boss",5,IF(M121="Elite",2,1))</f>
        <v>700</v>
      </c>
    </row>
    <row r="122" spans="2:18">
      <c r="B122">
        <v>120</v>
      </c>
      <c r="C122" t="s">
        <v>307</v>
      </c>
      <c r="D122" t="s">
        <v>328</v>
      </c>
      <c r="E122">
        <v>1</v>
      </c>
      <c r="F122" t="s">
        <v>220</v>
      </c>
      <c r="G122">
        <v>2.2000000000000002</v>
      </c>
      <c r="H122">
        <v>0</v>
      </c>
      <c r="I122">
        <v>12</v>
      </c>
      <c r="J122">
        <v>0.9</v>
      </c>
      <c r="K122">
        <v>10.199999999999999</v>
      </c>
      <c r="L122" t="s">
        <v>203</v>
      </c>
      <c r="M122" t="s">
        <v>81</v>
      </c>
      <c r="N122">
        <f>(ROUND('밸런스 조정'!$C$72*(1+'밸런스 조정'!$C$74)^9*IF(M122="Boss",'밸런스 조정'!$C$78,IF(M122="Elite",'밸런스 조정'!$C$76,1)),0))*0.45</f>
        <v>498.15000000000003</v>
      </c>
      <c r="O122" t="n">
        <f>ROUND(O121*(1+P122),0)</f>
        <v>5352</v>
      </c>
      <c r="P122">
        <v>0.15</v>
      </c>
      <c r="Q122">
        <f>'밸런스 조정'!$C$64</f>
        <v>0</v>
      </c>
      <c r="R122" t="n">
        <f>'밸런스 조정'!$C$90*IF(M122="Boss",5,IF(M122="Elite",2,1))</f>
        <v>700</v>
      </c>
    </row>
    <row r="123" spans="2:18">
      <c r="B123">
        <v>121</v>
      </c>
      <c r="C123" t="s">
        <v>307</v>
      </c>
      <c r="D123" t="s">
        <v>329</v>
      </c>
      <c r="E123">
        <v>0</v>
      </c>
      <c r="F123" t="s">
        <v>208</v>
      </c>
      <c r="G123">
        <v>2.2000000000000002</v>
      </c>
      <c r="H123">
        <v>1.2</v>
      </c>
      <c r="I123">
        <v>32</v>
      </c>
      <c r="J123">
        <v>0.65</v>
      </c>
      <c r="K123">
        <v>12</v>
      </c>
      <c r="L123" t="s">
        <v>309</v>
      </c>
      <c r="M123" t="s">
        <v>43</v>
      </c>
      <c r="N123">
        <f>ROUND('밸런스 조정'!$C$72*(1+'밸런스 조정'!$C$74)^10*IF(M123="Boss",'밸런스 조정'!$C$78,IF(M123="Elite",'밸런스 조정'!$C$76,1)),0)</f>
        <v>917</v>
      </c>
      <c r="O123" t="n">
        <f>ROUND('밸런스 조정'!$C$73*(1+'밸런스 조정'!$C$75)^10*IF(M123="Boss",'밸런스 조정'!$C$79,IF(M123="Elite",'밸런스 조정'!$C$77,1)),0)</f>
        <v>3258</v>
      </c>
      <c r="P123" t="n">
        <f>'밸런스 조정'!$C$75</f>
        <v>0.05</v>
      </c>
      <c r="Q123">
        <f>'밸런스 조정'!$C$64</f>
        <v>0</v>
      </c>
      <c r="R123" t="n">
        <f>'밸런스 조정'!$C$90*IF(M123="Boss",5,IF(M123="Elite",2,1))</f>
        <v>350</v>
      </c>
    </row>
    <row r="124" spans="2:18">
      <c r="B124">
        <v>122</v>
      </c>
      <c r="C124" t="s">
        <v>307</v>
      </c>
      <c r="D124" t="s">
        <v>330</v>
      </c>
      <c r="E124">
        <v>0</v>
      </c>
      <c r="F124" t="s">
        <v>208</v>
      </c>
      <c r="G124">
        <v>2.2000000000000002</v>
      </c>
      <c r="H124">
        <v>1.2</v>
      </c>
      <c r="I124">
        <v>28</v>
      </c>
      <c r="J124">
        <v>0.65</v>
      </c>
      <c r="K124">
        <v>12</v>
      </c>
      <c r="L124" t="s">
        <v>203</v>
      </c>
      <c r="M124" t="s">
        <v>43</v>
      </c>
      <c r="N124">
        <f>ROUND('밸런스 조정'!$C$72*(1+'밸런스 조정'!$C$74)^10*IF(M124="Boss",'밸런스 조정'!$C$78,IF(M124="Elite",'밸런스 조정'!$C$76,1)),0)</f>
        <v>917</v>
      </c>
      <c r="O124" t="n">
        <f>ROUND(O123*(1+P124),0)</f>
        <v>3747</v>
      </c>
      <c r="P124">
        <v>0.15</v>
      </c>
      <c r="Q124">
        <f>'밸런스 조정'!$C$64</f>
        <v>0</v>
      </c>
      <c r="R124" t="n">
        <f>'밸런스 조정'!$C$90*IF(M124="Boss",5,IF(M124="Elite",2,1))</f>
        <v>350</v>
      </c>
    </row>
    <row r="125" spans="2:18">
      <c r="B125">
        <v>123</v>
      </c>
      <c r="C125" t="s">
        <v>307</v>
      </c>
      <c r="D125" t="s">
        <v>331</v>
      </c>
      <c r="E125">
        <v>0</v>
      </c>
      <c r="F125" t="s">
        <v>208</v>
      </c>
      <c r="G125">
        <v>2.2000000000000002</v>
      </c>
      <c r="H125">
        <v>1.2</v>
      </c>
      <c r="I125">
        <v>32</v>
      </c>
      <c r="J125">
        <v>0.65</v>
      </c>
      <c r="K125">
        <v>12</v>
      </c>
      <c r="L125" t="s">
        <v>309</v>
      </c>
      <c r="M125" t="s">
        <v>43</v>
      </c>
      <c r="N125">
        <f>ROUND('밸런스 조정'!$C$72*(1+'밸런스 조정'!$C$74)^11*IF(M125="Boss",'밸런스 조정'!$C$78,IF(M125="Elite",'밸런스 조정'!$C$76,1)),0)</f>
        <v>949</v>
      </c>
      <c r="O125" t="n">
        <f>ROUND('밸런스 조정'!$C$73*(1+'밸런스 조정'!$C$75)^11*IF(M125="Boss",'밸런스 조정'!$C$79,IF(M125="Elite",'밸런스 조정'!$C$77,1)),0)</f>
        <v>3421</v>
      </c>
      <c r="P125" t="n">
        <f>'밸런스 조정'!$C$75</f>
        <v>0.05</v>
      </c>
      <c r="Q125">
        <f>'밸런스 조정'!$C$64</f>
        <v>0</v>
      </c>
      <c r="R125" t="n">
        <f>'밸런스 조정'!$C$90*IF(M125="Boss",5,IF(M125="Elite",2,1))</f>
        <v>350</v>
      </c>
    </row>
    <row r="126" spans="2:18">
      <c r="B126">
        <v>124</v>
      </c>
      <c r="C126" t="s">
        <v>307</v>
      </c>
      <c r="D126" t="s">
        <v>332</v>
      </c>
      <c r="E126">
        <v>0</v>
      </c>
      <c r="F126" t="s">
        <v>208</v>
      </c>
      <c r="G126">
        <v>2.2000000000000002</v>
      </c>
      <c r="H126">
        <v>1.2</v>
      </c>
      <c r="I126">
        <v>28</v>
      </c>
      <c r="J126">
        <v>0.65</v>
      </c>
      <c r="K126">
        <v>12</v>
      </c>
      <c r="L126" t="s">
        <v>203</v>
      </c>
      <c r="M126" t="s">
        <v>43</v>
      </c>
      <c r="N126">
        <f>ROUND('밸런스 조정'!$C$72*(1+'밸런스 조정'!$C$74)^11*IF(M126="Boss",'밸런스 조정'!$C$78,IF(M126="Elite",'밸런스 조정'!$C$76,1)),0)</f>
        <v>949</v>
      </c>
      <c r="O126" t="n">
        <f>ROUND(O125*(1+P126),0)</f>
        <v>3934</v>
      </c>
      <c r="P126">
        <v>0.15</v>
      </c>
      <c r="Q126">
        <f>'밸런스 조정'!$C$64</f>
        <v>0</v>
      </c>
      <c r="R126" t="n">
        <f>'밸런스 조정'!$C$90*IF(M126="Boss",5,IF(M126="Elite",2,1))</f>
        <v>350</v>
      </c>
    </row>
    <row r="127" spans="2:18">
      <c r="B127">
        <v>125</v>
      </c>
      <c r="C127" t="s">
        <v>307</v>
      </c>
      <c r="D127" t="s">
        <v>333</v>
      </c>
      <c r="E127">
        <v>1</v>
      </c>
      <c r="F127" t="s">
        <v>220</v>
      </c>
      <c r="G127">
        <v>2.2000000000000002</v>
      </c>
      <c r="H127">
        <v>0</v>
      </c>
      <c r="I127">
        <v>16</v>
      </c>
      <c r="J127" t="n">
        <v>0.6</v>
      </c>
      <c r="K127">
        <v>10.199999999999999</v>
      </c>
      <c r="L127" t="s">
        <v>309</v>
      </c>
      <c r="M127" t="s">
        <v>43</v>
      </c>
      <c r="N127">
        <f>(ROUND('밸런스 조정'!$C$72*(1+'밸런스 조정'!$C$74)^12*IF(M127="Boss",'밸런스 조정'!$C$78,IF(M127="Elite",'밸런스 조정'!$C$76,1)),0))*0.45</f>
        <v>441.90000000000003</v>
      </c>
      <c r="O127" t="n">
        <f>ROUND('밸런스 조정'!$C$73*(1+'밸런스 조정'!$C$75)^12*IF(M127="Boss",'밸런스 조정'!$C$79,IF(M127="Elite",'밸런스 조정'!$C$77,1)),0)</f>
        <v>3592</v>
      </c>
      <c r="P127" t="n">
        <f>'밸런스 조정'!$C$75</f>
        <v>0.05</v>
      </c>
      <c r="Q127">
        <f>'밸런스 조정'!$C$64</f>
        <v>0</v>
      </c>
      <c r="R127" t="n">
        <f>'밸런스 조정'!$C$90*IF(M127="Boss",5,IF(M127="Elite",2,1))</f>
        <v>350</v>
      </c>
    </row>
    <row r="128" spans="2:18">
      <c r="B128">
        <v>126</v>
      </c>
      <c r="C128" t="s">
        <v>307</v>
      </c>
      <c r="D128" t="s">
        <v>334</v>
      </c>
      <c r="E128">
        <v>1</v>
      </c>
      <c r="F128" t="s">
        <v>220</v>
      </c>
      <c r="G128">
        <v>2.2000000000000002</v>
      </c>
      <c r="H128">
        <v>0</v>
      </c>
      <c r="I128">
        <v>12</v>
      </c>
      <c r="J128" t="n">
        <v>0.6</v>
      </c>
      <c r="K128">
        <v>10.199999999999999</v>
      </c>
      <c r="L128" t="s">
        <v>203</v>
      </c>
      <c r="M128" t="s">
        <v>43</v>
      </c>
      <c r="N128">
        <f>(ROUND('밸런스 조정'!$C$72*(1+'밸런스 조정'!$C$74)^12*IF(M128="Boss",'밸런스 조정'!$C$78,IF(M128="Elite",'밸런스 조정'!$C$76,1)),0))*0.45</f>
        <v>441.90000000000003</v>
      </c>
      <c r="O128" t="n">
        <f>ROUND(O127*(1+P128),0)</f>
        <v>4131</v>
      </c>
      <c r="P128">
        <v>0.15</v>
      </c>
      <c r="Q128">
        <f>'밸런스 조정'!$C$64</f>
        <v>0</v>
      </c>
      <c r="R128" t="n">
        <f>'밸런스 조정'!$C$90*IF(M128="Boss",5,IF(M128="Elite",2,1))</f>
        <v>350</v>
      </c>
    </row>
    <row r="129" spans="2:18">
      <c r="B129">
        <v>127</v>
      </c>
      <c r="C129" t="s">
        <v>307</v>
      </c>
      <c r="D129" t="s">
        <v>335</v>
      </c>
      <c r="E129">
        <v>1</v>
      </c>
      <c r="F129" t="s">
        <v>220</v>
      </c>
      <c r="G129">
        <v>2.2000000000000002</v>
      </c>
      <c r="H129">
        <v>0</v>
      </c>
      <c r="I129">
        <v>16</v>
      </c>
      <c r="J129">
        <v>0.65</v>
      </c>
      <c r="K129">
        <v>10.199999999999999</v>
      </c>
      <c r="L129" t="s">
        <v>309</v>
      </c>
      <c r="M129" t="s">
        <v>43</v>
      </c>
      <c r="N129">
        <f>(ROUND('밸런스 조정'!$C$72*(1+'밸런스 조정'!$C$74)^13*IF(M129="Boss",'밸런스 조정'!$C$78,IF(M129="Elite",'밸런스 조정'!$C$76,1)),0))*0.45</f>
        <v>457.65000000000003</v>
      </c>
      <c r="O129" t="n">
        <f>ROUND('밸런스 조정'!$C$73*(1+'밸런스 조정'!$C$75)^13*IF(M129="Boss",'밸런스 조정'!$C$79,IF(M129="Elite",'밸런스 조정'!$C$77,1)),0)</f>
        <v>3771</v>
      </c>
      <c r="P129" t="n">
        <f>'밸런스 조정'!$C$75</f>
        <v>0.05</v>
      </c>
      <c r="Q129">
        <f>'밸런스 조정'!$C$64</f>
        <v>0</v>
      </c>
      <c r="R129" t="n">
        <f>'밸런스 조정'!$C$90*IF(M129="Boss",5,IF(M129="Elite",2,1))</f>
        <v>350</v>
      </c>
    </row>
    <row r="130" spans="2:18">
      <c r="B130">
        <v>128</v>
      </c>
      <c r="C130" t="s">
        <v>307</v>
      </c>
      <c r="D130" t="s">
        <v>336</v>
      </c>
      <c r="E130">
        <v>1</v>
      </c>
      <c r="F130" t="s">
        <v>220</v>
      </c>
      <c r="G130">
        <v>2.2000000000000002</v>
      </c>
      <c r="H130">
        <v>0</v>
      </c>
      <c r="I130">
        <v>12</v>
      </c>
      <c r="J130">
        <v>0.9</v>
      </c>
      <c r="K130">
        <v>10.199999999999999</v>
      </c>
      <c r="L130" t="s">
        <v>203</v>
      </c>
      <c r="M130" t="s">
        <v>43</v>
      </c>
      <c r="N130">
        <f>(ROUND('밸런스 조정'!$C$72*(1+'밸런스 조정'!$C$74)^13*IF(M130="Boss",'밸런스 조정'!$C$78,IF(M130="Elite",'밸런스 조정'!$C$76,1)),0))*0.45</f>
        <v>457.65000000000003</v>
      </c>
      <c r="O130" t="n">
        <f>ROUND(O129*(1+P130),0)</f>
        <v>4337</v>
      </c>
      <c r="P130">
        <v>0.15</v>
      </c>
      <c r="Q130">
        <f>'밸런스 조정'!$C$64</f>
        <v>0</v>
      </c>
      <c r="R130" t="n">
        <f>'밸런스 조정'!$C$90*IF(M130="Boss",5,IF(M130="Elite",2,1))</f>
        <v>350</v>
      </c>
    </row>
    <row r="131" spans="2:18">
      <c r="B131">
        <v>129</v>
      </c>
      <c r="C131" t="s">
        <v>307</v>
      </c>
      <c r="D131" t="s">
        <v>337</v>
      </c>
      <c r="E131">
        <v>1</v>
      </c>
      <c r="F131" t="s">
        <v>220</v>
      </c>
      <c r="G131">
        <v>2.2000000000000002</v>
      </c>
      <c r="H131">
        <v>0</v>
      </c>
      <c r="I131">
        <v>16</v>
      </c>
      <c r="J131">
        <v>0.65</v>
      </c>
      <c r="K131">
        <v>10.199999999999999</v>
      </c>
      <c r="L131" t="s">
        <v>309</v>
      </c>
      <c r="M131" t="s">
        <v>81</v>
      </c>
      <c r="N131">
        <f>(ROUND('밸런스 조정'!$C$72*(1+'밸런스 조정'!$C$74)^14*IF(M131="Boss",'밸런스 조정'!$C$78,IF(M131="Elite",'밸런스 조정'!$C$76,1)),0))*0.45</f>
        <v>591.75</v>
      </c>
      <c r="O131" t="n">
        <f>ROUND('밸런스 조정'!$C$73*(1+'밸런스 조정'!$C$75)^14*IF(M131="Boss",'밸런스 조정'!$C$79,IF(M131="Elite",'밸런스 조정'!$C$77,1)),0)</f>
        <v>5940</v>
      </c>
      <c r="P131" t="n">
        <f>'밸런스 조정'!$C$75</f>
        <v>0.05</v>
      </c>
      <c r="Q131">
        <f>'밸런스 조정'!$C$64</f>
        <v>0</v>
      </c>
      <c r="R131" t="n">
        <f>'밸런스 조정'!$C$90*IF(M131="Boss",5,IF(M131="Elite",2,1))</f>
        <v>700</v>
      </c>
    </row>
    <row r="132" spans="2:18">
      <c r="B132">
        <v>130</v>
      </c>
      <c r="C132" t="s">
        <v>307</v>
      </c>
      <c r="D132" t="s">
        <v>338</v>
      </c>
      <c r="E132">
        <v>1</v>
      </c>
      <c r="F132" t="s">
        <v>220</v>
      </c>
      <c r="G132">
        <v>2.2000000000000002</v>
      </c>
      <c r="H132">
        <v>0</v>
      </c>
      <c r="I132">
        <v>12</v>
      </c>
      <c r="J132">
        <v>0.9</v>
      </c>
      <c r="K132">
        <v>10.199999999999999</v>
      </c>
      <c r="L132" t="s">
        <v>203</v>
      </c>
      <c r="M132" t="s">
        <v>81</v>
      </c>
      <c r="N132">
        <f>(ROUND('밸런스 조정'!$C$72*(1+'밸런스 조정'!$C$74)^14*IF(M132="Boss",'밸런스 조정'!$C$78,IF(M132="Elite",'밸런스 조정'!$C$76,1)),0))*0.45</f>
        <v>591.75</v>
      </c>
      <c r="O132" t="n">
        <f>ROUND(O131*(1+P132),0)</f>
        <v>6831</v>
      </c>
      <c r="P132">
        <v>0.15</v>
      </c>
      <c r="Q132">
        <f>'밸런스 조정'!$C$64</f>
        <v>0</v>
      </c>
      <c r="R132" t="n">
        <f>'밸런스 조정'!$C$90*IF(M132="Boss",5,IF(M132="Elite",2,1))</f>
        <v>700</v>
      </c>
    </row>
    <row r="133" spans="2:18">
      <c r="B133">
        <v>131</v>
      </c>
      <c r="C133" t="s">
        <v>307</v>
      </c>
      <c r="D133" t="s">
        <v>339</v>
      </c>
      <c r="E133">
        <v>1</v>
      </c>
      <c r="F133" t="s">
        <v>208</v>
      </c>
      <c r="G133">
        <v>2.2000000000000002</v>
      </c>
      <c r="H133">
        <v>1.2</v>
      </c>
      <c r="I133">
        <v>32</v>
      </c>
      <c r="J133">
        <v>0.65</v>
      </c>
      <c r="K133">
        <v>12</v>
      </c>
      <c r="L133" t="s">
        <v>309</v>
      </c>
      <c r="M133" t="s">
        <v>43</v>
      </c>
      <c r="N133">
        <f>ROUND('밸런스 조정'!$C$72*(1+'밸런스 조정'!$C$74)^15*IF(M133="Boss",'밸런스 조정'!$C$78,IF(M133="Elite",'밸런스 조정'!$C$76,1)),0)</f>
        <v>1089</v>
      </c>
      <c r="O133" t="n">
        <f>ROUND('밸런스 조정'!$C$73*(1+'밸런스 조정'!$C$75)^15*IF(M133="Boss",'밸런스 조정'!$C$79,IF(M133="Elite",'밸런스 조정'!$C$77,1)),0)</f>
        <v>4158</v>
      </c>
      <c r="P133" t="n">
        <f>'밸런스 조정'!$C$75</f>
        <v>0.05</v>
      </c>
      <c r="Q133">
        <f>'밸런스 조정'!$C$64</f>
        <v>0</v>
      </c>
      <c r="R133" t="n">
        <f>'밸런스 조정'!$C$90*IF(M133="Boss",5,IF(M133="Elite",2,1))</f>
        <v>350</v>
      </c>
    </row>
    <row r="134" spans="2:18">
      <c r="B134">
        <v>132</v>
      </c>
      <c r="C134" t="s">
        <v>307</v>
      </c>
      <c r="D134" t="s">
        <v>340</v>
      </c>
      <c r="E134">
        <v>1</v>
      </c>
      <c r="F134" t="s">
        <v>208</v>
      </c>
      <c r="G134">
        <v>2.2000000000000002</v>
      </c>
      <c r="H134">
        <v>1.2</v>
      </c>
      <c r="I134">
        <v>28</v>
      </c>
      <c r="J134">
        <v>0.65</v>
      </c>
      <c r="K134">
        <v>12</v>
      </c>
      <c r="L134" t="s">
        <v>203</v>
      </c>
      <c r="M134" t="s">
        <v>43</v>
      </c>
      <c r="N134">
        <f>ROUND('밸런스 조정'!$C$72*(1+'밸런스 조정'!$C$74)^15*IF(M134="Boss",'밸런스 조정'!$C$78,IF(M134="Elite",'밸런스 조정'!$C$76,1)),0)</f>
        <v>1089</v>
      </c>
      <c r="O134" t="n">
        <f>ROUND(O133*(1+P134),0)</f>
        <v>4782</v>
      </c>
      <c r="P134">
        <v>0.15</v>
      </c>
      <c r="Q134">
        <f>'밸런스 조정'!$C$64</f>
        <v>0</v>
      </c>
      <c r="R134" t="n">
        <f>'밸런스 조정'!$C$90*IF(M134="Boss",5,IF(M134="Elite",2,1))</f>
        <v>350</v>
      </c>
    </row>
    <row r="135" spans="2:18">
      <c r="B135">
        <v>133</v>
      </c>
      <c r="C135" t="s">
        <v>307</v>
      </c>
      <c r="D135" t="s">
        <v>341</v>
      </c>
      <c r="E135">
        <v>1</v>
      </c>
      <c r="F135" t="s">
        <v>208</v>
      </c>
      <c r="G135">
        <v>2.2000000000000002</v>
      </c>
      <c r="H135">
        <v>1.2</v>
      </c>
      <c r="I135">
        <v>32</v>
      </c>
      <c r="J135">
        <v>0.65</v>
      </c>
      <c r="K135">
        <v>12</v>
      </c>
      <c r="L135" t="s">
        <v>309</v>
      </c>
      <c r="M135" t="s">
        <v>43</v>
      </c>
      <c r="N135">
        <f>ROUND('밸런스 조정'!$C$72*(1+'밸런스 조정'!$C$74)^16*IF(M135="Boss",'밸런스 조정'!$C$78,IF(M135="Elite",'밸런스 조정'!$C$76,1)),0)</f>
        <v>1127</v>
      </c>
      <c r="O135" t="n">
        <f>ROUND('밸런스 조정'!$C$73*(1+'밸런스 조정'!$C$75)^16*IF(M135="Boss",'밸런스 조정'!$C$79,IF(M135="Elite",'밸런스 조정'!$C$77,1)),0)</f>
        <v>4366</v>
      </c>
      <c r="P135" t="n">
        <f>'밸런스 조정'!$C$75</f>
        <v>0.05</v>
      </c>
      <c r="Q135">
        <f>'밸런스 조정'!$C$64</f>
        <v>0</v>
      </c>
      <c r="R135" t="n">
        <f>'밸런스 조정'!$C$90*IF(M135="Boss",5,IF(M135="Elite",2,1))</f>
        <v>350</v>
      </c>
    </row>
    <row r="136" spans="2:18">
      <c r="B136">
        <v>134</v>
      </c>
      <c r="C136" t="s">
        <v>307</v>
      </c>
      <c r="D136" t="s">
        <v>342</v>
      </c>
      <c r="E136">
        <v>1</v>
      </c>
      <c r="F136" t="s">
        <v>208</v>
      </c>
      <c r="G136">
        <v>2.2000000000000002</v>
      </c>
      <c r="H136">
        <v>1.2</v>
      </c>
      <c r="I136">
        <v>28</v>
      </c>
      <c r="J136">
        <v>0.65</v>
      </c>
      <c r="K136">
        <v>12</v>
      </c>
      <c r="L136" t="s">
        <v>203</v>
      </c>
      <c r="M136" t="s">
        <v>43</v>
      </c>
      <c r="N136">
        <f>ROUND('밸런스 조정'!$C$72*(1+'밸런스 조정'!$C$74)^16*IF(M136="Boss",'밸런스 조정'!$C$78,IF(M136="Elite",'밸런스 조정'!$C$76,1)),0)</f>
        <v>1127</v>
      </c>
      <c r="O136" t="n">
        <f>ROUND(O135*(1+P136),0)</f>
        <v>5021</v>
      </c>
      <c r="P136">
        <v>0.15</v>
      </c>
      <c r="Q136">
        <f>'밸런스 조정'!$C$64</f>
        <v>0</v>
      </c>
      <c r="R136" t="n">
        <f>'밸런스 조정'!$C$90*IF(M136="Boss",5,IF(M136="Elite",2,1))</f>
        <v>350</v>
      </c>
    </row>
    <row r="137" spans="2:18">
      <c r="B137">
        <v>135</v>
      </c>
      <c r="C137" t="s">
        <v>307</v>
      </c>
      <c r="D137" t="s">
        <v>343</v>
      </c>
      <c r="E137">
        <v>1</v>
      </c>
      <c r="F137" t="s">
        <v>220</v>
      </c>
      <c r="G137">
        <v>2.2000000000000002</v>
      </c>
      <c r="H137">
        <v>0</v>
      </c>
      <c r="I137">
        <v>16</v>
      </c>
      <c r="J137" t="n">
        <v>0.6</v>
      </c>
      <c r="K137">
        <v>10.199999999999999</v>
      </c>
      <c r="L137" t="s">
        <v>309</v>
      </c>
      <c r="M137" t="s">
        <v>43</v>
      </c>
      <c r="N137">
        <f>(ROUND('밸런스 조정'!$C$72*(1+'밸런스 조정'!$C$74)^17*IF(M137="Boss",'밸런스 조정'!$C$78,IF(M137="Elite",'밸런스 조정'!$C$76,1)),0))*0.45</f>
        <v>525.15</v>
      </c>
      <c r="O137" t="n">
        <f>ROUND('밸런스 조정'!$C$73*(1+'밸런스 조정'!$C$75)^17*IF(M137="Boss",'밸런스 조정'!$C$79,IF(M137="Elite",'밸런스 조정'!$C$77,1)),0)</f>
        <v>4584</v>
      </c>
      <c r="P137" t="n">
        <f>'밸런스 조정'!$C$75</f>
        <v>0.05</v>
      </c>
      <c r="Q137">
        <f>'밸런스 조정'!$C$64</f>
        <v>0</v>
      </c>
      <c r="R137" t="n">
        <f>'밸런스 조정'!$C$90*IF(M137="Boss",5,IF(M137="Elite",2,1))</f>
        <v>350</v>
      </c>
    </row>
    <row r="138" spans="2:18">
      <c r="B138">
        <v>136</v>
      </c>
      <c r="C138" t="s">
        <v>307</v>
      </c>
      <c r="D138" t="s">
        <v>344</v>
      </c>
      <c r="E138">
        <v>1</v>
      </c>
      <c r="F138" t="s">
        <v>220</v>
      </c>
      <c r="G138">
        <v>2.2000000000000002</v>
      </c>
      <c r="H138">
        <v>0</v>
      </c>
      <c r="I138">
        <v>12</v>
      </c>
      <c r="J138" t="n">
        <v>0.6</v>
      </c>
      <c r="K138">
        <v>10.199999999999999</v>
      </c>
      <c r="L138" t="s">
        <v>203</v>
      </c>
      <c r="M138" t="s">
        <v>43</v>
      </c>
      <c r="N138">
        <f>(ROUND('밸런스 조정'!$C$72*(1+'밸런스 조정'!$C$74)^17*IF(M138="Boss",'밸런스 조정'!$C$78,IF(M138="Elite",'밸런스 조정'!$C$76,1)),0))*0.45</f>
        <v>525.15</v>
      </c>
      <c r="O138" t="n">
        <f>ROUND(O137*(1+P138),0)</f>
        <v>5272</v>
      </c>
      <c r="P138">
        <v>0.15</v>
      </c>
      <c r="Q138">
        <f>'밸런스 조정'!$C$64</f>
        <v>0</v>
      </c>
      <c r="R138" t="n">
        <f>'밸런스 조정'!$C$90*IF(M138="Boss",5,IF(M138="Elite",2,1))</f>
        <v>350</v>
      </c>
    </row>
    <row r="139" spans="2:18">
      <c r="B139">
        <v>137</v>
      </c>
      <c r="C139" t="s">
        <v>307</v>
      </c>
      <c r="D139" t="s">
        <v>345</v>
      </c>
      <c r="E139">
        <v>1</v>
      </c>
      <c r="F139" t="s">
        <v>220</v>
      </c>
      <c r="G139">
        <v>2.2000000000000002</v>
      </c>
      <c r="H139">
        <v>0</v>
      </c>
      <c r="I139">
        <v>16</v>
      </c>
      <c r="J139">
        <v>0.65</v>
      </c>
      <c r="K139">
        <v>10.199999999999999</v>
      </c>
      <c r="L139" t="s">
        <v>309</v>
      </c>
      <c r="M139" t="s">
        <v>43</v>
      </c>
      <c r="N139">
        <f>(ROUND('밸런스 조정'!$C$72*(1+'밸런스 조정'!$C$74)^18*IF(M139="Boss",'밸런스 조정'!$C$78,IF(M139="Elite",'밸런스 조정'!$C$76,1)),0))*0.45</f>
        <v>543.15</v>
      </c>
      <c r="O139" t="n">
        <f>ROUND('밸런스 조정'!$C$73*(1+'밸런스 조정'!$C$75)^18*IF(M139="Boss",'밸런스 조정'!$C$79,IF(M139="Elite",'밸런스 조정'!$C$77,1)),0)</f>
        <v>4813</v>
      </c>
      <c r="P139" t="n">
        <f>'밸런스 조정'!$C$75</f>
        <v>0.05</v>
      </c>
      <c r="Q139">
        <f>'밸런스 조정'!$C$64</f>
        <v>0</v>
      </c>
      <c r="R139" t="n">
        <f>'밸런스 조정'!$C$90*IF(M139="Boss",5,IF(M139="Elite",2,1))</f>
        <v>350</v>
      </c>
    </row>
    <row r="140" spans="2:18">
      <c r="B140">
        <v>138</v>
      </c>
      <c r="C140" t="s">
        <v>307</v>
      </c>
      <c r="D140" t="s">
        <v>346</v>
      </c>
      <c r="E140">
        <v>1</v>
      </c>
      <c r="F140" t="s">
        <v>220</v>
      </c>
      <c r="G140">
        <v>2.2000000000000002</v>
      </c>
      <c r="H140">
        <v>0</v>
      </c>
      <c r="I140">
        <v>12</v>
      </c>
      <c r="J140">
        <v>0.9</v>
      </c>
      <c r="K140">
        <v>10.199999999999999</v>
      </c>
      <c r="L140" t="s">
        <v>203</v>
      </c>
      <c r="M140" t="s">
        <v>43</v>
      </c>
      <c r="N140">
        <f>(ROUND('밸런스 조정'!$C$72*(1+'밸런스 조정'!$C$74)^18*IF(M140="Boss",'밸런스 조정'!$C$78,IF(M140="Elite",'밸런스 조정'!$C$76,1)),0))*0.45</f>
        <v>543.15</v>
      </c>
      <c r="O140" t="n">
        <f>ROUND(O139*(1+P140),0)</f>
        <v>5535</v>
      </c>
      <c r="P140">
        <v>0.15</v>
      </c>
      <c r="Q140">
        <f>'밸런스 조정'!$C$64</f>
        <v>0</v>
      </c>
      <c r="R140" t="n">
        <f>'밸런스 조정'!$C$90*IF(M140="Boss",5,IF(M140="Elite",2,1))</f>
        <v>350</v>
      </c>
    </row>
    <row r="141" spans="2:18">
      <c r="B141">
        <v>139</v>
      </c>
      <c r="C141" t="s">
        <v>307</v>
      </c>
      <c r="D141" t="s">
        <v>347</v>
      </c>
      <c r="E141">
        <v>1</v>
      </c>
      <c r="F141" t="s">
        <v>220</v>
      </c>
      <c r="G141">
        <v>2.2000000000000002</v>
      </c>
      <c r="H141">
        <v>0</v>
      </c>
      <c r="I141">
        <v>16</v>
      </c>
      <c r="J141">
        <v>0.65</v>
      </c>
      <c r="K141">
        <v>10.199999999999999</v>
      </c>
      <c r="L141" t="s">
        <v>309</v>
      </c>
      <c r="M141" t="s">
        <v>81</v>
      </c>
      <c r="N141">
        <f>(ROUND('밸런스 조정'!$C$72*(1+'밸런스 조정'!$C$74)^19*IF(M141="Boss",'밸런스 조정'!$C$78,IF(M141="Elite",'밸런스 조정'!$C$76,1)),0))*0.45</f>
        <v>702.9</v>
      </c>
      <c r="O141" t="n">
        <f>ROUND('밸런스 조정'!$C$73*(1+'밸런스 조정'!$C$75)^19*IF(M141="Boss",'밸런스 조정'!$C$79,IF(M141="Elite",'밸런스 조정'!$C$77,1)),0)</f>
        <v>7581</v>
      </c>
      <c r="P141" t="n">
        <f>'밸런스 조정'!$C$75</f>
        <v>0.05</v>
      </c>
      <c r="Q141">
        <f>'밸런스 조정'!$C$64</f>
        <v>0</v>
      </c>
      <c r="R141" t="n">
        <f>'밸런스 조정'!$C$90*IF(M141="Boss",5,IF(M141="Elite",2,1))</f>
        <v>700</v>
      </c>
    </row>
    <row r="142" spans="2:18">
      <c r="B142">
        <v>140</v>
      </c>
      <c r="C142" t="s">
        <v>307</v>
      </c>
      <c r="D142" t="s">
        <v>348</v>
      </c>
      <c r="E142">
        <v>1</v>
      </c>
      <c r="F142" t="s">
        <v>220</v>
      </c>
      <c r="G142">
        <v>2.2000000000000002</v>
      </c>
      <c r="H142">
        <v>0</v>
      </c>
      <c r="I142">
        <v>12</v>
      </c>
      <c r="J142">
        <v>0.9</v>
      </c>
      <c r="K142">
        <v>10.199999999999999</v>
      </c>
      <c r="L142" t="s">
        <v>203</v>
      </c>
      <c r="M142" t="s">
        <v>81</v>
      </c>
      <c r="N142">
        <f>(ROUND('밸런스 조정'!$C$72*(1+'밸런스 조정'!$C$74)^19*IF(M142="Boss",'밸런스 조정'!$C$78,IF(M142="Elite",'밸런스 조정'!$C$76,1)),0))*0.45</f>
        <v>702.9</v>
      </c>
      <c r="O142" t="n">
        <f>ROUND(O141*(1+P142),0)</f>
        <v>8718</v>
      </c>
      <c r="P142">
        <v>0.15</v>
      </c>
      <c r="Q142">
        <f>'밸런스 조정'!$C$64</f>
        <v>0</v>
      </c>
      <c r="R142" t="n">
        <f>'밸런스 조정'!$C$90*IF(M142="Boss",5,IF(M142="Elite",2,1))</f>
        <v>700</v>
      </c>
    </row>
    <row r="143" spans="2:18">
      <c r="B143">
        <v>141</v>
      </c>
      <c r="C143" t="s">
        <v>307</v>
      </c>
      <c r="D143" t="s">
        <v>349</v>
      </c>
      <c r="E143">
        <v>1</v>
      </c>
      <c r="F143" t="s">
        <v>208</v>
      </c>
      <c r="G143">
        <v>2.2000000000000002</v>
      </c>
      <c r="H143">
        <v>1.2</v>
      </c>
      <c r="I143">
        <v>32</v>
      </c>
      <c r="J143">
        <v>0.65</v>
      </c>
      <c r="K143">
        <v>12</v>
      </c>
      <c r="L143" t="s">
        <v>309</v>
      </c>
      <c r="M143" t="s">
        <v>43</v>
      </c>
      <c r="N143">
        <f>ROUND('밸런스 조정'!$C$72*(1+'밸런스 조정'!$C$74)^20*IF(M143="Boss",'밸런스 조정'!$C$78,IF(M143="Elite",'밸런스 조정'!$C$76,1)),0)</f>
        <v>1293</v>
      </c>
      <c r="O143" t="n">
        <f>ROUND('밸런스 조정'!$C$73*(1+'밸런스 조정'!$C$75)^20*IF(M143="Boss",'밸런스 조정'!$C$79,IF(M143="Elite",'밸런스 조정'!$C$77,1)),0)</f>
        <v>5307</v>
      </c>
      <c r="P143" t="n">
        <f>'밸런스 조정'!$C$75</f>
        <v>0.05</v>
      </c>
      <c r="Q143">
        <f>'밸런스 조정'!$C$64</f>
        <v>0</v>
      </c>
      <c r="R143" t="n">
        <f>'밸런스 조정'!$C$90*IF(M143="Boss",5,IF(M143="Elite",2,1))</f>
        <v>350</v>
      </c>
    </row>
    <row r="144" spans="2:18">
      <c r="B144">
        <v>142</v>
      </c>
      <c r="C144" t="s">
        <v>307</v>
      </c>
      <c r="D144" t="s">
        <v>350</v>
      </c>
      <c r="E144">
        <v>1</v>
      </c>
      <c r="F144" t="s">
        <v>208</v>
      </c>
      <c r="G144">
        <v>2.2000000000000002</v>
      </c>
      <c r="H144">
        <v>1.2</v>
      </c>
      <c r="I144">
        <v>28</v>
      </c>
      <c r="J144">
        <v>0.65</v>
      </c>
      <c r="K144">
        <v>12</v>
      </c>
      <c r="L144" t="s">
        <v>203</v>
      </c>
      <c r="M144" t="s">
        <v>43</v>
      </c>
      <c r="N144">
        <f>ROUND('밸런스 조정'!$C$72*(1+'밸런스 조정'!$C$74)^20*IF(M144="Boss",'밸런스 조정'!$C$78,IF(M144="Elite",'밸런스 조정'!$C$76,1)),0)</f>
        <v>1293</v>
      </c>
      <c r="O144" t="n">
        <f>ROUND(O143*(1+P144),0)</f>
        <v>6103</v>
      </c>
      <c r="P144">
        <v>0.15</v>
      </c>
      <c r="Q144">
        <f>'밸런스 조정'!$C$64</f>
        <v>0</v>
      </c>
      <c r="R144" t="n">
        <f>'밸런스 조정'!$C$90*IF(M144="Boss",5,IF(M144="Elite",2,1))</f>
        <v>350</v>
      </c>
    </row>
    <row r="145" spans="2:18">
      <c r="B145">
        <v>143</v>
      </c>
      <c r="C145" t="s">
        <v>307</v>
      </c>
      <c r="D145" t="s">
        <v>351</v>
      </c>
      <c r="E145">
        <v>1</v>
      </c>
      <c r="F145" t="s">
        <v>208</v>
      </c>
      <c r="G145">
        <v>2.2000000000000002</v>
      </c>
      <c r="H145">
        <v>1.2</v>
      </c>
      <c r="I145">
        <v>32</v>
      </c>
      <c r="J145">
        <v>0.65</v>
      </c>
      <c r="K145">
        <v>12</v>
      </c>
      <c r="L145" t="s">
        <v>309</v>
      </c>
      <c r="M145" t="s">
        <v>43</v>
      </c>
      <c r="N145">
        <f>ROUND('밸런스 조정'!$C$72*(1+'밸런스 조정'!$C$74)^21*IF(M145="Boss",'밸런스 조정'!$C$78,IF(M145="Elite",'밸런스 조정'!$C$76,1)),0)</f>
        <v>1339</v>
      </c>
      <c r="O145" t="n">
        <f>ROUND('밸런스 조정'!$C$73*(1+'밸런스 조정'!$C$75)^21*IF(M145="Boss",'밸런스 조정'!$C$79,IF(M145="Elite",'밸런스 조정'!$C$77,1)),0)</f>
        <v>5572</v>
      </c>
      <c r="P145" t="n">
        <f>'밸런스 조정'!$C$75</f>
        <v>0.05</v>
      </c>
      <c r="Q145">
        <f>'밸런스 조정'!$C$64</f>
        <v>0</v>
      </c>
      <c r="R145" t="n">
        <f>'밸런스 조정'!$C$90*IF(M145="Boss",5,IF(M145="Elite",2,1))</f>
        <v>350</v>
      </c>
    </row>
    <row r="146" spans="2:18">
      <c r="B146">
        <v>144</v>
      </c>
      <c r="C146" t="s">
        <v>307</v>
      </c>
      <c r="D146" t="s">
        <v>352</v>
      </c>
      <c r="E146">
        <v>1</v>
      </c>
      <c r="F146" t="s">
        <v>208</v>
      </c>
      <c r="G146">
        <v>2.2000000000000002</v>
      </c>
      <c r="H146">
        <v>1.2</v>
      </c>
      <c r="I146">
        <v>28</v>
      </c>
      <c r="J146">
        <v>0.65</v>
      </c>
      <c r="K146">
        <v>12</v>
      </c>
      <c r="L146" t="s">
        <v>203</v>
      </c>
      <c r="M146" t="s">
        <v>43</v>
      </c>
      <c r="N146">
        <f>ROUND('밸런스 조정'!$C$72*(1+'밸런스 조정'!$C$74)^21*IF(M146="Boss",'밸런스 조정'!$C$78,IF(M146="Elite",'밸런스 조정'!$C$76,1)),0)</f>
        <v>1339</v>
      </c>
      <c r="O146" t="n">
        <f>ROUND(O145*(1+P146),0)</f>
        <v>6408</v>
      </c>
      <c r="P146">
        <v>0.15</v>
      </c>
      <c r="Q146">
        <f>'밸런스 조정'!$C$64</f>
        <v>0</v>
      </c>
      <c r="R146" t="n">
        <f>'밸런스 조정'!$C$90*IF(M146="Boss",5,IF(M146="Elite",2,1))</f>
        <v>350</v>
      </c>
    </row>
    <row r="147" spans="2:18">
      <c r="B147">
        <v>145</v>
      </c>
      <c r="C147" t="s">
        <v>307</v>
      </c>
      <c r="D147" t="s">
        <v>353</v>
      </c>
      <c r="E147">
        <v>1</v>
      </c>
      <c r="F147" t="s">
        <v>220</v>
      </c>
      <c r="G147">
        <v>2.2000000000000002</v>
      </c>
      <c r="H147">
        <v>0</v>
      </c>
      <c r="I147">
        <v>16</v>
      </c>
      <c r="J147" t="n">
        <v>0.6</v>
      </c>
      <c r="K147">
        <v>10.199999999999999</v>
      </c>
      <c r="L147" t="s">
        <v>309</v>
      </c>
      <c r="M147" t="s">
        <v>43</v>
      </c>
      <c r="N147">
        <f>(ROUND('밸런스 조정'!$C$72*(1+'밸런스 조정'!$C$74)^22*IF(M147="Boss",'밸런스 조정'!$C$78,IF(M147="Elite",'밸런스 조정'!$C$76,1)),0))*0.45</f>
        <v>623.25</v>
      </c>
      <c r="O147" t="n">
        <f>ROUND('밸런스 조정'!$C$73*(1+'밸런스 조정'!$C$75)^22*IF(M147="Boss",'밸런스 조정'!$C$79,IF(M147="Elite",'밸런스 조정'!$C$77,1)),0)</f>
        <v>5851</v>
      </c>
      <c r="P147" t="n">
        <f>'밸런스 조정'!$C$75</f>
        <v>0.05</v>
      </c>
      <c r="Q147">
        <f>'밸런스 조정'!$C$64</f>
        <v>0</v>
      </c>
      <c r="R147" t="n">
        <f>'밸런스 조정'!$C$90*IF(M147="Boss",5,IF(M147="Elite",2,1))</f>
        <v>350</v>
      </c>
    </row>
    <row r="148" spans="2:18">
      <c r="B148">
        <v>146</v>
      </c>
      <c r="C148" t="s">
        <v>307</v>
      </c>
      <c r="D148" t="s">
        <v>354</v>
      </c>
      <c r="E148">
        <v>1</v>
      </c>
      <c r="F148" t="s">
        <v>220</v>
      </c>
      <c r="G148">
        <v>2.2000000000000002</v>
      </c>
      <c r="H148">
        <v>0</v>
      </c>
      <c r="I148">
        <v>12</v>
      </c>
      <c r="J148" t="n">
        <v>0.6</v>
      </c>
      <c r="K148">
        <v>10.199999999999999</v>
      </c>
      <c r="L148" t="s">
        <v>203</v>
      </c>
      <c r="M148" t="s">
        <v>43</v>
      </c>
      <c r="N148">
        <f>(ROUND('밸런스 조정'!$C$72*(1+'밸런스 조정'!$C$74)^22*IF(M148="Boss",'밸런스 조정'!$C$78,IF(M148="Elite",'밸런스 조정'!$C$76,1)),0))*0.45</f>
        <v>623.25</v>
      </c>
      <c r="O148" t="n">
        <f>ROUND(O147*(1+P148),0)</f>
        <v>6729</v>
      </c>
      <c r="P148">
        <v>0.15</v>
      </c>
      <c r="Q148">
        <f>'밸런스 조정'!$C$64</f>
        <v>0</v>
      </c>
      <c r="R148" t="n">
        <f>'밸런스 조정'!$C$90*IF(M148="Boss",5,IF(M148="Elite",2,1))</f>
        <v>350</v>
      </c>
    </row>
    <row r="149" spans="2:18">
      <c r="B149">
        <v>147</v>
      </c>
      <c r="C149" t="s">
        <v>307</v>
      </c>
      <c r="D149" t="s">
        <v>355</v>
      </c>
      <c r="E149">
        <v>1</v>
      </c>
      <c r="F149" t="s">
        <v>220</v>
      </c>
      <c r="G149">
        <v>2.2000000000000002</v>
      </c>
      <c r="H149">
        <v>0</v>
      </c>
      <c r="I149">
        <v>16</v>
      </c>
      <c r="J149">
        <v>0.65</v>
      </c>
      <c r="K149">
        <v>10.199999999999999</v>
      </c>
      <c r="L149" t="s">
        <v>309</v>
      </c>
      <c r="M149" t="s">
        <v>43</v>
      </c>
      <c r="N149">
        <f>(ROUND('밸런스 조정'!$C$72*(1+'밸런스 조정'!$C$74)^23*IF(M149="Boss",'밸런스 조정'!$C$78,IF(M149="Elite",'밸런스 조정'!$C$76,1)),0))*0.45</f>
        <v>645.30000000000007</v>
      </c>
      <c r="O149" t="n">
        <f>ROUND('밸런스 조정'!$C$73*(1+'밸런스 조정'!$C$75)^23*IF(M149="Boss",'밸런스 조정'!$C$79,IF(M149="Elite",'밸런스 조정'!$C$77,1)),0)</f>
        <v>6143</v>
      </c>
      <c r="P149" t="n">
        <f>'밸런스 조정'!$C$75</f>
        <v>0.05</v>
      </c>
      <c r="Q149">
        <f>'밸런스 조정'!$C$64</f>
        <v>0</v>
      </c>
      <c r="R149" t="n">
        <f>'밸런스 조정'!$C$90*IF(M149="Boss",5,IF(M149="Elite",2,1))</f>
        <v>350</v>
      </c>
    </row>
    <row r="150" spans="2:18">
      <c r="B150">
        <v>148</v>
      </c>
      <c r="C150" t="s">
        <v>307</v>
      </c>
      <c r="D150" t="s">
        <v>356</v>
      </c>
      <c r="E150">
        <v>1</v>
      </c>
      <c r="F150" t="s">
        <v>220</v>
      </c>
      <c r="G150">
        <v>2.2000000000000002</v>
      </c>
      <c r="H150">
        <v>0</v>
      </c>
      <c r="I150">
        <v>12</v>
      </c>
      <c r="J150">
        <v>0.9</v>
      </c>
      <c r="K150">
        <v>10.199999999999999</v>
      </c>
      <c r="L150" t="s">
        <v>203</v>
      </c>
      <c r="M150" t="s">
        <v>43</v>
      </c>
      <c r="N150">
        <f>(ROUND('밸런스 조정'!$C$72*(1+'밸런스 조정'!$C$74)^23*IF(M150="Boss",'밸런스 조정'!$C$78,IF(M150="Elite",'밸런스 조정'!$C$76,1)),0))*0.45</f>
        <v>645.30000000000007</v>
      </c>
      <c r="O150" t="n">
        <f>ROUND(O149*(1+P150),0)</f>
        <v>7064</v>
      </c>
      <c r="P150">
        <v>0.15</v>
      </c>
      <c r="Q150">
        <f>'밸런스 조정'!$C$64</f>
        <v>0</v>
      </c>
      <c r="R150" t="n">
        <f>'밸런스 조정'!$C$90*IF(M150="Boss",5,IF(M150="Elite",2,1))</f>
        <v>350</v>
      </c>
    </row>
    <row r="151" spans="2:18">
      <c r="B151">
        <v>149</v>
      </c>
      <c r="C151" t="s">
        <v>307</v>
      </c>
      <c r="D151" t="s">
        <v>357</v>
      </c>
      <c r="E151">
        <v>1</v>
      </c>
      <c r="F151" t="s">
        <v>220</v>
      </c>
      <c r="G151">
        <v>2.2000000000000002</v>
      </c>
      <c r="H151">
        <v>0</v>
      </c>
      <c r="I151">
        <v>16</v>
      </c>
      <c r="J151">
        <v>0.65</v>
      </c>
      <c r="K151">
        <v>10.199999999999999</v>
      </c>
      <c r="L151" t="s">
        <v>309</v>
      </c>
      <c r="M151" t="s">
        <v>82</v>
      </c>
      <c r="N151">
        <f>(ROUND('밸런스 조정'!$C$72*(1+'밸런스 조정'!$C$74)^24*IF(M151="Boss",'밸런스 조정'!$C$78,IF(M151="Elite",'밸런스 조정'!$C$76,1)),0))*0.45</f>
        <v>1201.95</v>
      </c>
      <c r="O151" t="n">
        <f>ROUND('밸런스 조정'!$C$73*(1+'밸런스 조정'!$C$75)^24*IF(M151="Boss",'밸런스 조정'!$C$79,IF(M151="Elite",'밸런스 조정'!$C$77,1)),0)</f>
        <v>16771</v>
      </c>
      <c r="P151" t="n">
        <f>'밸런스 조정'!$C$75</f>
        <v>0.05</v>
      </c>
      <c r="Q151">
        <f>'밸런스 조정'!$C$64</f>
        <v>0</v>
      </c>
      <c r="R151" t="n">
        <f>'밸런스 조정'!$C$90*IF(M151="Boss",5,IF(M151="Elite",2,1))</f>
        <v>1750</v>
      </c>
    </row>
    <row r="152" spans="2:18">
      <c r="B152">
        <v>150</v>
      </c>
      <c r="C152" t="s">
        <v>307</v>
      </c>
      <c r="D152" t="s">
        <v>358</v>
      </c>
      <c r="E152">
        <v>1</v>
      </c>
      <c r="F152" t="s">
        <v>220</v>
      </c>
      <c r="G152">
        <v>2.2000000000000002</v>
      </c>
      <c r="H152">
        <v>0</v>
      </c>
      <c r="I152">
        <v>12</v>
      </c>
      <c r="J152">
        <v>0.9</v>
      </c>
      <c r="K152">
        <v>10.199999999999999</v>
      </c>
      <c r="L152" t="s">
        <v>203</v>
      </c>
      <c r="M152" t="s">
        <v>82</v>
      </c>
      <c r="N152">
        <f>(ROUND('밸런스 조정'!$C$72*(1+'밸런스 조정'!$C$74)^24*IF(M152="Boss",'밸런스 조정'!$C$78,IF(M152="Elite",'밸런스 조정'!$C$76,1)),0))*0.45</f>
        <v>1201.95</v>
      </c>
      <c r="O152" t="n">
        <f>ROUND(O151*(1+P152),0)</f>
        <v>19287</v>
      </c>
      <c r="P152">
        <v>0.15</v>
      </c>
      <c r="Q152">
        <f>'밸런스 조정'!$C$64</f>
        <v>0</v>
      </c>
      <c r="R152" t="n">
        <f>'밸런스 조정'!$C$90*IF(M152="Boss",5,IF(M152="Elite",2,1))</f>
        <v>1750</v>
      </c>
    </row>
  </sheetData>
  <phoneticPr fontId="12" type="noConversion"/>
  <dataValidations count="3">
    <dataValidation type="list" sqref="E3:E29 Q3:Q102" xr:uid="{00000000-0002-0000-0800-000000000000}">
      <formula1>"0,1"</formula1>
    </dataValidation>
    <dataValidation type="list" sqref="F3:F29" xr:uid="{00000000-0002-0000-0800-000001000000}">
      <formula1>"공격 반복,공격 한 번,사격,왕복,이동 후 공격,전방 매복 사격"</formula1>
    </dataValidation>
    <dataValidation type="list" sqref="M3:M102" xr:uid="{00000000-0002-0000-0800-000002000000}">
      <formula1>"Normal,Elite,Boss"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6" width="15" customWidth="1"/>
    <col min="7" max="7" width="55" customWidth="1"/>
  </cols>
  <sheetData>
    <row r="1" spans="2:7">
      <c r="B1" s="16" t="s">
        <v>359</v>
      </c>
      <c r="C1" s="16"/>
      <c r="D1" s="16"/>
      <c r="E1" s="16"/>
      <c r="F1" s="16"/>
      <c r="G1" s="16"/>
    </row>
    <row r="2" spans="2:7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360</v>
      </c>
      <c r="G2" s="17" t="s">
        <v>192</v>
      </c>
    </row>
    <row r="3" spans="2:7" ht="30" customHeight="1">
      <c r="B3" s="19">
        <v>1</v>
      </c>
      <c r="C3" s="16" t="s">
        <v>197</v>
      </c>
      <c r="D3" s="16" t="s">
        <v>361</v>
      </c>
      <c r="E3" s="20">
        <v>1</v>
      </c>
      <c r="F3" s="21" t="s">
        <v>43</v>
      </c>
      <c r="G3" s="18" t="s">
        <v>362</v>
      </c>
    </row>
    <row r="4" spans="2:7" ht="30" customHeight="1">
      <c r="B4" s="19">
        <v>2</v>
      </c>
      <c r="C4" s="16" t="s">
        <v>197</v>
      </c>
      <c r="D4" s="16" t="s">
        <v>363</v>
      </c>
      <c r="E4" s="20">
        <v>1</v>
      </c>
      <c r="F4" s="21" t="s">
        <v>43</v>
      </c>
      <c r="G4" s="18" t="s">
        <v>362</v>
      </c>
    </row>
    <row r="5" spans="2:7" ht="30" customHeight="1">
      <c r="B5" s="19">
        <v>3</v>
      </c>
      <c r="C5" s="16" t="s">
        <v>197</v>
      </c>
      <c r="D5" s="16" t="s">
        <v>364</v>
      </c>
      <c r="E5" s="20">
        <v>1</v>
      </c>
      <c r="F5" s="21" t="s">
        <v>43</v>
      </c>
      <c r="G5" s="18" t="s">
        <v>362</v>
      </c>
    </row>
    <row r="6" spans="2:7" ht="30" customHeight="1">
      <c r="B6" s="19">
        <v>4</v>
      </c>
      <c r="C6" s="16" t="s">
        <v>197</v>
      </c>
      <c r="D6" s="16" t="s">
        <v>365</v>
      </c>
      <c r="E6" s="20">
        <v>1</v>
      </c>
      <c r="F6" s="21" t="s">
        <v>59</v>
      </c>
      <c r="G6" s="18" t="s">
        <v>362</v>
      </c>
    </row>
    <row r="7" spans="2:7" ht="30" customHeight="1">
      <c r="B7" s="19">
        <v>5</v>
      </c>
      <c r="C7" s="16" t="s">
        <v>197</v>
      </c>
      <c r="D7" s="16" t="s">
        <v>366</v>
      </c>
      <c r="E7" s="20">
        <v>1</v>
      </c>
      <c r="F7" s="21" t="s">
        <v>43</v>
      </c>
      <c r="G7" s="18" t="s">
        <v>362</v>
      </c>
    </row>
    <row r="8" spans="2:7" ht="30" customHeight="1">
      <c r="B8" s="19">
        <v>6</v>
      </c>
      <c r="C8" s="16" t="s">
        <v>197</v>
      </c>
      <c r="D8" s="16" t="s">
        <v>367</v>
      </c>
      <c r="E8" s="20">
        <v>1</v>
      </c>
      <c r="F8" s="21" t="s">
        <v>43</v>
      </c>
      <c r="G8" s="18" t="s">
        <v>362</v>
      </c>
    </row>
    <row r="9" spans="2:7" ht="30" customHeight="1">
      <c r="B9" s="19">
        <v>7</v>
      </c>
      <c r="C9" s="16" t="s">
        <v>197</v>
      </c>
      <c r="D9" s="16" t="s">
        <v>368</v>
      </c>
      <c r="E9" s="20">
        <v>1</v>
      </c>
      <c r="F9" s="21" t="s">
        <v>43</v>
      </c>
      <c r="G9" s="18" t="s">
        <v>362</v>
      </c>
    </row>
    <row r="10" spans="2:7" ht="30" customHeight="1">
      <c r="B10" s="19">
        <v>8</v>
      </c>
      <c r="C10" s="16" t="s">
        <v>197</v>
      </c>
      <c r="D10" s="16" t="s">
        <v>369</v>
      </c>
      <c r="E10" s="20">
        <v>1</v>
      </c>
      <c r="F10" s="21" t="s">
        <v>59</v>
      </c>
      <c r="G10" s="18" t="s">
        <v>362</v>
      </c>
    </row>
    <row r="11" spans="2:7" ht="30" customHeight="1">
      <c r="B11" s="19">
        <v>9</v>
      </c>
      <c r="C11" s="16" t="s">
        <v>197</v>
      </c>
      <c r="D11" s="16" t="s">
        <v>370</v>
      </c>
      <c r="E11" s="20">
        <v>1</v>
      </c>
      <c r="F11" s="21" t="s">
        <v>43</v>
      </c>
      <c r="G11" s="18" t="s">
        <v>362</v>
      </c>
    </row>
    <row r="12" spans="2:7" ht="30" customHeight="1">
      <c r="B12" s="19">
        <v>10</v>
      </c>
      <c r="C12" s="16" t="s">
        <v>197</v>
      </c>
      <c r="D12" s="16" t="s">
        <v>371</v>
      </c>
      <c r="E12" s="20">
        <v>1</v>
      </c>
      <c r="F12" s="21" t="s">
        <v>43</v>
      </c>
      <c r="G12" s="18" t="s">
        <v>362</v>
      </c>
    </row>
    <row r="13" spans="2:7" ht="30" customHeight="1">
      <c r="B13" s="19">
        <v>11</v>
      </c>
      <c r="C13" s="16" t="s">
        <v>197</v>
      </c>
      <c r="D13" s="16" t="s">
        <v>372</v>
      </c>
      <c r="E13" s="20">
        <v>1</v>
      </c>
      <c r="F13" s="21" t="s">
        <v>43</v>
      </c>
      <c r="G13" s="18" t="s">
        <v>362</v>
      </c>
    </row>
    <row r="14" spans="2:7" ht="30" customHeight="1">
      <c r="B14" s="19">
        <v>12</v>
      </c>
      <c r="C14" s="16" t="s">
        <v>197</v>
      </c>
      <c r="D14" s="16" t="s">
        <v>373</v>
      </c>
      <c r="E14" s="20">
        <v>1</v>
      </c>
      <c r="F14" s="21" t="s">
        <v>59</v>
      </c>
      <c r="G14" s="18" t="s">
        <v>362</v>
      </c>
    </row>
    <row r="15" spans="2:7" ht="30" customHeight="1">
      <c r="B15" s="19">
        <v>13</v>
      </c>
      <c r="C15" s="16" t="s">
        <v>197</v>
      </c>
      <c r="D15" s="16" t="s">
        <v>374</v>
      </c>
      <c r="E15" s="20">
        <v>1</v>
      </c>
      <c r="F15" s="21" t="s">
        <v>43</v>
      </c>
      <c r="G15" s="18" t="s">
        <v>362</v>
      </c>
    </row>
    <row r="16" spans="2:7" ht="30" customHeight="1">
      <c r="B16" s="19">
        <v>14</v>
      </c>
      <c r="C16" s="16" t="s">
        <v>197</v>
      </c>
      <c r="D16" s="16" t="s">
        <v>375</v>
      </c>
      <c r="E16" s="20">
        <v>1</v>
      </c>
      <c r="F16" s="21" t="s">
        <v>43</v>
      </c>
      <c r="G16" s="18" t="s">
        <v>362</v>
      </c>
    </row>
    <row r="17" spans="2:7" ht="30" customHeight="1">
      <c r="B17" s="19">
        <v>15</v>
      </c>
      <c r="C17" s="16" t="s">
        <v>197</v>
      </c>
      <c r="D17" s="16" t="s">
        <v>376</v>
      </c>
      <c r="E17" s="20">
        <v>1</v>
      </c>
      <c r="F17" s="21" t="s">
        <v>43</v>
      </c>
      <c r="G17" s="18" t="s">
        <v>362</v>
      </c>
    </row>
    <row r="18" spans="2:7" ht="30" customHeight="1">
      <c r="B18" s="19">
        <v>16</v>
      </c>
      <c r="C18" s="16" t="s">
        <v>197</v>
      </c>
      <c r="D18" s="16" t="s">
        <v>377</v>
      </c>
      <c r="E18" s="20">
        <v>1</v>
      </c>
      <c r="F18" s="21" t="s">
        <v>59</v>
      </c>
      <c r="G18" s="18" t="s">
        <v>362</v>
      </c>
    </row>
    <row r="19" spans="2:7" ht="30" customHeight="1">
      <c r="B19" s="19">
        <v>17</v>
      </c>
      <c r="C19" s="16" t="s">
        <v>197</v>
      </c>
      <c r="D19" s="16" t="s">
        <v>378</v>
      </c>
      <c r="E19" s="20">
        <v>1</v>
      </c>
      <c r="F19" s="21" t="s">
        <v>43</v>
      </c>
      <c r="G19" s="18" t="s">
        <v>362</v>
      </c>
    </row>
    <row r="20" spans="2:7" ht="30" customHeight="1">
      <c r="B20" s="19">
        <v>18</v>
      </c>
      <c r="C20" s="16" t="s">
        <v>197</v>
      </c>
      <c r="D20" s="16" t="s">
        <v>379</v>
      </c>
      <c r="E20" s="20">
        <v>1</v>
      </c>
      <c r="F20" s="21" t="s">
        <v>43</v>
      </c>
      <c r="G20" s="18" t="s">
        <v>362</v>
      </c>
    </row>
    <row r="21" spans="2:7" ht="30" customHeight="1">
      <c r="B21" s="19">
        <v>19</v>
      </c>
      <c r="C21" s="16" t="s">
        <v>197</v>
      </c>
      <c r="D21" s="16" t="s">
        <v>380</v>
      </c>
      <c r="E21" s="20">
        <v>1</v>
      </c>
      <c r="F21" s="21" t="s">
        <v>43</v>
      </c>
      <c r="G21" s="18" t="s">
        <v>362</v>
      </c>
    </row>
    <row r="22" spans="2:7" ht="30" customHeight="1">
      <c r="B22" s="19">
        <v>20</v>
      </c>
      <c r="C22" s="16" t="s">
        <v>197</v>
      </c>
      <c r="D22" s="16" t="s">
        <v>381</v>
      </c>
      <c r="E22" s="20">
        <v>1</v>
      </c>
      <c r="F22" s="21" t="s">
        <v>59</v>
      </c>
      <c r="G22" s="18" t="s">
        <v>362</v>
      </c>
    </row>
    <row r="23" spans="2:7" ht="30" customHeight="1">
      <c r="B23" s="19">
        <v>21</v>
      </c>
      <c r="C23" s="16" t="s">
        <v>197</v>
      </c>
      <c r="D23" s="16" t="s">
        <v>382</v>
      </c>
      <c r="E23" s="20">
        <v>1</v>
      </c>
      <c r="F23" s="21" t="s">
        <v>43</v>
      </c>
      <c r="G23" s="18" t="s">
        <v>362</v>
      </c>
    </row>
    <row r="24" spans="2:7" ht="30" customHeight="1">
      <c r="B24" s="19">
        <v>22</v>
      </c>
      <c r="C24" s="16" t="s">
        <v>197</v>
      </c>
      <c r="D24" s="16" t="s">
        <v>383</v>
      </c>
      <c r="E24" s="20">
        <v>1</v>
      </c>
      <c r="F24" s="21" t="s">
        <v>43</v>
      </c>
      <c r="G24" s="18" t="s">
        <v>362</v>
      </c>
    </row>
    <row r="25" spans="2:7" ht="30" customHeight="1">
      <c r="B25" s="19">
        <v>23</v>
      </c>
      <c r="C25" s="16" t="s">
        <v>197</v>
      </c>
      <c r="D25" s="16" t="s">
        <v>384</v>
      </c>
      <c r="E25" s="20">
        <v>1</v>
      </c>
      <c r="F25" s="21" t="s">
        <v>43</v>
      </c>
      <c r="G25" s="18" t="s">
        <v>362</v>
      </c>
    </row>
    <row r="26" spans="2:7" ht="30" customHeight="1">
      <c r="B26" s="19">
        <v>24</v>
      </c>
      <c r="C26" s="16" t="s">
        <v>197</v>
      </c>
      <c r="D26" s="16" t="s">
        <v>385</v>
      </c>
      <c r="E26" s="20">
        <v>1</v>
      </c>
      <c r="F26" s="21" t="s">
        <v>59</v>
      </c>
      <c r="G26" s="18" t="s">
        <v>362</v>
      </c>
    </row>
    <row r="27" spans="2:7" ht="30" customHeight="1">
      <c r="B27" s="19">
        <v>25</v>
      </c>
      <c r="C27" s="16" t="s">
        <v>197</v>
      </c>
      <c r="D27" s="16" t="s">
        <v>386</v>
      </c>
      <c r="E27" s="20">
        <v>1</v>
      </c>
      <c r="F27" s="21" t="s">
        <v>67</v>
      </c>
      <c r="G27" s="18" t="s">
        <v>362</v>
      </c>
    </row>
    <row r="28" spans="2:7">
      <c r="B28">
        <v>26</v>
      </c>
      <c r="C28" t="s">
        <v>256</v>
      </c>
      <c r="D28" t="s">
        <v>387</v>
      </c>
      <c r="E28">
        <v>1</v>
      </c>
      <c r="F28" t="s">
        <v>43</v>
      </c>
      <c r="G28" t="s">
        <v>388</v>
      </c>
    </row>
    <row r="29" spans="2:7">
      <c r="B29">
        <v>27</v>
      </c>
      <c r="C29" t="s">
        <v>256</v>
      </c>
      <c r="D29" t="s">
        <v>389</v>
      </c>
      <c r="E29">
        <v>1</v>
      </c>
      <c r="F29" t="s">
        <v>43</v>
      </c>
      <c r="G29" t="s">
        <v>388</v>
      </c>
    </row>
    <row r="30" spans="2:7">
      <c r="B30">
        <v>28</v>
      </c>
      <c r="C30" t="s">
        <v>256</v>
      </c>
      <c r="D30" t="s">
        <v>390</v>
      </c>
      <c r="E30">
        <v>1</v>
      </c>
      <c r="F30" t="s">
        <v>43</v>
      </c>
      <c r="G30" t="s">
        <v>388</v>
      </c>
    </row>
    <row r="31" spans="2:7">
      <c r="B31">
        <v>29</v>
      </c>
      <c r="C31" t="s">
        <v>256</v>
      </c>
      <c r="D31" t="s">
        <v>391</v>
      </c>
      <c r="E31">
        <v>1</v>
      </c>
      <c r="F31" t="s">
        <v>59</v>
      </c>
      <c r="G31" t="s">
        <v>388</v>
      </c>
    </row>
    <row r="32" spans="2:7">
      <c r="B32">
        <v>30</v>
      </c>
      <c r="C32" t="s">
        <v>256</v>
      </c>
      <c r="D32" t="s">
        <v>392</v>
      </c>
      <c r="E32">
        <v>1</v>
      </c>
      <c r="F32" t="s">
        <v>43</v>
      </c>
      <c r="G32" t="s">
        <v>388</v>
      </c>
    </row>
    <row r="33" spans="2:7">
      <c r="B33">
        <v>31</v>
      </c>
      <c r="C33" t="s">
        <v>256</v>
      </c>
      <c r="D33" t="s">
        <v>393</v>
      </c>
      <c r="E33">
        <v>1</v>
      </c>
      <c r="F33" t="s">
        <v>43</v>
      </c>
      <c r="G33" t="s">
        <v>388</v>
      </c>
    </row>
    <row r="34" spans="2:7">
      <c r="B34">
        <v>32</v>
      </c>
      <c r="C34" t="s">
        <v>256</v>
      </c>
      <c r="D34" t="s">
        <v>394</v>
      </c>
      <c r="E34">
        <v>1</v>
      </c>
      <c r="F34" t="s">
        <v>43</v>
      </c>
      <c r="G34" t="s">
        <v>388</v>
      </c>
    </row>
    <row r="35" spans="2:7">
      <c r="B35">
        <v>33</v>
      </c>
      <c r="C35" t="s">
        <v>256</v>
      </c>
      <c r="D35" t="s">
        <v>395</v>
      </c>
      <c r="E35">
        <v>1</v>
      </c>
      <c r="F35" t="s">
        <v>59</v>
      </c>
      <c r="G35" t="s">
        <v>388</v>
      </c>
    </row>
    <row r="36" spans="2:7">
      <c r="B36">
        <v>34</v>
      </c>
      <c r="C36" t="s">
        <v>256</v>
      </c>
      <c r="D36" t="s">
        <v>396</v>
      </c>
      <c r="E36">
        <v>1</v>
      </c>
      <c r="F36" t="s">
        <v>43</v>
      </c>
      <c r="G36" t="s">
        <v>388</v>
      </c>
    </row>
    <row r="37" spans="2:7">
      <c r="B37">
        <v>35</v>
      </c>
      <c r="C37" t="s">
        <v>256</v>
      </c>
      <c r="D37" t="s">
        <v>397</v>
      </c>
      <c r="E37">
        <v>1</v>
      </c>
      <c r="F37" t="s">
        <v>43</v>
      </c>
      <c r="G37" t="s">
        <v>388</v>
      </c>
    </row>
    <row r="38" spans="2:7">
      <c r="B38">
        <v>36</v>
      </c>
      <c r="C38" t="s">
        <v>256</v>
      </c>
      <c r="D38" t="s">
        <v>398</v>
      </c>
      <c r="E38">
        <v>1</v>
      </c>
      <c r="F38" t="s">
        <v>43</v>
      </c>
      <c r="G38" t="s">
        <v>388</v>
      </c>
    </row>
    <row r="39" spans="2:7">
      <c r="B39">
        <v>37</v>
      </c>
      <c r="C39" t="s">
        <v>256</v>
      </c>
      <c r="D39" t="s">
        <v>399</v>
      </c>
      <c r="E39">
        <v>1</v>
      </c>
      <c r="F39" t="s">
        <v>59</v>
      </c>
      <c r="G39" t="s">
        <v>388</v>
      </c>
    </row>
    <row r="40" spans="2:7">
      <c r="B40">
        <v>38</v>
      </c>
      <c r="C40" t="s">
        <v>256</v>
      </c>
      <c r="D40" t="s">
        <v>400</v>
      </c>
      <c r="E40">
        <v>1</v>
      </c>
      <c r="F40" t="s">
        <v>43</v>
      </c>
      <c r="G40" t="s">
        <v>388</v>
      </c>
    </row>
    <row r="41" spans="2:7">
      <c r="B41">
        <v>39</v>
      </c>
      <c r="C41" t="s">
        <v>256</v>
      </c>
      <c r="D41" t="s">
        <v>401</v>
      </c>
      <c r="E41">
        <v>1</v>
      </c>
      <c r="F41" t="s">
        <v>43</v>
      </c>
      <c r="G41" t="s">
        <v>388</v>
      </c>
    </row>
    <row r="42" spans="2:7">
      <c r="B42">
        <v>40</v>
      </c>
      <c r="C42" t="s">
        <v>256</v>
      </c>
      <c r="D42" t="s">
        <v>402</v>
      </c>
      <c r="E42">
        <v>1</v>
      </c>
      <c r="F42" t="s">
        <v>43</v>
      </c>
      <c r="G42" t="s">
        <v>388</v>
      </c>
    </row>
    <row r="43" spans="2:7">
      <c r="B43">
        <v>41</v>
      </c>
      <c r="C43" t="s">
        <v>256</v>
      </c>
      <c r="D43" t="s">
        <v>403</v>
      </c>
      <c r="E43">
        <v>1</v>
      </c>
      <c r="F43" t="s">
        <v>59</v>
      </c>
      <c r="G43" t="s">
        <v>388</v>
      </c>
    </row>
    <row r="44" spans="2:7">
      <c r="B44">
        <v>42</v>
      </c>
      <c r="C44" t="s">
        <v>256</v>
      </c>
      <c r="D44" t="s">
        <v>404</v>
      </c>
      <c r="E44">
        <v>1</v>
      </c>
      <c r="F44" t="s">
        <v>43</v>
      </c>
      <c r="G44" t="s">
        <v>388</v>
      </c>
    </row>
    <row r="45" spans="2:7">
      <c r="B45">
        <v>43</v>
      </c>
      <c r="C45" t="s">
        <v>256</v>
      </c>
      <c r="D45" t="s">
        <v>405</v>
      </c>
      <c r="E45">
        <v>1</v>
      </c>
      <c r="F45" t="s">
        <v>43</v>
      </c>
      <c r="G45" t="s">
        <v>388</v>
      </c>
    </row>
    <row r="46" spans="2:7">
      <c r="B46">
        <v>44</v>
      </c>
      <c r="C46" t="s">
        <v>256</v>
      </c>
      <c r="D46" t="s">
        <v>406</v>
      </c>
      <c r="E46">
        <v>1</v>
      </c>
      <c r="F46" t="s">
        <v>43</v>
      </c>
      <c r="G46" t="s">
        <v>388</v>
      </c>
    </row>
    <row r="47" spans="2:7">
      <c r="B47">
        <v>45</v>
      </c>
      <c r="C47" t="s">
        <v>256</v>
      </c>
      <c r="D47" t="s">
        <v>407</v>
      </c>
      <c r="E47">
        <v>1</v>
      </c>
      <c r="F47" t="s">
        <v>59</v>
      </c>
      <c r="G47" t="s">
        <v>388</v>
      </c>
    </row>
    <row r="48" spans="2:7">
      <c r="B48">
        <v>46</v>
      </c>
      <c r="C48" t="s">
        <v>256</v>
      </c>
      <c r="D48" t="s">
        <v>408</v>
      </c>
      <c r="E48">
        <v>1</v>
      </c>
      <c r="F48" t="s">
        <v>43</v>
      </c>
      <c r="G48" t="s">
        <v>388</v>
      </c>
    </row>
    <row r="49" spans="2:7">
      <c r="B49">
        <v>47</v>
      </c>
      <c r="C49" t="s">
        <v>256</v>
      </c>
      <c r="D49" t="s">
        <v>409</v>
      </c>
      <c r="E49">
        <v>1</v>
      </c>
      <c r="F49" t="s">
        <v>43</v>
      </c>
      <c r="G49" t="s">
        <v>388</v>
      </c>
    </row>
    <row r="50" spans="2:7">
      <c r="B50">
        <v>48</v>
      </c>
      <c r="C50" t="s">
        <v>256</v>
      </c>
      <c r="D50" t="s">
        <v>410</v>
      </c>
      <c r="E50">
        <v>1</v>
      </c>
      <c r="F50" t="s">
        <v>43</v>
      </c>
      <c r="G50" t="s">
        <v>388</v>
      </c>
    </row>
    <row r="51" spans="2:7">
      <c r="B51">
        <v>49</v>
      </c>
      <c r="C51" t="s">
        <v>256</v>
      </c>
      <c r="D51" t="s">
        <v>411</v>
      </c>
      <c r="E51">
        <v>1</v>
      </c>
      <c r="F51" t="s">
        <v>59</v>
      </c>
      <c r="G51" t="s">
        <v>388</v>
      </c>
    </row>
    <row r="52" spans="2:7">
      <c r="B52">
        <v>50</v>
      </c>
      <c r="C52" t="s">
        <v>256</v>
      </c>
      <c r="D52" t="s">
        <v>412</v>
      </c>
      <c r="E52">
        <v>1</v>
      </c>
      <c r="F52" t="s">
        <v>67</v>
      </c>
      <c r="G52" t="s">
        <v>388</v>
      </c>
    </row>
    <row r="53" spans="2:7">
      <c r="B53">
        <v>51</v>
      </c>
      <c r="C53" t="s">
        <v>307</v>
      </c>
      <c r="D53" t="s">
        <v>413</v>
      </c>
      <c r="E53">
        <v>1</v>
      </c>
      <c r="F53" t="s">
        <v>43</v>
      </c>
      <c r="G53" t="s">
        <v>414</v>
      </c>
    </row>
    <row r="54" spans="2:7">
      <c r="B54">
        <v>52</v>
      </c>
      <c r="C54" t="s">
        <v>307</v>
      </c>
      <c r="D54" t="s">
        <v>415</v>
      </c>
      <c r="E54">
        <v>1</v>
      </c>
      <c r="F54" t="s">
        <v>43</v>
      </c>
      <c r="G54" t="s">
        <v>414</v>
      </c>
    </row>
    <row r="55" spans="2:7">
      <c r="B55">
        <v>53</v>
      </c>
      <c r="C55" t="s">
        <v>307</v>
      </c>
      <c r="D55" t="s">
        <v>416</v>
      </c>
      <c r="E55">
        <v>1</v>
      </c>
      <c r="F55" t="s">
        <v>43</v>
      </c>
      <c r="G55" t="s">
        <v>414</v>
      </c>
    </row>
    <row r="56" spans="2:7">
      <c r="B56">
        <v>54</v>
      </c>
      <c r="C56" t="s">
        <v>307</v>
      </c>
      <c r="D56" t="s">
        <v>417</v>
      </c>
      <c r="E56">
        <v>1</v>
      </c>
      <c r="F56" t="s">
        <v>43</v>
      </c>
      <c r="G56" t="s">
        <v>414</v>
      </c>
    </row>
    <row r="57" spans="2:7">
      <c r="B57">
        <v>55</v>
      </c>
      <c r="C57" t="s">
        <v>307</v>
      </c>
      <c r="D57" t="s">
        <v>418</v>
      </c>
      <c r="E57">
        <v>1</v>
      </c>
      <c r="F57" t="s">
        <v>59</v>
      </c>
      <c r="G57" t="s">
        <v>414</v>
      </c>
    </row>
    <row r="58" spans="2:7">
      <c r="B58">
        <v>56</v>
      </c>
      <c r="C58" t="s">
        <v>307</v>
      </c>
      <c r="D58" t="s">
        <v>419</v>
      </c>
      <c r="E58">
        <v>1</v>
      </c>
      <c r="F58" t="s">
        <v>43</v>
      </c>
      <c r="G58" t="s">
        <v>414</v>
      </c>
    </row>
    <row r="59" spans="2:7">
      <c r="B59">
        <v>57</v>
      </c>
      <c r="C59" t="s">
        <v>307</v>
      </c>
      <c r="D59" t="s">
        <v>420</v>
      </c>
      <c r="E59">
        <v>1</v>
      </c>
      <c r="F59" t="s">
        <v>43</v>
      </c>
      <c r="G59" t="s">
        <v>414</v>
      </c>
    </row>
    <row r="60" spans="2:7">
      <c r="B60">
        <v>58</v>
      </c>
      <c r="C60" t="s">
        <v>307</v>
      </c>
      <c r="D60" t="s">
        <v>421</v>
      </c>
      <c r="E60">
        <v>1</v>
      </c>
      <c r="F60" t="s">
        <v>43</v>
      </c>
      <c r="G60" t="s">
        <v>414</v>
      </c>
    </row>
    <row r="61" spans="2:7">
      <c r="B61">
        <v>59</v>
      </c>
      <c r="C61" t="s">
        <v>307</v>
      </c>
      <c r="D61" t="s">
        <v>422</v>
      </c>
      <c r="E61">
        <v>1</v>
      </c>
      <c r="F61" t="s">
        <v>43</v>
      </c>
      <c r="G61" t="s">
        <v>414</v>
      </c>
    </row>
    <row r="62" spans="2:7">
      <c r="B62">
        <v>60</v>
      </c>
      <c r="C62" t="s">
        <v>307</v>
      </c>
      <c r="D62" t="s">
        <v>423</v>
      </c>
      <c r="E62">
        <v>1</v>
      </c>
      <c r="F62" t="s">
        <v>59</v>
      </c>
      <c r="G62" t="s">
        <v>414</v>
      </c>
    </row>
    <row r="63" spans="2:7">
      <c r="B63">
        <v>61</v>
      </c>
      <c r="C63" t="s">
        <v>307</v>
      </c>
      <c r="D63" t="s">
        <v>424</v>
      </c>
      <c r="E63">
        <v>0</v>
      </c>
      <c r="F63" t="s">
        <v>43</v>
      </c>
      <c r="G63" t="s">
        <v>414</v>
      </c>
    </row>
    <row r="64" spans="2:7">
      <c r="B64">
        <v>62</v>
      </c>
      <c r="C64" t="s">
        <v>307</v>
      </c>
      <c r="D64" t="s">
        <v>425</v>
      </c>
      <c r="E64">
        <v>0</v>
      </c>
      <c r="F64" t="s">
        <v>43</v>
      </c>
      <c r="G64" t="s">
        <v>414</v>
      </c>
    </row>
    <row r="65" spans="2:7">
      <c r="B65">
        <v>63</v>
      </c>
      <c r="C65" t="s">
        <v>307</v>
      </c>
      <c r="D65" t="s">
        <v>426</v>
      </c>
      <c r="E65">
        <v>1</v>
      </c>
      <c r="F65" t="s">
        <v>43</v>
      </c>
      <c r="G65" t="s">
        <v>414</v>
      </c>
    </row>
    <row r="66" spans="2:7">
      <c r="B66">
        <v>64</v>
      </c>
      <c r="C66" t="s">
        <v>307</v>
      </c>
      <c r="D66" t="s">
        <v>427</v>
      </c>
      <c r="E66">
        <v>1</v>
      </c>
      <c r="F66" t="s">
        <v>43</v>
      </c>
      <c r="G66" t="s">
        <v>414</v>
      </c>
    </row>
    <row r="67" spans="2:7">
      <c r="B67">
        <v>65</v>
      </c>
      <c r="C67" t="s">
        <v>307</v>
      </c>
      <c r="D67" t="s">
        <v>428</v>
      </c>
      <c r="E67">
        <v>1</v>
      </c>
      <c r="F67" t="s">
        <v>59</v>
      </c>
      <c r="G67" t="s">
        <v>414</v>
      </c>
    </row>
    <row r="68" spans="2:7">
      <c r="B68">
        <v>66</v>
      </c>
      <c r="C68" t="s">
        <v>307</v>
      </c>
      <c r="D68" t="s">
        <v>429</v>
      </c>
      <c r="E68">
        <v>1</v>
      </c>
      <c r="F68" t="s">
        <v>43</v>
      </c>
      <c r="G68" t="s">
        <v>414</v>
      </c>
    </row>
    <row r="69" spans="2:7">
      <c r="B69">
        <v>67</v>
      </c>
      <c r="C69" t="s">
        <v>307</v>
      </c>
      <c r="D69" t="s">
        <v>430</v>
      </c>
      <c r="E69">
        <v>1</v>
      </c>
      <c r="F69" t="s">
        <v>43</v>
      </c>
      <c r="G69" t="s">
        <v>414</v>
      </c>
    </row>
    <row r="70" spans="2:7">
      <c r="B70">
        <v>68</v>
      </c>
      <c r="C70" t="s">
        <v>307</v>
      </c>
      <c r="D70" t="s">
        <v>431</v>
      </c>
      <c r="E70">
        <v>1</v>
      </c>
      <c r="F70" t="s">
        <v>43</v>
      </c>
      <c r="G70" t="s">
        <v>414</v>
      </c>
    </row>
    <row r="71" spans="2:7">
      <c r="B71">
        <v>69</v>
      </c>
      <c r="C71" t="s">
        <v>307</v>
      </c>
      <c r="D71" t="s">
        <v>432</v>
      </c>
      <c r="E71">
        <v>1</v>
      </c>
      <c r="F71" t="s">
        <v>43</v>
      </c>
      <c r="G71" t="s">
        <v>414</v>
      </c>
    </row>
    <row r="72" spans="2:7">
      <c r="B72">
        <v>70</v>
      </c>
      <c r="C72" t="s">
        <v>307</v>
      </c>
      <c r="D72" t="s">
        <v>433</v>
      </c>
      <c r="E72">
        <v>1</v>
      </c>
      <c r="F72" t="s">
        <v>59</v>
      </c>
      <c r="G72" t="s">
        <v>414</v>
      </c>
    </row>
    <row r="73" spans="2:7">
      <c r="B73">
        <v>71</v>
      </c>
      <c r="C73" t="s">
        <v>307</v>
      </c>
      <c r="D73" t="s">
        <v>434</v>
      </c>
      <c r="E73">
        <v>1</v>
      </c>
      <c r="F73" t="s">
        <v>43</v>
      </c>
      <c r="G73" t="s">
        <v>414</v>
      </c>
    </row>
    <row r="74" spans="2:7">
      <c r="B74">
        <v>72</v>
      </c>
      <c r="C74" t="s">
        <v>307</v>
      </c>
      <c r="D74" t="s">
        <v>435</v>
      </c>
      <c r="E74">
        <v>1</v>
      </c>
      <c r="F74" t="s">
        <v>43</v>
      </c>
      <c r="G74" t="s">
        <v>414</v>
      </c>
    </row>
    <row r="75" spans="2:7">
      <c r="B75">
        <v>73</v>
      </c>
      <c r="C75" t="s">
        <v>307</v>
      </c>
      <c r="D75" t="s">
        <v>436</v>
      </c>
      <c r="E75">
        <v>1</v>
      </c>
      <c r="F75" t="s">
        <v>43</v>
      </c>
      <c r="G75" t="s">
        <v>414</v>
      </c>
    </row>
    <row r="76" spans="2:7">
      <c r="B76">
        <v>74</v>
      </c>
      <c r="C76" t="s">
        <v>307</v>
      </c>
      <c r="D76" t="s">
        <v>437</v>
      </c>
      <c r="E76">
        <v>1</v>
      </c>
      <c r="F76" t="s">
        <v>43</v>
      </c>
      <c r="G76" t="s">
        <v>414</v>
      </c>
    </row>
    <row r="77" spans="2:7">
      <c r="B77">
        <v>75</v>
      </c>
      <c r="C77" t="s">
        <v>307</v>
      </c>
      <c r="D77" t="s">
        <v>438</v>
      </c>
      <c r="E77">
        <v>1</v>
      </c>
      <c r="F77" t="s">
        <v>59</v>
      </c>
      <c r="G77" t="s">
        <v>414</v>
      </c>
    </row>
  </sheetData>
  <phoneticPr fontId="12" type="noConversion"/>
  <dataValidations count="2">
    <dataValidation type="list" sqref="E3:E27" xr:uid="{00000000-0002-0000-0900-000000000000}">
      <formula1>"0,1"</formula1>
    </dataValidation>
    <dataValidation type="list" sqref="F3:F27" xr:uid="{00000000-0002-0000-0900-000001000000}">
      <formula1>"Normal,Rare,Unique"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7" width="15" customWidth="1"/>
    <col min="8" max="8" width="55" customWidth="1"/>
    <col min="9" max="12" width="13" customWidth="1"/>
  </cols>
  <sheetData>
    <row r="1" spans="2:12">
      <c r="B1" s="16" t="s">
        <v>359</v>
      </c>
      <c r="C1" s="16"/>
      <c r="D1" s="16"/>
      <c r="E1" s="16"/>
      <c r="F1" s="16"/>
      <c r="G1" s="16"/>
      <c r="H1" s="16"/>
    </row>
    <row r="2" spans="2:12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439</v>
      </c>
      <c r="G2" s="17" t="s">
        <v>440</v>
      </c>
      <c r="H2" s="17" t="s">
        <v>192</v>
      </c>
      <c r="I2" s="37" t="s">
        <v>441</v>
      </c>
      <c r="J2" s="37" t="s">
        <v>442</v>
      </c>
      <c r="K2" s="37" t="s">
        <v>443</v>
      </c>
      <c r="L2" s="37" t="s">
        <v>444</v>
      </c>
    </row>
    <row r="3" spans="2:12" ht="30" customHeight="1">
      <c r="B3" s="19">
        <v>1</v>
      </c>
      <c r="C3" s="16" t="s">
        <v>197</v>
      </c>
      <c r="D3" s="16" t="s">
        <v>445</v>
      </c>
      <c r="E3" s="20">
        <v>0</v>
      </c>
      <c r="F3" s="22" t="s">
        <v>100</v>
      </c>
      <c r="G3" s="21">
        <v>3</v>
      </c>
      <c r="H3" s="18" t="s">
        <v>446</v>
      </c>
    </row>
    <row r="4" spans="2:12" ht="30" customHeight="1">
      <c r="B4" s="19">
        <v>2</v>
      </c>
      <c r="C4" s="16" t="s">
        <v>197</v>
      </c>
      <c r="D4" s="16" t="s">
        <v>447</v>
      </c>
      <c r="E4" s="20">
        <v>1</v>
      </c>
      <c r="F4" s="22" t="s">
        <v>102</v>
      </c>
      <c r="G4" s="21">
        <v>50</v>
      </c>
      <c r="H4" s="18" t="s">
        <v>448</v>
      </c>
    </row>
    <row r="5" spans="2:12" ht="30" customHeight="1">
      <c r="B5" s="19">
        <v>3</v>
      </c>
      <c r="C5" s="16" t="s">
        <v>197</v>
      </c>
      <c r="D5" s="16" t="s">
        <v>449</v>
      </c>
      <c r="E5" s="20">
        <v>1</v>
      </c>
      <c r="F5" s="22" t="s">
        <v>98</v>
      </c>
      <c r="G5" s="21">
        <v>80</v>
      </c>
      <c r="H5" s="18" t="s">
        <v>450</v>
      </c>
    </row>
    <row r="6" spans="2:12" ht="30" customHeight="1">
      <c r="B6" s="19">
        <v>4</v>
      </c>
      <c r="C6" s="16" t="s">
        <v>197</v>
      </c>
      <c r="D6" s="16" t="s">
        <v>451</v>
      </c>
      <c r="E6" s="20">
        <v>1</v>
      </c>
      <c r="F6" s="22" t="s">
        <v>100</v>
      </c>
      <c r="G6" s="21">
        <v>3</v>
      </c>
      <c r="H6" s="18" t="s">
        <v>446</v>
      </c>
    </row>
    <row r="7" spans="2:12" ht="30" customHeight="1">
      <c r="B7" s="19">
        <v>5</v>
      </c>
      <c r="C7" s="16" t="s">
        <v>197</v>
      </c>
      <c r="D7" s="16" t="s">
        <v>452</v>
      </c>
      <c r="E7" s="20">
        <v>1</v>
      </c>
      <c r="F7" s="22" t="s">
        <v>102</v>
      </c>
      <c r="G7" s="21">
        <v>50</v>
      </c>
      <c r="H7" s="18" t="s">
        <v>448</v>
      </c>
    </row>
    <row r="8" spans="2:12" ht="30" customHeight="1">
      <c r="B8" s="19">
        <v>6</v>
      </c>
      <c r="C8" s="16" t="s">
        <v>197</v>
      </c>
      <c r="D8" s="16" t="s">
        <v>453</v>
      </c>
      <c r="E8" s="20">
        <v>1</v>
      </c>
      <c r="F8" s="22" t="s">
        <v>98</v>
      </c>
      <c r="G8" s="21">
        <v>80</v>
      </c>
      <c r="H8" s="18" t="s">
        <v>450</v>
      </c>
    </row>
    <row r="9" spans="2:12" ht="30" customHeight="1">
      <c r="B9" s="19">
        <v>7</v>
      </c>
      <c r="C9" s="16" t="s">
        <v>197</v>
      </c>
      <c r="D9" s="16" t="s">
        <v>454</v>
      </c>
      <c r="E9" s="20">
        <v>1</v>
      </c>
      <c r="F9" s="22" t="s">
        <v>100</v>
      </c>
      <c r="G9" s="21">
        <v>3</v>
      </c>
      <c r="H9" s="18" t="s">
        <v>446</v>
      </c>
    </row>
    <row r="10" spans="2:12" ht="30" customHeight="1">
      <c r="B10" s="19">
        <v>8</v>
      </c>
      <c r="C10" s="16" t="s">
        <v>197</v>
      </c>
      <c r="D10" s="16" t="s">
        <v>455</v>
      </c>
      <c r="E10" s="20">
        <v>1</v>
      </c>
      <c r="F10" s="22" t="s">
        <v>111</v>
      </c>
      <c r="G10" s="21">
        <f>'밸런스 조정'!$C$67</f>
        <v>12</v>
      </c>
      <c r="H10" s="18" t="s">
        <v>456</v>
      </c>
    </row>
    <row r="11" spans="2:12" ht="30" customHeight="1">
      <c r="B11" s="19">
        <v>9</v>
      </c>
      <c r="C11" s="16" t="s">
        <v>197</v>
      </c>
      <c r="D11" s="16" t="s">
        <v>457</v>
      </c>
      <c r="E11" s="20">
        <v>1</v>
      </c>
      <c r="F11" s="22" t="s">
        <v>98</v>
      </c>
      <c r="G11" s="21">
        <v>80</v>
      </c>
      <c r="H11" s="18" t="s">
        <v>450</v>
      </c>
    </row>
    <row r="12" spans="2:12" ht="30" customHeight="1">
      <c r="B12" s="19">
        <v>10</v>
      </c>
      <c r="C12" s="16" t="s">
        <v>197</v>
      </c>
      <c r="D12" s="16" t="s">
        <v>458</v>
      </c>
      <c r="E12" s="20">
        <v>1</v>
      </c>
      <c r="F12" s="22" t="s">
        <v>96</v>
      </c>
      <c r="G12" s="21">
        <f>'밸런스 조정'!$C$48</f>
        <v>2</v>
      </c>
      <c r="H12" s="18" t="s">
        <v>459</v>
      </c>
    </row>
    <row r="13" spans="2:12" ht="30" customHeight="1">
      <c r="B13" s="19">
        <v>11</v>
      </c>
      <c r="C13" s="16" t="s">
        <v>197</v>
      </c>
      <c r="D13" s="16" t="s">
        <v>460</v>
      </c>
      <c r="E13" s="20">
        <v>1</v>
      </c>
      <c r="F13" s="22" t="s">
        <v>102</v>
      </c>
      <c r="G13" s="21">
        <v>50</v>
      </c>
      <c r="H13" s="18" t="s">
        <v>448</v>
      </c>
    </row>
    <row r="14" spans="2:12" ht="30" customHeight="1">
      <c r="B14" s="19">
        <v>12</v>
      </c>
      <c r="C14" s="16" t="s">
        <v>197</v>
      </c>
      <c r="D14" s="16" t="s">
        <v>461</v>
      </c>
      <c r="E14" s="20">
        <v>1</v>
      </c>
      <c r="F14" s="22" t="s">
        <v>98</v>
      </c>
      <c r="G14" s="21">
        <v>80</v>
      </c>
      <c r="H14" s="18" t="s">
        <v>450</v>
      </c>
    </row>
    <row r="15" spans="2:12" ht="30" customHeight="1">
      <c r="B15" s="19">
        <v>13</v>
      </c>
      <c r="C15" s="16" t="s">
        <v>197</v>
      </c>
      <c r="D15" s="16" t="s">
        <v>462</v>
      </c>
      <c r="E15" s="20">
        <v>1</v>
      </c>
      <c r="F15" s="22" t="s">
        <v>100</v>
      </c>
      <c r="G15" s="21">
        <v>3</v>
      </c>
      <c r="H15" s="18" t="s">
        <v>446</v>
      </c>
    </row>
    <row r="16" spans="2:12" ht="30" customHeight="1">
      <c r="B16" s="19">
        <v>14</v>
      </c>
      <c r="C16" s="16" t="s">
        <v>197</v>
      </c>
      <c r="D16" s="16" t="s">
        <v>463</v>
      </c>
      <c r="E16" s="20">
        <v>1</v>
      </c>
      <c r="F16" s="22" t="s">
        <v>102</v>
      </c>
      <c r="G16" s="21">
        <v>50</v>
      </c>
      <c r="H16" s="18" t="s">
        <v>448</v>
      </c>
    </row>
    <row r="17" spans="2:12" ht="30" customHeight="1">
      <c r="B17" s="19">
        <v>15</v>
      </c>
      <c r="C17" s="16" t="s">
        <v>197</v>
      </c>
      <c r="D17" s="16" t="s">
        <v>464</v>
      </c>
      <c r="E17" s="20">
        <v>1</v>
      </c>
      <c r="F17" s="22" t="s">
        <v>100</v>
      </c>
      <c r="G17" s="21">
        <v>3</v>
      </c>
      <c r="H17" s="18" t="s">
        <v>446</v>
      </c>
    </row>
    <row r="18" spans="2:12" ht="30" customHeight="1">
      <c r="B18" s="19">
        <v>16</v>
      </c>
      <c r="C18" s="16" t="s">
        <v>197</v>
      </c>
      <c r="D18" s="16" t="s">
        <v>465</v>
      </c>
      <c r="E18" s="20">
        <v>1</v>
      </c>
      <c r="F18" s="22" t="s">
        <v>104</v>
      </c>
      <c r="G18" s="21">
        <f>'밸런스 조정'!$C$49</f>
        <v>20</v>
      </c>
      <c r="H18" s="18" t="s">
        <v>466</v>
      </c>
    </row>
    <row r="19" spans="2:12" ht="30" customHeight="1">
      <c r="B19" s="19">
        <v>17</v>
      </c>
      <c r="C19" s="16" t="s">
        <v>197</v>
      </c>
      <c r="D19" s="16" t="s">
        <v>467</v>
      </c>
      <c r="E19" s="20">
        <v>1</v>
      </c>
      <c r="F19" s="22" t="s">
        <v>107</v>
      </c>
      <c r="G19" s="21">
        <f>'밸런스 조정'!$C$68</f>
        <v>3</v>
      </c>
      <c r="H19" s="18" t="s">
        <v>468</v>
      </c>
    </row>
    <row r="20" spans="2:12" ht="30" customHeight="1">
      <c r="B20" s="19">
        <v>18</v>
      </c>
      <c r="C20" s="16" t="s">
        <v>197</v>
      </c>
      <c r="D20" s="16" t="s">
        <v>469</v>
      </c>
      <c r="E20" s="20">
        <v>1</v>
      </c>
      <c r="F20" s="22" t="s">
        <v>98</v>
      </c>
      <c r="G20" s="21">
        <v>80</v>
      </c>
      <c r="H20" s="18" t="s">
        <v>450</v>
      </c>
    </row>
    <row r="21" spans="2:12" ht="30" customHeight="1">
      <c r="B21" s="19">
        <v>19</v>
      </c>
      <c r="C21" s="16" t="s">
        <v>197</v>
      </c>
      <c r="D21" s="16" t="s">
        <v>470</v>
      </c>
      <c r="E21" s="20">
        <v>1</v>
      </c>
      <c r="F21" s="22" t="s">
        <v>96</v>
      </c>
      <c r="G21" s="21">
        <f>'밸런스 조정'!$C$48</f>
        <v>2</v>
      </c>
      <c r="H21" s="18" t="s">
        <v>459</v>
      </c>
    </row>
    <row r="22" spans="2:12" ht="30" customHeight="1">
      <c r="B22" s="19">
        <v>20</v>
      </c>
      <c r="C22" s="16" t="s">
        <v>197</v>
      </c>
      <c r="D22" s="16" t="s">
        <v>471</v>
      </c>
      <c r="E22" s="20">
        <v>1</v>
      </c>
      <c r="F22" s="22" t="s">
        <v>102</v>
      </c>
      <c r="G22" s="21">
        <v>50</v>
      </c>
      <c r="H22" s="18" t="s">
        <v>448</v>
      </c>
    </row>
    <row r="23" spans="2:12" ht="30" customHeight="1">
      <c r="B23" s="19">
        <v>21</v>
      </c>
      <c r="C23" s="16" t="s">
        <v>197</v>
      </c>
      <c r="D23" s="16" t="s">
        <v>472</v>
      </c>
      <c r="E23" s="20">
        <v>1</v>
      </c>
      <c r="F23" s="22" t="s">
        <v>98</v>
      </c>
      <c r="G23" s="21">
        <v>80</v>
      </c>
      <c r="H23" s="18" t="s">
        <v>450</v>
      </c>
    </row>
    <row r="24" spans="2:12" ht="30" customHeight="1">
      <c r="B24" s="19">
        <v>22</v>
      </c>
      <c r="C24" s="16" t="s">
        <v>197</v>
      </c>
      <c r="D24" s="16" t="s">
        <v>473</v>
      </c>
      <c r="E24" s="20">
        <v>1</v>
      </c>
      <c r="F24" s="22" t="s">
        <v>100</v>
      </c>
      <c r="G24" s="21">
        <v>3</v>
      </c>
      <c r="H24" s="18" t="s">
        <v>446</v>
      </c>
    </row>
    <row r="25" spans="2:12" ht="30" customHeight="1">
      <c r="B25" s="19">
        <v>23</v>
      </c>
      <c r="C25" s="16" t="s">
        <v>197</v>
      </c>
      <c r="D25" s="16" t="s">
        <v>474</v>
      </c>
      <c r="E25" s="20">
        <v>1</v>
      </c>
      <c r="F25" s="22" t="s">
        <v>102</v>
      </c>
      <c r="G25" s="21">
        <v>50</v>
      </c>
      <c r="H25" s="18" t="s">
        <v>448</v>
      </c>
    </row>
    <row r="26" spans="2:12" ht="30" customHeight="1">
      <c r="B26" s="19">
        <v>24</v>
      </c>
      <c r="C26" s="16" t="s">
        <v>197</v>
      </c>
      <c r="D26" s="16" t="s">
        <v>475</v>
      </c>
      <c r="E26" s="20">
        <v>1</v>
      </c>
      <c r="F26" s="22" t="s">
        <v>98</v>
      </c>
      <c r="G26" s="21">
        <v>80</v>
      </c>
      <c r="H26" s="18" t="s">
        <v>450</v>
      </c>
    </row>
    <row r="27" spans="2:12">
      <c r="B27">
        <v>25</v>
      </c>
      <c r="C27" t="s">
        <v>197</v>
      </c>
      <c r="D27" t="s">
        <v>476</v>
      </c>
      <c r="E27">
        <v>1</v>
      </c>
      <c r="F27" t="s">
        <v>106</v>
      </c>
      <c r="G27">
        <f>'밸런스 조정'!$C$50</f>
        <v>10</v>
      </c>
      <c r="H27" t="s">
        <v>477</v>
      </c>
    </row>
    <row r="28" spans="2:12">
      <c r="B28">
        <v>26</v>
      </c>
      <c r="C28" t="s">
        <v>256</v>
      </c>
      <c r="D28" t="s">
        <v>478</v>
      </c>
      <c r="E28">
        <v>1</v>
      </c>
      <c r="F28" t="s">
        <v>479</v>
      </c>
      <c r="G28">
        <f>'밸런스 조정'!$C$38</f>
        <v>180</v>
      </c>
      <c r="H28" t="s">
        <v>480</v>
      </c>
      <c r="I28">
        <f>'밸런스 조정'!$C$41</f>
        <v>240</v>
      </c>
      <c r="J28">
        <f>'밸런스 조정'!$C$42</f>
        <v>1.8</v>
      </c>
      <c r="K28">
        <f>'밸런스 조정'!$C$43</f>
        <v>4</v>
      </c>
      <c r="L28">
        <f>0</f>
        <v>0</v>
      </c>
    </row>
    <row r="29" spans="2:12">
      <c r="B29">
        <v>27</v>
      </c>
      <c r="C29" t="s">
        <v>256</v>
      </c>
      <c r="D29" t="s">
        <v>481</v>
      </c>
      <c r="E29">
        <v>1</v>
      </c>
      <c r="F29" t="s">
        <v>479</v>
      </c>
      <c r="G29">
        <f>'밸런스 조정'!$C$38</f>
        <v>180</v>
      </c>
      <c r="H29" t="s">
        <v>480</v>
      </c>
      <c r="I29">
        <f>'밸런스 조정'!$C$41</f>
        <v>240</v>
      </c>
      <c r="J29">
        <f>'밸런스 조정'!$C$42</f>
        <v>1.8</v>
      </c>
      <c r="K29">
        <f>'밸런스 조정'!$C$43</f>
        <v>4</v>
      </c>
      <c r="L29">
        <f>0</f>
        <v>0</v>
      </c>
    </row>
    <row r="30" spans="2:12">
      <c r="B30">
        <v>28</v>
      </c>
      <c r="C30" t="s">
        <v>256</v>
      </c>
      <c r="D30" t="s">
        <v>482</v>
      </c>
      <c r="E30">
        <v>1</v>
      </c>
      <c r="F30" t="s">
        <v>479</v>
      </c>
      <c r="G30">
        <f>'밸런스 조정'!$C$38</f>
        <v>180</v>
      </c>
      <c r="H30" t="s">
        <v>480</v>
      </c>
      <c r="I30">
        <f>'밸런스 조정'!$C$41</f>
        <v>240</v>
      </c>
      <c r="J30">
        <f>'밸런스 조정'!$C$42</f>
        <v>1.8</v>
      </c>
      <c r="K30">
        <f>'밸런스 조정'!$C$43</f>
        <v>4</v>
      </c>
      <c r="L30">
        <f>0</f>
        <v>0</v>
      </c>
    </row>
    <row r="31" spans="2:12">
      <c r="B31">
        <v>29</v>
      </c>
      <c r="C31" t="s">
        <v>256</v>
      </c>
      <c r="D31" t="s">
        <v>483</v>
      </c>
      <c r="E31">
        <v>1</v>
      </c>
      <c r="F31" t="s">
        <v>479</v>
      </c>
      <c r="G31">
        <f>'밸런스 조정'!$C$38</f>
        <v>180</v>
      </c>
      <c r="H31" t="s">
        <v>480</v>
      </c>
      <c r="I31">
        <f>'밸런스 조정'!$C$41</f>
        <v>240</v>
      </c>
      <c r="J31">
        <f>'밸런스 조정'!$C$42</f>
        <v>1.8</v>
      </c>
      <c r="K31">
        <f>'밸런스 조정'!$C$43</f>
        <v>4</v>
      </c>
      <c r="L31">
        <f>0</f>
        <v>0</v>
      </c>
    </row>
    <row r="32" spans="2:12">
      <c r="B32">
        <v>30</v>
      </c>
      <c r="C32" t="s">
        <v>256</v>
      </c>
      <c r="D32" t="s">
        <v>484</v>
      </c>
      <c r="E32">
        <v>1</v>
      </c>
      <c r="F32" t="s">
        <v>479</v>
      </c>
      <c r="G32">
        <f>'밸런스 조정'!$C$38</f>
        <v>180</v>
      </c>
      <c r="H32" t="s">
        <v>480</v>
      </c>
      <c r="I32">
        <f>'밸런스 조정'!$C$41</f>
        <v>240</v>
      </c>
      <c r="J32">
        <f>'밸런스 조정'!$C$42</f>
        <v>1.8</v>
      </c>
      <c r="K32">
        <f>'밸런스 조정'!$C$43</f>
        <v>4</v>
      </c>
      <c r="L32">
        <f>0</f>
        <v>0</v>
      </c>
    </row>
    <row r="33" spans="2:12">
      <c r="B33">
        <v>31</v>
      </c>
      <c r="C33" t="s">
        <v>256</v>
      </c>
      <c r="D33" t="s">
        <v>485</v>
      </c>
      <c r="E33">
        <v>1</v>
      </c>
      <c r="F33" t="s">
        <v>479</v>
      </c>
      <c r="G33">
        <f>'밸런스 조정'!$C$38</f>
        <v>180</v>
      </c>
      <c r="H33" t="s">
        <v>480</v>
      </c>
      <c r="I33">
        <f>'밸런스 조정'!$C$41</f>
        <v>240</v>
      </c>
      <c r="J33">
        <f>'밸런스 조정'!$C$42</f>
        <v>1.8</v>
      </c>
      <c r="K33">
        <f>'밸런스 조정'!$C$43</f>
        <v>4</v>
      </c>
      <c r="L33">
        <f>0</f>
        <v>0</v>
      </c>
    </row>
    <row r="34" spans="2:12">
      <c r="B34">
        <v>32</v>
      </c>
      <c r="C34" t="s">
        <v>256</v>
      </c>
      <c r="D34" t="s">
        <v>486</v>
      </c>
      <c r="E34">
        <v>1</v>
      </c>
      <c r="F34" t="s">
        <v>479</v>
      </c>
      <c r="G34">
        <f>'밸런스 조정'!$C$38</f>
        <v>180</v>
      </c>
      <c r="H34" t="s">
        <v>480</v>
      </c>
      <c r="I34">
        <f>'밸런스 조정'!$C$41</f>
        <v>240</v>
      </c>
      <c r="J34">
        <f>'밸런스 조정'!$C$42</f>
        <v>1.8</v>
      </c>
      <c r="K34">
        <f>'밸런스 조정'!$C$43</f>
        <v>4</v>
      </c>
      <c r="L34">
        <f>0</f>
        <v>0</v>
      </c>
    </row>
    <row r="35" spans="2:12">
      <c r="B35">
        <v>33</v>
      </c>
      <c r="C35" t="s">
        <v>256</v>
      </c>
      <c r="D35" t="s">
        <v>487</v>
      </c>
      <c r="E35">
        <v>1</v>
      </c>
      <c r="F35" t="s">
        <v>479</v>
      </c>
      <c r="G35">
        <f>'밸런스 조정'!$C$38</f>
        <v>180</v>
      </c>
      <c r="H35" t="s">
        <v>480</v>
      </c>
      <c r="I35">
        <f>'밸런스 조정'!$C$41</f>
        <v>240</v>
      </c>
      <c r="J35">
        <f>'밸런스 조정'!$C$42</f>
        <v>1.8</v>
      </c>
      <c r="K35">
        <f>'밸런스 조정'!$C$43</f>
        <v>4</v>
      </c>
      <c r="L35">
        <f>0</f>
        <v>0</v>
      </c>
    </row>
    <row r="36" spans="2:12">
      <c r="B36">
        <v>34</v>
      </c>
      <c r="C36" t="s">
        <v>256</v>
      </c>
      <c r="D36" t="s">
        <v>488</v>
      </c>
      <c r="E36">
        <v>1</v>
      </c>
      <c r="F36" t="s">
        <v>479</v>
      </c>
      <c r="G36">
        <f>'밸런스 조정'!$C$38</f>
        <v>180</v>
      </c>
      <c r="H36" t="s">
        <v>480</v>
      </c>
      <c r="I36">
        <f>'밸런스 조정'!$C$41</f>
        <v>240</v>
      </c>
      <c r="J36">
        <f>'밸런스 조정'!$C$42</f>
        <v>1.8</v>
      </c>
      <c r="K36">
        <f>'밸런스 조정'!$C$43</f>
        <v>4</v>
      </c>
      <c r="L36">
        <f>0</f>
        <v>0</v>
      </c>
    </row>
    <row r="37" spans="2:12">
      <c r="B37">
        <v>35</v>
      </c>
      <c r="C37" t="s">
        <v>256</v>
      </c>
      <c r="D37" t="s">
        <v>489</v>
      </c>
      <c r="E37">
        <v>1</v>
      </c>
      <c r="F37" t="s">
        <v>479</v>
      </c>
      <c r="G37">
        <f>'밸런스 조정'!$C$38</f>
        <v>180</v>
      </c>
      <c r="H37" t="s">
        <v>480</v>
      </c>
      <c r="I37">
        <f>'밸런스 조정'!$C$41</f>
        <v>240</v>
      </c>
      <c r="J37">
        <f>'밸런스 조정'!$C$42</f>
        <v>1.8</v>
      </c>
      <c r="K37">
        <f>'밸런스 조정'!$C$43</f>
        <v>4</v>
      </c>
      <c r="L37">
        <f>0</f>
        <v>0</v>
      </c>
    </row>
    <row r="38" spans="2:12">
      <c r="B38">
        <v>36</v>
      </c>
      <c r="C38" t="s">
        <v>256</v>
      </c>
      <c r="D38" t="s">
        <v>490</v>
      </c>
      <c r="E38">
        <v>1</v>
      </c>
      <c r="F38" t="s">
        <v>479</v>
      </c>
      <c r="G38">
        <f>'밸런스 조정'!$C$38</f>
        <v>180</v>
      </c>
      <c r="H38" t="s">
        <v>480</v>
      </c>
      <c r="I38">
        <f>'밸런스 조정'!$C$41</f>
        <v>240</v>
      </c>
      <c r="J38">
        <f>'밸런스 조정'!$C$42</f>
        <v>1.8</v>
      </c>
      <c r="K38">
        <f>'밸런스 조정'!$C$43</f>
        <v>4</v>
      </c>
      <c r="L38">
        <f>0</f>
        <v>0</v>
      </c>
    </row>
    <row r="39" spans="2:12">
      <c r="B39">
        <v>37</v>
      </c>
      <c r="C39" t="s">
        <v>256</v>
      </c>
      <c r="D39" t="s">
        <v>491</v>
      </c>
      <c r="E39">
        <v>1</v>
      </c>
      <c r="F39" t="s">
        <v>479</v>
      </c>
      <c r="G39">
        <f>'밸런스 조정'!$C$38</f>
        <v>180</v>
      </c>
      <c r="H39" t="s">
        <v>480</v>
      </c>
      <c r="I39">
        <f>'밸런스 조정'!$C$41</f>
        <v>240</v>
      </c>
      <c r="J39">
        <f>'밸런스 조정'!$C$42</f>
        <v>1.8</v>
      </c>
      <c r="K39">
        <f>'밸런스 조정'!$C$43</f>
        <v>4</v>
      </c>
      <c r="L39">
        <f>0</f>
        <v>0</v>
      </c>
    </row>
    <row r="40" spans="2:12">
      <c r="B40">
        <v>38</v>
      </c>
      <c r="C40" t="s">
        <v>256</v>
      </c>
      <c r="D40" t="s">
        <v>492</v>
      </c>
      <c r="E40">
        <v>1</v>
      </c>
      <c r="F40" t="s">
        <v>479</v>
      </c>
      <c r="G40">
        <f>'밸런스 조정'!$C$38</f>
        <v>180</v>
      </c>
      <c r="H40" t="s">
        <v>480</v>
      </c>
      <c r="I40">
        <f>'밸런스 조정'!$C$41</f>
        <v>240</v>
      </c>
      <c r="J40">
        <f>'밸런스 조정'!$C$42</f>
        <v>1.8</v>
      </c>
      <c r="K40">
        <f>'밸런스 조정'!$C$43</f>
        <v>4</v>
      </c>
      <c r="L40">
        <f>0</f>
        <v>0</v>
      </c>
    </row>
    <row r="41" spans="2:12">
      <c r="B41">
        <v>39</v>
      </c>
      <c r="C41" t="s">
        <v>256</v>
      </c>
      <c r="D41" t="s">
        <v>493</v>
      </c>
      <c r="E41">
        <v>1</v>
      </c>
      <c r="F41" t="s">
        <v>479</v>
      </c>
      <c r="G41">
        <f>'밸런스 조정'!$C$38</f>
        <v>180</v>
      </c>
      <c r="H41" t="s">
        <v>480</v>
      </c>
      <c r="I41">
        <f>'밸런스 조정'!$C$41</f>
        <v>240</v>
      </c>
      <c r="J41">
        <f>'밸런스 조정'!$C$42</f>
        <v>1.8</v>
      </c>
      <c r="K41">
        <f>'밸런스 조정'!$C$43</f>
        <v>4</v>
      </c>
      <c r="L41">
        <f>0</f>
        <v>0</v>
      </c>
    </row>
    <row r="42" spans="2:12">
      <c r="B42">
        <v>40</v>
      </c>
      <c r="C42" t="s">
        <v>256</v>
      </c>
      <c r="D42" t="s">
        <v>494</v>
      </c>
      <c r="E42">
        <v>1</v>
      </c>
      <c r="F42" t="s">
        <v>495</v>
      </c>
      <c r="G42">
        <f>'밸런스 조정'!$C$39</f>
        <v>240</v>
      </c>
      <c r="H42" t="s">
        <v>480</v>
      </c>
      <c r="I42">
        <f>0</f>
        <v>0</v>
      </c>
      <c r="J42">
        <f>'밸런스 조정'!$C$42</f>
        <v>1.8</v>
      </c>
      <c r="K42">
        <f>'밸런스 조정'!$C$43</f>
        <v>4</v>
      </c>
      <c r="L42">
        <f>'밸런스 조정'!$C$45</f>
        <v>9</v>
      </c>
    </row>
    <row r="43" spans="2:12">
      <c r="B43">
        <v>41</v>
      </c>
      <c r="C43" t="s">
        <v>256</v>
      </c>
      <c r="D43" t="s">
        <v>496</v>
      </c>
      <c r="E43">
        <v>1</v>
      </c>
      <c r="F43" t="s">
        <v>497</v>
      </c>
      <c r="G43">
        <f>'밸런스 조정'!$C$40</f>
        <v>280</v>
      </c>
      <c r="H43" t="s">
        <v>498</v>
      </c>
      <c r="I43">
        <f>0</f>
        <v>0</v>
      </c>
      <c r="J43">
        <f>'밸런스 조정'!$C$42</f>
        <v>1.8</v>
      </c>
      <c r="K43">
        <f>'밸런스 조정'!$C$44</f>
        <v>6</v>
      </c>
      <c r="L43">
        <f>0</f>
        <v>0</v>
      </c>
    </row>
    <row r="44" spans="2:12">
      <c r="B44">
        <v>42</v>
      </c>
      <c r="C44" t="s">
        <v>256</v>
      </c>
      <c r="D44" t="s">
        <v>499</v>
      </c>
      <c r="E44">
        <v>1</v>
      </c>
      <c r="F44" t="s">
        <v>495</v>
      </c>
      <c r="G44">
        <f>'밸런스 조정'!$C$39</f>
        <v>240</v>
      </c>
      <c r="H44" t="s">
        <v>480</v>
      </c>
      <c r="I44">
        <f>0</f>
        <v>0</v>
      </c>
      <c r="J44">
        <f>'밸런스 조정'!$C$42</f>
        <v>1.8</v>
      </c>
      <c r="K44">
        <f>'밸런스 조정'!$C$43</f>
        <v>4</v>
      </c>
      <c r="L44">
        <f>'밸런스 조정'!$C$45</f>
        <v>9</v>
      </c>
    </row>
    <row r="45" spans="2:12">
      <c r="B45">
        <v>43</v>
      </c>
      <c r="C45" t="s">
        <v>256</v>
      </c>
      <c r="D45" t="s">
        <v>500</v>
      </c>
      <c r="E45">
        <v>1</v>
      </c>
      <c r="F45" t="s">
        <v>495</v>
      </c>
      <c r="G45">
        <f>'밸런스 조정'!$C$39</f>
        <v>240</v>
      </c>
      <c r="H45" t="s">
        <v>480</v>
      </c>
      <c r="I45">
        <f>0</f>
        <v>0</v>
      </c>
      <c r="J45">
        <f>'밸런스 조정'!$C$42</f>
        <v>1.8</v>
      </c>
      <c r="K45">
        <f>'밸런스 조정'!$C$43</f>
        <v>4</v>
      </c>
      <c r="L45">
        <f>'밸런스 조정'!$C$45</f>
        <v>9</v>
      </c>
    </row>
    <row r="46" spans="2:12">
      <c r="B46">
        <v>44</v>
      </c>
      <c r="C46" t="s">
        <v>256</v>
      </c>
      <c r="D46" t="s">
        <v>501</v>
      </c>
      <c r="E46">
        <v>1</v>
      </c>
      <c r="F46" t="s">
        <v>497</v>
      </c>
      <c r="G46">
        <f>'밸런스 조정'!$C$40</f>
        <v>280</v>
      </c>
      <c r="H46" t="s">
        <v>498</v>
      </c>
      <c r="I46">
        <f>0</f>
        <v>0</v>
      </c>
      <c r="J46">
        <f>'밸런스 조정'!$C$42</f>
        <v>1.8</v>
      </c>
      <c r="K46">
        <f>'밸런스 조정'!$C$44</f>
        <v>6</v>
      </c>
      <c r="L46">
        <f>0</f>
        <v>0</v>
      </c>
    </row>
    <row r="47" spans="2:12">
      <c r="B47">
        <v>45</v>
      </c>
      <c r="C47" t="s">
        <v>256</v>
      </c>
      <c r="D47" t="s">
        <v>502</v>
      </c>
      <c r="E47">
        <v>1</v>
      </c>
      <c r="F47" t="s">
        <v>495</v>
      </c>
      <c r="G47">
        <f>'밸런스 조정'!$C$39</f>
        <v>240</v>
      </c>
      <c r="H47" t="s">
        <v>480</v>
      </c>
      <c r="I47">
        <f>0</f>
        <v>0</v>
      </c>
      <c r="J47">
        <f>'밸런스 조정'!$C$42</f>
        <v>1.8</v>
      </c>
      <c r="K47">
        <f>'밸런스 조정'!$C$43</f>
        <v>4</v>
      </c>
      <c r="L47">
        <f>'밸런스 조정'!$C$45</f>
        <v>9</v>
      </c>
    </row>
    <row r="48" spans="2:12">
      <c r="B48">
        <v>46</v>
      </c>
      <c r="C48" t="s">
        <v>256</v>
      </c>
      <c r="D48" t="s">
        <v>503</v>
      </c>
      <c r="E48">
        <v>1</v>
      </c>
      <c r="F48" t="s">
        <v>495</v>
      </c>
      <c r="G48">
        <f>'밸런스 조정'!$C$39</f>
        <v>240</v>
      </c>
      <c r="H48" t="s">
        <v>480</v>
      </c>
      <c r="I48">
        <f>0</f>
        <v>0</v>
      </c>
      <c r="J48">
        <f>'밸런스 조정'!$C$42</f>
        <v>1.8</v>
      </c>
      <c r="K48">
        <f>'밸런스 조정'!$C$43</f>
        <v>4</v>
      </c>
      <c r="L48">
        <f>'밸런스 조정'!$C$45</f>
        <v>9</v>
      </c>
    </row>
    <row r="49" spans="2:12">
      <c r="B49">
        <v>47</v>
      </c>
      <c r="C49" t="s">
        <v>256</v>
      </c>
      <c r="D49" t="s">
        <v>504</v>
      </c>
      <c r="E49">
        <v>1</v>
      </c>
      <c r="F49" t="s">
        <v>497</v>
      </c>
      <c r="G49">
        <f>'밸런스 조정'!$C$40</f>
        <v>280</v>
      </c>
      <c r="H49" t="s">
        <v>498</v>
      </c>
      <c r="I49">
        <f>0</f>
        <v>0</v>
      </c>
      <c r="J49">
        <f>'밸런스 조정'!$C$42</f>
        <v>1.8</v>
      </c>
      <c r="K49">
        <f>'밸런스 조정'!$C$44</f>
        <v>6</v>
      </c>
      <c r="L49">
        <f>0</f>
        <v>0</v>
      </c>
    </row>
    <row r="50" spans="2:12">
      <c r="B50">
        <v>48</v>
      </c>
      <c r="C50" t="s">
        <v>256</v>
      </c>
      <c r="D50" t="s">
        <v>505</v>
      </c>
      <c r="E50">
        <v>1</v>
      </c>
      <c r="F50" t="s">
        <v>495</v>
      </c>
      <c r="G50">
        <f>'밸런스 조정'!$C$39</f>
        <v>240</v>
      </c>
      <c r="H50" t="s">
        <v>480</v>
      </c>
      <c r="I50">
        <f>0</f>
        <v>0</v>
      </c>
      <c r="J50">
        <f>'밸런스 조정'!$C$42</f>
        <v>1.8</v>
      </c>
      <c r="K50">
        <f>'밸런스 조정'!$C$43</f>
        <v>4</v>
      </c>
      <c r="L50">
        <f>'밸런스 조정'!$C$45</f>
        <v>9</v>
      </c>
    </row>
    <row r="51" spans="2:12">
      <c r="B51">
        <v>49</v>
      </c>
      <c r="C51" t="s">
        <v>256</v>
      </c>
      <c r="D51" t="s">
        <v>506</v>
      </c>
      <c r="E51">
        <v>1</v>
      </c>
      <c r="F51" t="s">
        <v>479</v>
      </c>
      <c r="G51">
        <f>'밸런스 조정'!$C$38</f>
        <v>180</v>
      </c>
      <c r="H51" t="s">
        <v>480</v>
      </c>
      <c r="I51">
        <f>'밸런스 조정'!$C$41</f>
        <v>240</v>
      </c>
      <c r="J51">
        <f>'밸런스 조정'!$C$42</f>
        <v>1.8</v>
      </c>
      <c r="K51">
        <f>'밸런스 조정'!$C$43</f>
        <v>4</v>
      </c>
      <c r="L51">
        <f>0</f>
        <v>0</v>
      </c>
    </row>
    <row r="52" spans="2:12">
      <c r="B52">
        <v>50</v>
      </c>
      <c r="C52" t="s">
        <v>256</v>
      </c>
      <c r="D52" t="s">
        <v>507</v>
      </c>
      <c r="E52">
        <v>1</v>
      </c>
      <c r="F52" t="s">
        <v>479</v>
      </c>
      <c r="G52">
        <f>'밸런스 조정'!$C$38</f>
        <v>180</v>
      </c>
      <c r="H52" t="s">
        <v>480</v>
      </c>
      <c r="I52">
        <f>'밸런스 조정'!$C$41</f>
        <v>240</v>
      </c>
      <c r="J52">
        <f>'밸런스 조정'!$C$42</f>
        <v>1.8</v>
      </c>
      <c r="K52">
        <f>'밸런스 조정'!$C$43</f>
        <v>4</v>
      </c>
      <c r="L52">
        <f>0</f>
        <v>0</v>
      </c>
    </row>
    <row r="53" spans="2:12">
      <c r="B53">
        <v>51</v>
      </c>
      <c r="C53" t="s">
        <v>307</v>
      </c>
      <c r="D53" t="s">
        <v>508</v>
      </c>
      <c r="E53">
        <v>1</v>
      </c>
      <c r="F53" t="s">
        <v>479</v>
      </c>
      <c r="G53">
        <f>'밸런스 조정'!$C$80</f>
        <v>500</v>
      </c>
      <c r="H53" t="s">
        <v>509</v>
      </c>
      <c r="I53">
        <f>'밸런스 조정'!$C$83</f>
        <v>1250</v>
      </c>
      <c r="J53">
        <v>0</v>
      </c>
      <c r="K53">
        <v>0</v>
      </c>
      <c r="L53">
        <v>0</v>
      </c>
    </row>
    <row r="54" spans="2:12">
      <c r="B54">
        <v>52</v>
      </c>
      <c r="C54" t="s">
        <v>307</v>
      </c>
      <c r="D54" t="s">
        <v>510</v>
      </c>
      <c r="E54">
        <v>1</v>
      </c>
      <c r="F54" t="s">
        <v>495</v>
      </c>
      <c r="G54">
        <f>'밸런스 조정'!$C$81</f>
        <v>650</v>
      </c>
      <c r="H54" t="s">
        <v>511</v>
      </c>
      <c r="I54">
        <v>0</v>
      </c>
      <c r="J54">
        <f>'밸런스 조정'!$C$84</f>
        <v>2</v>
      </c>
      <c r="K54">
        <f>'밸런스 조정'!$C$85</f>
        <v>5.5</v>
      </c>
      <c r="L54">
        <f>'밸런스 조정'!$C$87</f>
        <v>9</v>
      </c>
    </row>
    <row r="55" spans="2:12">
      <c r="B55">
        <v>53</v>
      </c>
      <c r="C55" t="s">
        <v>307</v>
      </c>
      <c r="D55" t="s">
        <v>512</v>
      </c>
      <c r="E55">
        <v>1</v>
      </c>
      <c r="F55" t="s">
        <v>479</v>
      </c>
      <c r="G55">
        <f>'밸런스 조정'!$C$80</f>
        <v>500</v>
      </c>
      <c r="H55" t="s">
        <v>509</v>
      </c>
      <c r="I55">
        <f>'밸런스 조정'!$C$83</f>
        <v>1250</v>
      </c>
      <c r="J55">
        <v>0</v>
      </c>
      <c r="K55">
        <v>0</v>
      </c>
      <c r="L55">
        <v>0</v>
      </c>
    </row>
    <row r="56" spans="2:12">
      <c r="B56">
        <v>54</v>
      </c>
      <c r="C56" t="s">
        <v>307</v>
      </c>
      <c r="D56" t="s">
        <v>513</v>
      </c>
      <c r="E56">
        <v>1</v>
      </c>
      <c r="F56" t="s">
        <v>497</v>
      </c>
      <c r="G56">
        <f>'밸런스 조정'!$C$82</f>
        <v>750</v>
      </c>
      <c r="H56" t="s">
        <v>514</v>
      </c>
      <c r="I56">
        <v>0</v>
      </c>
      <c r="J56">
        <v>0</v>
      </c>
      <c r="K56">
        <f>'밸런스 조정'!$C$86</f>
        <v>7</v>
      </c>
      <c r="L56">
        <v>0</v>
      </c>
    </row>
    <row r="57" spans="2:12">
      <c r="B57">
        <v>55</v>
      </c>
      <c r="C57" t="s">
        <v>307</v>
      </c>
      <c r="D57" t="s">
        <v>515</v>
      </c>
      <c r="E57">
        <v>1</v>
      </c>
      <c r="F57" t="s">
        <v>495</v>
      </c>
      <c r="G57">
        <f>'밸런스 조정'!$C$81</f>
        <v>650</v>
      </c>
      <c r="H57" t="s">
        <v>511</v>
      </c>
      <c r="I57">
        <v>0</v>
      </c>
      <c r="J57">
        <f>'밸런스 조정'!$C$84</f>
        <v>2</v>
      </c>
      <c r="K57">
        <f>'밸런스 조정'!$C$85</f>
        <v>5.5</v>
      </c>
      <c r="L57">
        <f>'밸런스 조정'!$C$87</f>
        <v>9</v>
      </c>
    </row>
    <row r="58" spans="2:12">
      <c r="B58">
        <v>56</v>
      </c>
      <c r="C58" t="s">
        <v>307</v>
      </c>
      <c r="D58" t="s">
        <v>516</v>
      </c>
      <c r="E58">
        <v>1</v>
      </c>
      <c r="F58" t="s">
        <v>479</v>
      </c>
      <c r="G58">
        <f>'밸런스 조정'!$C$80</f>
        <v>500</v>
      </c>
      <c r="H58" t="s">
        <v>509</v>
      </c>
      <c r="I58">
        <f>'밸런스 조정'!$C$83</f>
        <v>1250</v>
      </c>
      <c r="J58">
        <v>0</v>
      </c>
      <c r="K58">
        <v>0</v>
      </c>
      <c r="L58">
        <v>0</v>
      </c>
    </row>
    <row r="59" spans="2:12">
      <c r="B59">
        <v>57</v>
      </c>
      <c r="C59" t="s">
        <v>307</v>
      </c>
      <c r="D59" t="s">
        <v>517</v>
      </c>
      <c r="E59">
        <v>1</v>
      </c>
      <c r="F59" t="s">
        <v>495</v>
      </c>
      <c r="G59">
        <f>'밸런스 조정'!$C$81</f>
        <v>650</v>
      </c>
      <c r="H59" t="s">
        <v>511</v>
      </c>
      <c r="I59">
        <v>0</v>
      </c>
      <c r="J59">
        <f>'밸런스 조정'!$C$84</f>
        <v>2</v>
      </c>
      <c r="K59">
        <f>'밸런스 조정'!$C$85</f>
        <v>5.5</v>
      </c>
      <c r="L59">
        <f>'밸런스 조정'!$C$87</f>
        <v>9</v>
      </c>
    </row>
    <row r="60" spans="2:12">
      <c r="B60">
        <v>58</v>
      </c>
      <c r="C60" t="s">
        <v>307</v>
      </c>
      <c r="D60" t="s">
        <v>518</v>
      </c>
      <c r="E60">
        <v>1</v>
      </c>
      <c r="F60" t="s">
        <v>479</v>
      </c>
      <c r="G60">
        <f>'밸런스 조정'!$C$80</f>
        <v>500</v>
      </c>
      <c r="H60" t="s">
        <v>509</v>
      </c>
      <c r="I60">
        <f>'밸런스 조정'!$C$83</f>
        <v>1250</v>
      </c>
      <c r="J60">
        <v>0</v>
      </c>
      <c r="K60">
        <v>0</v>
      </c>
      <c r="L60">
        <v>0</v>
      </c>
    </row>
    <row r="61" spans="2:12">
      <c r="B61">
        <v>59</v>
      </c>
      <c r="C61" t="s">
        <v>307</v>
      </c>
      <c r="D61" t="s">
        <v>519</v>
      </c>
      <c r="E61">
        <v>1</v>
      </c>
      <c r="F61" t="s">
        <v>497</v>
      </c>
      <c r="G61">
        <f>'밸런스 조정'!$C$82</f>
        <v>750</v>
      </c>
      <c r="H61" t="s">
        <v>514</v>
      </c>
      <c r="I61">
        <v>0</v>
      </c>
      <c r="J61">
        <v>0</v>
      </c>
      <c r="K61">
        <f>'밸런스 조정'!$C$86</f>
        <v>7</v>
      </c>
      <c r="L61">
        <v>0</v>
      </c>
    </row>
    <row r="62" spans="2:12">
      <c r="B62">
        <v>60</v>
      </c>
      <c r="C62" t="s">
        <v>307</v>
      </c>
      <c r="D62" t="s">
        <v>520</v>
      </c>
      <c r="E62">
        <v>1</v>
      </c>
      <c r="F62" t="s">
        <v>495</v>
      </c>
      <c r="G62">
        <f>'밸런스 조정'!$C$81</f>
        <v>650</v>
      </c>
      <c r="H62" t="s">
        <v>511</v>
      </c>
      <c r="I62">
        <v>0</v>
      </c>
      <c r="J62">
        <f>'밸런스 조정'!$C$84</f>
        <v>2</v>
      </c>
      <c r="K62">
        <f>'밸런스 조정'!$C$85</f>
        <v>5.5</v>
      </c>
      <c r="L62">
        <f>'밸런스 조정'!$C$87</f>
        <v>9</v>
      </c>
    </row>
    <row r="63" spans="2:12">
      <c r="B63">
        <v>61</v>
      </c>
      <c r="C63" t="s">
        <v>307</v>
      </c>
      <c r="D63" t="s">
        <v>521</v>
      </c>
      <c r="E63">
        <v>0</v>
      </c>
      <c r="F63" t="s">
        <v>479</v>
      </c>
      <c r="G63">
        <f>'밸런스 조정'!$C$80</f>
        <v>500</v>
      </c>
      <c r="H63" t="s">
        <v>509</v>
      </c>
      <c r="I63">
        <f>'밸런스 조정'!$C$83</f>
        <v>1250</v>
      </c>
      <c r="J63">
        <v>0</v>
      </c>
      <c r="K63">
        <v>0</v>
      </c>
      <c r="L63">
        <v>0</v>
      </c>
    </row>
    <row r="64" spans="2:12">
      <c r="B64">
        <v>62</v>
      </c>
      <c r="C64" t="s">
        <v>307</v>
      </c>
      <c r="D64" t="s">
        <v>522</v>
      </c>
      <c r="E64">
        <v>0</v>
      </c>
      <c r="F64" t="s">
        <v>495</v>
      </c>
      <c r="G64">
        <f>'밸런스 조정'!$C$81</f>
        <v>650</v>
      </c>
      <c r="H64" t="s">
        <v>511</v>
      </c>
      <c r="I64">
        <v>0</v>
      </c>
      <c r="J64">
        <f>'밸런스 조정'!$C$84</f>
        <v>2</v>
      </c>
      <c r="K64">
        <f>'밸런스 조정'!$C$85</f>
        <v>5.5</v>
      </c>
      <c r="L64">
        <f>'밸런스 조정'!$C$87</f>
        <v>9</v>
      </c>
    </row>
    <row r="65" spans="2:12">
      <c r="B65">
        <v>63</v>
      </c>
      <c r="C65" t="s">
        <v>307</v>
      </c>
      <c r="D65" t="s">
        <v>523</v>
      </c>
      <c r="E65">
        <v>1</v>
      </c>
      <c r="F65" t="s">
        <v>479</v>
      </c>
      <c r="G65">
        <f>'밸런스 조정'!$C$80</f>
        <v>500</v>
      </c>
      <c r="H65" t="s">
        <v>509</v>
      </c>
      <c r="I65">
        <f>'밸런스 조정'!$C$83</f>
        <v>1250</v>
      </c>
      <c r="J65">
        <v>0</v>
      </c>
      <c r="K65">
        <v>0</v>
      </c>
      <c r="L65">
        <v>0</v>
      </c>
    </row>
    <row r="66" spans="2:12">
      <c r="B66">
        <v>64</v>
      </c>
      <c r="C66" t="s">
        <v>307</v>
      </c>
      <c r="D66" t="s">
        <v>524</v>
      </c>
      <c r="E66">
        <v>1</v>
      </c>
      <c r="F66" t="s">
        <v>497</v>
      </c>
      <c r="G66">
        <f>'밸런스 조정'!$C$82</f>
        <v>750</v>
      </c>
      <c r="H66" t="s">
        <v>514</v>
      </c>
      <c r="I66">
        <v>0</v>
      </c>
      <c r="J66">
        <v>0</v>
      </c>
      <c r="K66">
        <f>'밸런스 조정'!$C$86</f>
        <v>7</v>
      </c>
      <c r="L66">
        <v>0</v>
      </c>
    </row>
    <row r="67" spans="2:12">
      <c r="B67">
        <v>65</v>
      </c>
      <c r="C67" t="s">
        <v>307</v>
      </c>
      <c r="D67" t="s">
        <v>525</v>
      </c>
      <c r="E67">
        <v>1</v>
      </c>
      <c r="F67" t="s">
        <v>495</v>
      </c>
      <c r="G67">
        <f>'밸런스 조정'!$C$81</f>
        <v>650</v>
      </c>
      <c r="H67" t="s">
        <v>511</v>
      </c>
      <c r="I67">
        <v>0</v>
      </c>
      <c r="J67">
        <f>'밸런스 조정'!$C$84</f>
        <v>2</v>
      </c>
      <c r="K67">
        <f>'밸런스 조정'!$C$85</f>
        <v>5.5</v>
      </c>
      <c r="L67">
        <f>'밸런스 조정'!$C$87</f>
        <v>9</v>
      </c>
    </row>
    <row r="68" spans="2:12">
      <c r="B68">
        <v>66</v>
      </c>
      <c r="C68" t="s">
        <v>307</v>
      </c>
      <c r="D68" t="s">
        <v>526</v>
      </c>
      <c r="E68">
        <v>1</v>
      </c>
      <c r="F68" t="s">
        <v>479</v>
      </c>
      <c r="G68">
        <f>'밸런스 조정'!$C$80</f>
        <v>500</v>
      </c>
      <c r="H68" t="s">
        <v>509</v>
      </c>
      <c r="I68">
        <f>'밸런스 조정'!$C$83</f>
        <v>1250</v>
      </c>
      <c r="J68">
        <v>0</v>
      </c>
      <c r="K68">
        <v>0</v>
      </c>
      <c r="L68">
        <v>0</v>
      </c>
    </row>
    <row r="69" spans="2:12">
      <c r="B69">
        <v>67</v>
      </c>
      <c r="C69" t="s">
        <v>307</v>
      </c>
      <c r="D69" t="s">
        <v>527</v>
      </c>
      <c r="E69">
        <v>1</v>
      </c>
      <c r="F69" t="s">
        <v>495</v>
      </c>
      <c r="G69">
        <f>'밸런스 조정'!$C$81</f>
        <v>650</v>
      </c>
      <c r="H69" t="s">
        <v>511</v>
      </c>
      <c r="I69">
        <v>0</v>
      </c>
      <c r="J69">
        <f>'밸런스 조정'!$C$84</f>
        <v>2</v>
      </c>
      <c r="K69">
        <f>'밸런스 조정'!$C$85</f>
        <v>5.5</v>
      </c>
      <c r="L69">
        <f>'밸런스 조정'!$C$87</f>
        <v>9</v>
      </c>
    </row>
    <row r="70" spans="2:12">
      <c r="B70">
        <v>68</v>
      </c>
      <c r="C70" t="s">
        <v>307</v>
      </c>
      <c r="D70" t="s">
        <v>528</v>
      </c>
      <c r="E70">
        <v>1</v>
      </c>
      <c r="F70" t="s">
        <v>479</v>
      </c>
      <c r="G70">
        <f>'밸런스 조정'!$C$80</f>
        <v>500</v>
      </c>
      <c r="H70" t="s">
        <v>509</v>
      </c>
      <c r="I70">
        <f>'밸런스 조정'!$C$83</f>
        <v>1250</v>
      </c>
      <c r="J70">
        <v>0</v>
      </c>
      <c r="K70">
        <v>0</v>
      </c>
      <c r="L70">
        <v>0</v>
      </c>
    </row>
    <row r="71" spans="2:12">
      <c r="B71">
        <v>69</v>
      </c>
      <c r="C71" t="s">
        <v>307</v>
      </c>
      <c r="D71" t="s">
        <v>529</v>
      </c>
      <c r="E71">
        <v>1</v>
      </c>
      <c r="F71" t="s">
        <v>497</v>
      </c>
      <c r="G71">
        <f>'밸런스 조정'!$C$82</f>
        <v>750</v>
      </c>
      <c r="H71" t="s">
        <v>514</v>
      </c>
      <c r="I71">
        <v>0</v>
      </c>
      <c r="J71">
        <v>0</v>
      </c>
      <c r="K71">
        <f>'밸런스 조정'!$C$86</f>
        <v>7</v>
      </c>
      <c r="L71">
        <v>0</v>
      </c>
    </row>
    <row r="72" spans="2:12">
      <c r="B72">
        <v>70</v>
      </c>
      <c r="C72" t="s">
        <v>307</v>
      </c>
      <c r="D72" t="s">
        <v>530</v>
      </c>
      <c r="E72">
        <v>1</v>
      </c>
      <c r="F72" t="s">
        <v>495</v>
      </c>
      <c r="G72">
        <f>'밸런스 조정'!$C$81</f>
        <v>650</v>
      </c>
      <c r="H72" t="s">
        <v>511</v>
      </c>
      <c r="I72">
        <v>0</v>
      </c>
      <c r="J72">
        <f>'밸런스 조정'!$C$84</f>
        <v>2</v>
      </c>
      <c r="K72">
        <f>'밸런스 조정'!$C$85</f>
        <v>5.5</v>
      </c>
      <c r="L72">
        <f>'밸런스 조정'!$C$87</f>
        <v>9</v>
      </c>
    </row>
    <row r="73" spans="2:12">
      <c r="B73">
        <v>71</v>
      </c>
      <c r="C73" t="s">
        <v>307</v>
      </c>
      <c r="D73" t="s">
        <v>531</v>
      </c>
      <c r="E73">
        <v>1</v>
      </c>
      <c r="F73" t="s">
        <v>479</v>
      </c>
      <c r="G73">
        <f>'밸런스 조정'!$C$80</f>
        <v>500</v>
      </c>
      <c r="H73" t="s">
        <v>509</v>
      </c>
      <c r="I73">
        <f>'밸런스 조정'!$C$83</f>
        <v>1250</v>
      </c>
      <c r="J73">
        <v>0</v>
      </c>
      <c r="K73">
        <v>0</v>
      </c>
      <c r="L73">
        <v>0</v>
      </c>
    </row>
    <row r="74" spans="2:12">
      <c r="B74">
        <v>72</v>
      </c>
      <c r="C74" t="s">
        <v>307</v>
      </c>
      <c r="D74" t="s">
        <v>532</v>
      </c>
      <c r="E74">
        <v>1</v>
      </c>
      <c r="F74" t="s">
        <v>495</v>
      </c>
      <c r="G74">
        <f>'밸런스 조정'!$C$81</f>
        <v>650</v>
      </c>
      <c r="H74" t="s">
        <v>511</v>
      </c>
      <c r="I74">
        <v>0</v>
      </c>
      <c r="J74">
        <f>'밸런스 조정'!$C$84</f>
        <v>2</v>
      </c>
      <c r="K74">
        <f>'밸런스 조정'!$C$85</f>
        <v>5.5</v>
      </c>
      <c r="L74">
        <f>'밸런스 조정'!$C$87</f>
        <v>9</v>
      </c>
    </row>
    <row r="75" spans="2:12">
      <c r="B75">
        <v>73</v>
      </c>
      <c r="C75" t="s">
        <v>307</v>
      </c>
      <c r="D75" t="s">
        <v>533</v>
      </c>
      <c r="E75">
        <v>1</v>
      </c>
      <c r="F75" t="s">
        <v>479</v>
      </c>
      <c r="G75">
        <f>'밸런스 조정'!$C$80</f>
        <v>500</v>
      </c>
      <c r="H75" t="s">
        <v>509</v>
      </c>
      <c r="I75">
        <f>'밸런스 조정'!$C$83</f>
        <v>1250</v>
      </c>
      <c r="J75">
        <v>0</v>
      </c>
      <c r="K75">
        <v>0</v>
      </c>
      <c r="L75">
        <v>0</v>
      </c>
    </row>
    <row r="76" spans="2:12">
      <c r="B76">
        <v>74</v>
      </c>
      <c r="C76" t="s">
        <v>307</v>
      </c>
      <c r="D76" t="s">
        <v>534</v>
      </c>
      <c r="E76">
        <v>1</v>
      </c>
      <c r="F76" t="s">
        <v>497</v>
      </c>
      <c r="G76">
        <f>'밸런스 조정'!$C$82</f>
        <v>750</v>
      </c>
      <c r="H76" t="s">
        <v>514</v>
      </c>
      <c r="I76">
        <v>0</v>
      </c>
      <c r="J76">
        <v>0</v>
      </c>
      <c r="K76">
        <f>'밸런스 조정'!$C$86</f>
        <v>7</v>
      </c>
      <c r="L76">
        <v>0</v>
      </c>
    </row>
    <row r="77" spans="2:12">
      <c r="B77">
        <v>75</v>
      </c>
      <c r="C77" t="s">
        <v>307</v>
      </c>
      <c r="D77" t="s">
        <v>535</v>
      </c>
      <c r="E77">
        <v>1</v>
      </c>
      <c r="F77" t="s">
        <v>495</v>
      </c>
      <c r="G77">
        <f>'밸런스 조정'!$C$81</f>
        <v>650</v>
      </c>
      <c r="H77" t="s">
        <v>511</v>
      </c>
      <c r="I77">
        <v>0</v>
      </c>
      <c r="J77">
        <f>'밸런스 조정'!$C$84</f>
        <v>2</v>
      </c>
      <c r="K77">
        <f>'밸런스 조정'!$C$85</f>
        <v>5.5</v>
      </c>
      <c r="L77">
        <f>'밸런스 조정'!$C$87</f>
        <v>9</v>
      </c>
    </row>
  </sheetData>
  <phoneticPr fontId="12" type="noConversion"/>
  <dataValidations count="1">
    <dataValidation type="list" sqref="E3:E26" xr:uid="{00000000-0002-0000-0A00-000000000000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B00-000000000000}">
  <dimension ref="B1:R118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8" width="16" customWidth="1"/>
    <col min="9" max="9" width="36" customWidth="1"/>
    <col min="10" max="17" width="14" customWidth="1"/>
    <col min="18" max="18" width="18" customWidth="1"/>
  </cols>
  <sheetData>
    <row r="1" spans="2:9" ht="27" customHeight="1">
      <c r="B1" s="29" t="s">
        <v>536</v>
      </c>
      <c r="C1" s="29"/>
      <c r="D1" s="29"/>
      <c r="E1" s="29"/>
      <c r="F1" s="29"/>
      <c r="G1" s="29"/>
      <c r="H1" s="29"/>
      <c r="I1" s="29"/>
    </row>
    <row r="2" spans="2:9" ht="30" customHeight="1">
      <c r="B2" s="23" t="s">
        <v>4</v>
      </c>
      <c r="C2" s="23" t="s">
        <v>537</v>
      </c>
      <c r="D2" s="23" t="s">
        <v>538</v>
      </c>
      <c r="E2" s="23" t="s">
        <v>539</v>
      </c>
      <c r="F2" s="23" t="s">
        <v>540</v>
      </c>
      <c r="G2" s="23" t="s">
        <v>39</v>
      </c>
      <c r="H2" s="23" t="s">
        <v>2</v>
      </c>
    </row>
    <row r="3" spans="2:9" ht="27" customHeight="1">
      <c r="B3" s="24" t="s">
        <v>16</v>
      </c>
      <c r="C3" s="25">
        <v>0</v>
      </c>
      <c r="D3" s="25">
        <v>4</v>
      </c>
      <c r="E3" s="25">
        <v>10</v>
      </c>
      <c r="F3" s="25">
        <v>5</v>
      </c>
      <c r="G3" s="24" t="s">
        <v>63</v>
      </c>
      <c r="H3" s="24" t="s">
        <v>9</v>
      </c>
    </row>
    <row r="4" spans="2:9" ht="27" customHeight="1">
      <c r="B4" s="24" t="s">
        <v>23</v>
      </c>
      <c r="C4" s="25">
        <v>0</v>
      </c>
      <c r="D4" s="25">
        <v>20</v>
      </c>
      <c r="E4" s="25">
        <v>10</v>
      </c>
      <c r="F4" s="25">
        <v>5</v>
      </c>
      <c r="G4" s="24" t="s">
        <v>63</v>
      </c>
      <c r="H4" s="24" t="s">
        <v>9</v>
      </c>
    </row>
    <row r="5" spans="2:9" ht="27" customHeight="1">
      <c r="B5" s="24" t="s">
        <v>19</v>
      </c>
      <c r="C5" s="25">
        <v>0</v>
      </c>
      <c r="D5" s="25">
        <v>5</v>
      </c>
      <c r="E5" s="25">
        <v>45</v>
      </c>
      <c r="F5" s="25">
        <v>20</v>
      </c>
      <c r="G5" s="24" t="s">
        <v>49</v>
      </c>
      <c r="H5" s="24" t="s">
        <v>9</v>
      </c>
    </row>
    <row r="6" spans="2:9" ht="27" customHeight="1">
      <c r="B6" s="24" t="s">
        <v>128</v>
      </c>
      <c r="C6" s="25">
        <v>0</v>
      </c>
      <c r="D6" s="25">
        <v>4</v>
      </c>
      <c r="E6" s="25">
        <v>40</v>
      </c>
      <c r="F6" s="25">
        <v>16</v>
      </c>
      <c r="G6" s="24" t="s">
        <v>49</v>
      </c>
      <c r="H6" s="24" t="s">
        <v>9</v>
      </c>
    </row>
    <row r="7" spans="2:9" ht="27" customHeight="1">
      <c r="B7" s="24" t="s">
        <v>12</v>
      </c>
      <c r="C7" s="25">
        <v>0</v>
      </c>
      <c r="D7" s="25">
        <v>8</v>
      </c>
      <c r="E7" s="25">
        <v>60</v>
      </c>
      <c r="F7" s="25">
        <v>25</v>
      </c>
      <c r="G7" s="24" t="s">
        <v>49</v>
      </c>
      <c r="H7" s="24" t="s">
        <v>9</v>
      </c>
    </row>
    <row r="8" spans="2:9" ht="27" customHeight="1">
      <c r="B8" s="24" t="s">
        <v>32</v>
      </c>
      <c r="C8" s="25">
        <v>0</v>
      </c>
      <c r="D8" s="25">
        <v>8</v>
      </c>
      <c r="E8" s="25">
        <v>70</v>
      </c>
      <c r="F8" s="25">
        <v>35</v>
      </c>
      <c r="G8" s="24" t="s">
        <v>49</v>
      </c>
      <c r="H8" s="24" t="s">
        <v>9</v>
      </c>
    </row>
    <row r="9" spans="2:9" ht="27" customHeight="1">
      <c r="B9" s="24" t="s">
        <v>29</v>
      </c>
      <c r="C9" s="25">
        <v>0</v>
      </c>
      <c r="D9" s="25">
        <v>0.1</v>
      </c>
      <c r="E9" s="25">
        <v>80</v>
      </c>
      <c r="F9" s="25">
        <v>35</v>
      </c>
      <c r="G9" s="24" t="s">
        <v>63</v>
      </c>
      <c r="H9" s="24" t="s">
        <v>9</v>
      </c>
    </row>
    <row r="10" spans="2:9" ht="27" customHeight="1">
      <c r="B10" s="24" t="s">
        <v>134</v>
      </c>
      <c r="C10" s="25">
        <v>95</v>
      </c>
      <c r="D10" s="25">
        <v>5</v>
      </c>
      <c r="E10" s="25">
        <v>450</v>
      </c>
      <c r="F10" s="25">
        <v>120</v>
      </c>
      <c r="G10" s="24" t="s">
        <v>49</v>
      </c>
      <c r="H10" s="24" t="s">
        <v>9</v>
      </c>
    </row>
    <row r="11" spans="2:9" ht="27" customHeight="1">
      <c r="B11" s="24" t="s">
        <v>137</v>
      </c>
      <c r="C11" s="25">
        <v>125</v>
      </c>
      <c r="D11" s="25">
        <v>5</v>
      </c>
      <c r="E11" s="25">
        <v>550</v>
      </c>
      <c r="F11" s="25">
        <v>150</v>
      </c>
      <c r="G11" s="24" t="s">
        <v>49</v>
      </c>
      <c r="H11" s="24" t="s">
        <v>9</v>
      </c>
    </row>
    <row r="12" spans="2:9" ht="27" customHeight="1">
      <c r="B12" s="24"/>
      <c r="C12" s="24"/>
      <c r="D12" s="24"/>
      <c r="E12" s="24"/>
      <c r="F12" s="24"/>
      <c r="G12" s="24"/>
      <c r="H12" s="24"/>
    </row>
    <row r="13" spans="2:9" ht="27" customHeight="1">
      <c r="B13" s="24"/>
      <c r="C13" s="24"/>
      <c r="D13" s="24"/>
      <c r="E13" s="24"/>
      <c r="F13" s="24"/>
      <c r="G13" s="24"/>
      <c r="H13" s="24"/>
    </row>
    <row r="14" spans="2:9" ht="27" customHeight="1">
      <c r="B14" s="23" t="s">
        <v>541</v>
      </c>
      <c r="C14" s="23" t="s">
        <v>542</v>
      </c>
      <c r="D14" s="24"/>
      <c r="E14" s="24"/>
      <c r="F14" s="24"/>
      <c r="G14" s="24"/>
      <c r="H14" s="24"/>
    </row>
    <row r="15" spans="2:9" ht="27" customHeight="1">
      <c r="B15" s="24" t="s">
        <v>543</v>
      </c>
      <c r="C15" s="25">
        <v>8</v>
      </c>
      <c r="D15" s="24"/>
      <c r="E15" s="24"/>
      <c r="F15" s="24"/>
      <c r="G15" s="24"/>
      <c r="H15" s="24"/>
    </row>
    <row r="16" spans="2:9" ht="27" customHeight="1">
      <c r="B16" s="24" t="s">
        <v>544</v>
      </c>
      <c r="C16" s="25">
        <v>45</v>
      </c>
      <c r="D16" s="24"/>
      <c r="E16" s="24"/>
      <c r="F16" s="24"/>
      <c r="G16" s="24"/>
      <c r="H16" s="24"/>
    </row>
    <row r="17" spans="2:8" ht="27" customHeight="1">
      <c r="B17" s="24" t="s">
        <v>545</v>
      </c>
      <c r="C17" s="27">
        <v>0.04</v>
      </c>
      <c r="D17" s="24"/>
      <c r="E17" s="24"/>
      <c r="F17" s="24"/>
      <c r="G17" s="24"/>
      <c r="H17" s="24"/>
    </row>
    <row r="18" spans="2:8" ht="27" customHeight="1">
      <c r="B18" s="24" t="s">
        <v>546</v>
      </c>
      <c r="C18" s="27" t="n">
        <v>0.16</v>
      </c>
      <c r="D18" s="24"/>
      <c r="E18" s="24"/>
      <c r="F18" s="24"/>
      <c r="G18" s="24"/>
      <c r="H18" s="24"/>
    </row>
    <row r="19" spans="2:8" ht="27" customHeight="1">
      <c r="B19" s="24" t="s">
        <v>547</v>
      </c>
      <c r="C19" s="25">
        <v>1.6</v>
      </c>
      <c r="D19" s="24"/>
      <c r="E19" s="24"/>
      <c r="F19" s="24"/>
      <c r="G19" s="24"/>
      <c r="H19" s="24"/>
    </row>
    <row r="20" spans="2:8" ht="27" customHeight="1">
      <c r="B20" s="24" t="s">
        <v>548</v>
      </c>
      <c r="C20" s="25">
        <v>1.8</v>
      </c>
      <c r="D20" s="24"/>
      <c r="E20" s="24"/>
      <c r="F20" s="24"/>
      <c r="G20" s="24"/>
      <c r="H20" s="24"/>
    </row>
    <row r="21" spans="2:8" ht="27" customHeight="1">
      <c r="B21" s="24" t="s">
        <v>549</v>
      </c>
      <c r="C21" s="25">
        <v>3</v>
      </c>
      <c r="D21" s="24"/>
      <c r="E21" s="24"/>
      <c r="F21" s="24"/>
      <c r="G21" s="24"/>
      <c r="H21" s="24"/>
    </row>
    <row r="22" spans="2:8" ht="27" customHeight="1">
      <c r="B22" s="24" t="s">
        <v>550</v>
      </c>
      <c r="C22" s="25" t="n">
        <v>1.31</v>
      </c>
      <c r="D22" s="24"/>
      <c r="E22" s="24"/>
      <c r="F22" s="24"/>
      <c r="G22" s="24"/>
      <c r="H22" s="24"/>
    </row>
    <row r="23" spans="2:8" ht="27" customHeight="1">
      <c r="B23" s="24" t="s">
        <v>551</v>
      </c>
      <c r="C23" s="25">
        <v>55</v>
      </c>
      <c r="D23" s="24"/>
      <c r="E23" s="24"/>
      <c r="F23" s="24"/>
      <c r="G23" s="24"/>
      <c r="H23" s="24"/>
    </row>
    <row r="24" spans="2:8" ht="27" customHeight="1">
      <c r="B24" s="24" t="s">
        <v>552</v>
      </c>
      <c r="C24" s="25">
        <v>130</v>
      </c>
      <c r="D24" s="24"/>
      <c r="E24" s="24"/>
      <c r="F24" s="24"/>
      <c r="G24" s="24"/>
      <c r="H24" s="24"/>
    </row>
    <row r="25" spans="2:8" ht="27" customHeight="1">
      <c r="B25" s="24" t="s">
        <v>553</v>
      </c>
      <c r="C25" s="24"/>
      <c r="D25" s="24"/>
      <c r="E25" s="24"/>
      <c r="F25" s="24"/>
      <c r="G25" s="24"/>
      <c r="H25" s="24"/>
    </row>
    <row r="28" spans="2:8">
      <c r="B28" s="32" t="s">
        <v>554</v>
      </c>
      <c r="C28" s="32"/>
      <c r="D28" s="32"/>
    </row>
    <row r="29" spans="2:8">
      <c r="B29" s="33" t="s">
        <v>4</v>
      </c>
      <c r="C29" s="33" t="s">
        <v>542</v>
      </c>
      <c r="D29" s="33" t="s">
        <v>192</v>
      </c>
    </row>
    <row r="30" spans="2:8" ht="32.1" customHeight="1">
      <c r="B30" s="31" t="s">
        <v>543</v>
      </c>
      <c r="C30" s="34">
        <v>220</v>
      </c>
      <c r="D30" s="36" t="s">
        <v>555</v>
      </c>
    </row>
    <row r="31" spans="2:8" ht="32.1" customHeight="1">
      <c r="B31" s="31" t="s">
        <v>544</v>
      </c>
      <c r="C31" s="34">
        <v>540</v>
      </c>
      <c r="D31" s="36" t="s">
        <v>556</v>
      </c>
    </row>
    <row r="32" spans="2:8" ht="32.1" customHeight="1">
      <c r="B32" s="31" t="s">
        <v>557</v>
      </c>
      <c r="C32" s="35">
        <v>3.5000000000000003E-2</v>
      </c>
      <c r="D32" s="36" t="s">
        <v>558</v>
      </c>
    </row>
    <row r="33" spans="2:4" ht="32.1" customHeight="1">
      <c r="B33" s="31" t="s">
        <v>559</v>
      </c>
      <c r="C33" s="35">
        <v>7.4999999999999997E-2</v>
      </c>
      <c r="D33" s="36" t="s">
        <v>558</v>
      </c>
    </row>
    <row r="34" spans="2:4" ht="32.1" customHeight="1">
      <c r="B34" s="31" t="s">
        <v>547</v>
      </c>
      <c r="C34" s="34">
        <v>1.25</v>
      </c>
      <c r="D34" s="36" t="s">
        <v>560</v>
      </c>
    </row>
    <row r="35" spans="2:4" ht="32.1" customHeight="1">
      <c r="B35" s="31" t="s">
        <v>548</v>
      </c>
      <c r="C35" s="34">
        <v>1.5</v>
      </c>
      <c r="D35" s="36" t="s">
        <v>560</v>
      </c>
    </row>
    <row r="36" spans="2:4" ht="32.1" customHeight="1">
      <c r="B36" s="31" t="s">
        <v>549</v>
      </c>
      <c r="C36" s="34">
        <v>1.8</v>
      </c>
      <c r="D36" s="36" t="s">
        <v>561</v>
      </c>
    </row>
    <row r="37" spans="2:4" ht="32.1" customHeight="1">
      <c r="B37" s="31" t="s">
        <v>550</v>
      </c>
      <c r="C37" s="34">
        <v>2.6</v>
      </c>
      <c r="D37" s="36" t="s">
        <v>561</v>
      </c>
    </row>
    <row r="38" spans="2:4" ht="32.1" customHeight="1">
      <c r="B38" s="31" t="s">
        <v>562</v>
      </c>
      <c r="C38" s="34">
        <v>180</v>
      </c>
      <c r="D38" s="36" t="s">
        <v>563</v>
      </c>
    </row>
    <row r="39" spans="2:4" ht="32.1" customHeight="1">
      <c r="B39" s="31" t="s">
        <v>564</v>
      </c>
      <c r="C39" s="34">
        <v>240</v>
      </c>
      <c r="D39" s="36" t="s">
        <v>565</v>
      </c>
    </row>
    <row r="40" spans="2:4" ht="32.1" customHeight="1">
      <c r="B40" s="31" t="s">
        <v>566</v>
      </c>
      <c r="C40" s="34">
        <v>280</v>
      </c>
      <c r="D40" s="36" t="s">
        <v>567</v>
      </c>
    </row>
    <row r="41" spans="2:4" ht="32.1" customHeight="1">
      <c r="B41" s="31" t="s">
        <v>568</v>
      </c>
      <c r="C41" s="34">
        <v>240</v>
      </c>
      <c r="D41" s="36" t="s">
        <v>569</v>
      </c>
    </row>
    <row r="42" spans="2:4" ht="32.1" customHeight="1">
      <c r="B42" s="31" t="s">
        <v>570</v>
      </c>
      <c r="C42" s="34">
        <v>1.8</v>
      </c>
      <c r="D42" s="36" t="s">
        <v>571</v>
      </c>
    </row>
    <row r="43" spans="2:4" ht="32.1" customHeight="1">
      <c r="B43" s="31" t="s">
        <v>572</v>
      </c>
      <c r="C43" s="34">
        <v>4</v>
      </c>
      <c r="D43" s="36" t="s">
        <v>573</v>
      </c>
    </row>
    <row r="44" spans="2:4" ht="32.1" customHeight="1">
      <c r="B44" s="31" t="s">
        <v>574</v>
      </c>
      <c r="C44" s="34">
        <v>6</v>
      </c>
      <c r="D44" s="36" t="s">
        <v>575</v>
      </c>
    </row>
    <row r="45" spans="2:4" ht="32.1" customHeight="1">
      <c r="B45" s="31" t="s">
        <v>576</v>
      </c>
      <c r="C45" s="34">
        <v>9</v>
      </c>
      <c r="D45" s="36" t="s">
        <v>577</v>
      </c>
    </row>
    <row r="47" spans="2:4">
      <c r="B47" s="38" t="s">
        <v>578</v>
      </c>
      <c r="C47" s="38"/>
      <c r="D47" s="38"/>
    </row>
    <row r="48" spans="2:4" ht="32.1" customHeight="1">
      <c r="B48" t="s">
        <v>579</v>
      </c>
      <c r="C48" s="39">
        <v>2</v>
      </c>
      <c r="D48" s="40" t="s">
        <v>580</v>
      </c>
    </row>
    <row r="49" spans="2:4" ht="32.1" customHeight="1">
      <c r="B49" t="s">
        <v>581</v>
      </c>
      <c r="C49" s="39">
        <v>20</v>
      </c>
      <c r="D49" s="40" t="s">
        <v>582</v>
      </c>
    </row>
    <row r="50" spans="2:4" ht="32.1" customHeight="1">
      <c r="B50" t="s">
        <v>583</v>
      </c>
      <c r="C50" s="39">
        <v>10</v>
      </c>
      <c r="D50" s="40" t="s">
        <v>584</v>
      </c>
    </row>
    <row r="53" spans="2:4" ht="27.95" customHeight="1">
      <c r="B53" s="23" t="s">
        <v>585</v>
      </c>
      <c r="C53" s="23" t="s">
        <v>542</v>
      </c>
      <c r="D53" s="23" t="s">
        <v>192</v>
      </c>
    </row>
    <row r="54" spans="2:4" ht="42" customHeight="1">
      <c r="B54" s="24" t="s">
        <v>586</v>
      </c>
      <c r="C54" s="42">
        <v>30</v>
      </c>
      <c r="D54" s="44" t="s">
        <v>587</v>
      </c>
    </row>
    <row r="55" spans="2:4" ht="42" customHeight="1">
      <c r="B55" s="24" t="s">
        <v>588</v>
      </c>
      <c r="C55" s="42" t="n">
        <v>12</v>
      </c>
      <c r="D55" s="44" t="inlineStr">
        <is>
          <t>강화 후 10~15초 증가 목표. 보너스·조작 편차.</t>
        </is>
      </c>
    </row>
    <row r="56" spans="2:4" ht="42" customHeight="1">
      <c r="B56" s="24" t="s">
        <v>590</v>
      </c>
      <c r="C56" s="42" t="n">
        <v>25</v>
      </c>
      <c r="D56" s="44" t="inlineStr">
        <is>
          <t>첫 챕터 20~30판 목표. 획득 코인으로 강화 구매하며 검증.</t>
        </is>
      </c>
    </row>
    <row r="57" spans="2:4" ht="42" customHeight="1">
      <c r="B57" s="24" t="s">
        <v>592</v>
      </c>
      <c r="C57" s="42">
        <v>300</v>
      </c>
      <c r="D57" s="44" t="s">
        <v>593</v>
      </c>
    </row>
    <row r="58" spans="2:4" ht="42" customHeight="1">
      <c r="B58" s="24" t="s">
        <v>594</v>
      </c>
      <c r="C58" s="42">
        <v>300</v>
      </c>
      <c r="D58" s="44" t="s">
        <v>593</v>
      </c>
    </row>
    <row r="59" spans="2:4" ht="42" customHeight="1">
      <c r="B59" s="24" t="s">
        <v>595</v>
      </c>
      <c r="C59" s="43">
        <v>8.84</v>
      </c>
      <c r="D59" s="44" t="s">
        <v>596</v>
      </c>
    </row>
    <row r="60" spans="2:4" ht="42" customHeight="1">
      <c r="B60" s="24" t="s">
        <v>597</v>
      </c>
      <c r="C60" s="43">
        <v>7.8</v>
      </c>
      <c r="D60" s="44" t="s">
        <v>596</v>
      </c>
    </row>
    <row r="61" spans="2:4" ht="42" customHeight="1">
      <c r="B61" s="24" t="s">
        <v>598</v>
      </c>
      <c r="C61" s="42">
        <v>25</v>
      </c>
      <c r="D61" s="44" t="s">
        <v>599</v>
      </c>
    </row>
    <row r="62" spans="2:4" ht="42" customHeight="1">
      <c r="B62" s="24" t="s">
        <v>600</v>
      </c>
      <c r="C62" s="42">
        <v>50</v>
      </c>
      <c r="D62" s="44" t="s">
        <v>601</v>
      </c>
    </row>
    <row r="63" spans="2:4" ht="42" customHeight="1">
      <c r="B63" s="24" t="s">
        <v>602</v>
      </c>
      <c r="C63" s="42">
        <v>25</v>
      </c>
      <c r="D63" s="44" t="s">
        <v>603</v>
      </c>
    </row>
    <row r="64" spans="2:4" ht="42" customHeight="1">
      <c r="B64" s="24" t="s">
        <v>604</v>
      </c>
      <c r="C64" s="42">
        <v>0</v>
      </c>
      <c r="D64" s="44" t="s">
        <v>605</v>
      </c>
    </row>
    <row r="65" spans="2:18" ht="42" customHeight="1">
      <c r="B65" s="24" t="s">
        <v>606</v>
      </c>
      <c r="C65" s="42">
        <v>10</v>
      </c>
      <c r="D65" s="44" t="s">
        <v>607</v>
      </c>
    </row>
    <row r="66" spans="2:18" ht="42" customHeight="1">
      <c r="B66" s="24" t="s">
        <v>608</v>
      </c>
      <c r="C66" s="42">
        <v>5</v>
      </c>
      <c r="D66" s="44" t="s">
        <v>609</v>
      </c>
    </row>
    <row r="67" spans="2:18" ht="42" customHeight="1">
      <c r="B67" s="24" t="s">
        <v>610</v>
      </c>
      <c r="C67" s="42">
        <v>12</v>
      </c>
      <c r="D67" s="44" t="s">
        <v>611</v>
      </c>
    </row>
    <row r="68" spans="2:18" ht="42" customHeight="1">
      <c r="B68" s="24" t="s">
        <v>612</v>
      </c>
      <c r="C68" s="42">
        <v>3</v>
      </c>
      <c r="D68" s="44" t="s">
        <v>613</v>
      </c>
    </row>
    <row r="69" spans="2:18" ht="42" customHeight="1">
      <c r="B69" s="24" t="s">
        <v>614</v>
      </c>
      <c r="C69" s="42" t="n">
        <v>2</v>
      </c>
      <c r="D69" s="44" t="s">
        <v>615</v>
      </c>
    </row>
    <row r="71" spans="2:18" ht="30" customHeight="1">
      <c r="B71" s="33" t="s">
        <v>616</v>
      </c>
      <c r="C71" s="33" t="s">
        <v>542</v>
      </c>
      <c r="D71" s="33" t="s">
        <v>192</v>
      </c>
      <c r="J71" s="31" t="s">
        <v>617</v>
      </c>
      <c r="K71" s="31"/>
      <c r="L71" s="31"/>
      <c r="M71" s="31"/>
      <c r="N71" s="31"/>
      <c r="O71" s="31"/>
      <c r="P71" s="31"/>
      <c r="Q71" s="31"/>
    </row>
    <row r="72" spans="2:18" ht="30" customHeight="1">
      <c r="B72" s="31" t="s">
        <v>543</v>
      </c>
      <c r="C72" s="34">
        <v>650</v>
      </c>
      <c r="D72" s="36" t="s">
        <v>618</v>
      </c>
      <c r="J72" s="33" t="s">
        <v>78</v>
      </c>
      <c r="K72" s="33" t="s">
        <v>37</v>
      </c>
      <c r="L72" s="33" t="s">
        <v>619</v>
      </c>
      <c r="M72" s="33" t="s">
        <v>620</v>
      </c>
      <c r="N72" s="33" t="s">
        <v>621</v>
      </c>
      <c r="O72" s="33" t="s">
        <v>622</v>
      </c>
      <c r="P72" s="33" t="s">
        <v>623</v>
      </c>
      <c r="Q72" s="33" t="s">
        <v>624</v>
      </c>
      <c r="R72" s="33" t="s">
        <v>625</v>
      </c>
    </row>
    <row r="73" spans="2:18" ht="30" customHeight="1">
      <c r="B73" s="31" t="s">
        <v>544</v>
      </c>
      <c r="C73" s="34" t="n">
        <v>2000</v>
      </c>
      <c r="D73" s="36" t="s">
        <v>626</v>
      </c>
      <c r="J73" s="31">
        <v>1</v>
      </c>
      <c r="K73" s="31" t="s">
        <v>627</v>
      </c>
      <c r="L73" s="31" t="n">
        <v>25</v>
      </c>
      <c r="M73" s="31" t="n">
        <f>L73</f>
        <v>25</v>
      </c>
      <c r="N73" s="31">
        <v>12</v>
      </c>
      <c r="O73" s="31">
        <v>10</v>
      </c>
      <c r="P73" s="31">
        <v>10</v>
      </c>
      <c r="Q73" s="31">
        <v>300</v>
      </c>
      <c r="R73" s="31">
        <f>C100</f>
        <v>20</v>
      </c>
    </row>
    <row r="74" spans="2:18" ht="30" customHeight="1">
      <c r="B74" s="31" t="s">
        <v>557</v>
      </c>
      <c r="C74" s="35">
        <v>3.5000000000000003E-2</v>
      </c>
      <c r="D74" s="36" t="s">
        <v>628</v>
      </c>
      <c r="J74" s="31">
        <v>2</v>
      </c>
      <c r="K74" s="31" t="s">
        <v>629</v>
      </c>
      <c r="L74" s="31">
        <v>20</v>
      </c>
      <c r="M74" s="31" t="n">
        <f>M73+L74</f>
        <v>45</v>
      </c>
      <c r="N74" s="31">
        <v>24</v>
      </c>
      <c r="O74" s="31">
        <v>20</v>
      </c>
      <c r="P74" s="31" t="n">
        <f>C91</f>
        <v>65</v>
      </c>
      <c r="Q74" s="31">
        <v>300</v>
      </c>
      <c r="R74" s="31">
        <f>C102</f>
        <v>25</v>
      </c>
    </row>
    <row r="75" spans="2:18" ht="30" customHeight="1">
      <c r="B75" s="31" t="s">
        <v>559</v>
      </c>
      <c r="C75" s="35" t="n">
        <v>0.05</v>
      </c>
      <c r="D75" s="36" t="s">
        <v>628</v>
      </c>
      <c r="J75" s="31">
        <v>3</v>
      </c>
      <c r="K75" s="31" t="s">
        <v>630</v>
      </c>
      <c r="L75" s="31">
        <v>20</v>
      </c>
      <c r="M75" s="31" t="n">
        <f>M74+L75</f>
        <v>65</v>
      </c>
      <c r="N75" s="31">
        <v>36</v>
      </c>
      <c r="O75" s="31">
        <v>30</v>
      </c>
      <c r="P75" s="31" t="n">
        <f>C90</f>
        <v>350</v>
      </c>
      <c r="Q75" s="31">
        <v>300</v>
      </c>
      <c r="R75" s="31">
        <f>C104</f>
        <v>30</v>
      </c>
    </row>
    <row r="76" spans="2:18" ht="30" customHeight="1">
      <c r="B76" s="31" t="s">
        <v>547</v>
      </c>
      <c r="C76" s="34">
        <v>1.25</v>
      </c>
      <c r="D76" s="36" t="s">
        <v>560</v>
      </c>
      <c r="J76" s="31">
        <v>4</v>
      </c>
      <c r="K76" s="31" t="s">
        <v>631</v>
      </c>
      <c r="L76" s="31">
        <v>20</v>
      </c>
      <c r="M76" s="31" t="n">
        <f>M75+L76</f>
        <v>85</v>
      </c>
      <c r="N76" s="31">
        <v>48</v>
      </c>
      <c r="O76" s="31">
        <v>40</v>
      </c>
      <c r="P76" s="31">
        <v>700</v>
      </c>
      <c r="Q76" s="31">
        <v>300</v>
      </c>
      <c r="R76" s="31">
        <v>35</v>
      </c>
    </row>
    <row r="77" spans="2:18" ht="30" customHeight="1">
      <c r="B77" s="31" t="s">
        <v>548</v>
      </c>
      <c r="C77" s="34">
        <v>1.5</v>
      </c>
      <c r="D77" s="36" t="s">
        <v>560</v>
      </c>
      <c r="J77" s="31">
        <v>5</v>
      </c>
      <c r="K77" s="31" t="s">
        <v>632</v>
      </c>
      <c r="L77" s="31">
        <v>20</v>
      </c>
      <c r="M77" s="31" t="n">
        <f>M76+L77</f>
        <v>105</v>
      </c>
      <c r="N77" s="31">
        <v>60</v>
      </c>
      <c r="O77" s="31">
        <v>50</v>
      </c>
      <c r="P77" s="31">
        <v>1200</v>
      </c>
      <c r="Q77" s="31">
        <v>300</v>
      </c>
      <c r="R77" s="31">
        <v>40</v>
      </c>
    </row>
    <row r="78" spans="2:18" ht="30" customHeight="1">
      <c r="B78" s="31" t="s">
        <v>549</v>
      </c>
      <c r="C78" s="34">
        <v>1.8</v>
      </c>
      <c r="D78" s="36" t="s">
        <v>633</v>
      </c>
      <c r="J78" s="31"/>
      <c r="K78" s="31"/>
      <c r="L78" s="31"/>
      <c r="M78" s="31"/>
      <c r="N78" s="31"/>
      <c r="O78" s="31"/>
      <c r="P78" s="31"/>
      <c r="Q78" s="31"/>
    </row>
    <row r="79" spans="2:18" ht="30" customHeight="1">
      <c r="B79" s="31" t="s">
        <v>550</v>
      </c>
      <c r="C79" s="34">
        <v>2.6</v>
      </c>
      <c r="D79" s="36" t="s">
        <v>633</v>
      </c>
      <c r="J79" s="31" t="s">
        <v>634</v>
      </c>
      <c r="K79" s="31"/>
      <c r="L79" s="31"/>
      <c r="M79" s="31"/>
      <c r="N79" s="31"/>
      <c r="O79" s="31"/>
      <c r="P79" s="31"/>
      <c r="Q79" s="31"/>
    </row>
    <row r="80" spans="2:18" ht="32.1" customHeight="1">
      <c r="B80" s="31" t="s">
        <v>635</v>
      </c>
      <c r="C80" s="34">
        <v>500</v>
      </c>
      <c r="D80" s="36" t="s">
        <v>563</v>
      </c>
    </row>
    <row r="81" spans="2:4" ht="32.1" customHeight="1">
      <c r="B81" s="31" t="s">
        <v>636</v>
      </c>
      <c r="C81" s="34">
        <v>650</v>
      </c>
      <c r="D81" s="36" t="s">
        <v>637</v>
      </c>
    </row>
    <row r="82" spans="2:4" ht="32.1" customHeight="1">
      <c r="B82" s="31" t="s">
        <v>638</v>
      </c>
      <c r="C82" s="34">
        <v>750</v>
      </c>
      <c r="D82" s="36" t="s">
        <v>639</v>
      </c>
    </row>
    <row r="83" spans="2:4" ht="32.1" customHeight="1">
      <c r="B83" s="31" t="s">
        <v>640</v>
      </c>
      <c r="C83" s="34">
        <v>1250</v>
      </c>
      <c r="D83" s="36" t="s">
        <v>641</v>
      </c>
    </row>
    <row r="84" spans="2:4" ht="32.1" customHeight="1">
      <c r="B84" s="31" t="s">
        <v>642</v>
      </c>
      <c r="C84" s="34">
        <v>2</v>
      </c>
      <c r="D84" s="36" t="s">
        <v>643</v>
      </c>
    </row>
    <row r="85" spans="2:4" ht="32.1" customHeight="1">
      <c r="B85" s="31" t="s">
        <v>644</v>
      </c>
      <c r="C85" s="34">
        <v>5.5</v>
      </c>
      <c r="D85" s="36" t="s">
        <v>643</v>
      </c>
    </row>
    <row r="86" spans="2:4" ht="32.1" customHeight="1">
      <c r="B86" s="31" t="s">
        <v>645</v>
      </c>
      <c r="C86" s="34">
        <v>7</v>
      </c>
      <c r="D86" s="36" t="s">
        <v>643</v>
      </c>
    </row>
    <row r="87" spans="2:4" ht="32.1" customHeight="1">
      <c r="B87" s="31" t="s">
        <v>576</v>
      </c>
      <c r="C87" s="34">
        <v>9</v>
      </c>
      <c r="D87" s="36" t="s">
        <v>646</v>
      </c>
    </row>
    <row r="88" spans="2:4" ht="32.1" customHeight="1">
      <c r="B88" s="31" t="s">
        <v>647</v>
      </c>
      <c r="C88" s="34">
        <v>7.8</v>
      </c>
      <c r="D88" s="36" t="s">
        <v>648</v>
      </c>
    </row>
    <row r="89" spans="2:4" ht="32.1" customHeight="1">
      <c r="B89" s="31" t="s">
        <v>649</v>
      </c>
      <c r="C89" s="34">
        <v>300</v>
      </c>
      <c r="D89" s="36" t="s">
        <v>643</v>
      </c>
    </row>
    <row r="90" spans="2:4" ht="32.1" customHeight="1">
      <c r="B90" s="31" t="s">
        <v>650</v>
      </c>
      <c r="C90" s="34" t="n">
        <v>350</v>
      </c>
      <c r="D90" s="36" t="s">
        <v>651</v>
      </c>
    </row>
    <row r="91" spans="2:4" ht="32.1" customHeight="1">
      <c r="B91" s="31" t="s">
        <v>652</v>
      </c>
      <c r="C91" s="34" t="n">
        <v>65</v>
      </c>
      <c r="D91" s="36" t="s">
        <v>653</v>
      </c>
    </row>
    <row r="92" spans="2:4" ht="32.1" customHeight="1">
      <c r="B92" s="31" t="s">
        <v>654</v>
      </c>
      <c r="C92" s="31">
        <f>MAX(업그레이드!D3:D62)</f>
        <v>60</v>
      </c>
      <c r="D92" s="36" t="s">
        <v>655</v>
      </c>
    </row>
    <row r="93" spans="2:4" ht="32.1" customHeight="1">
      <c r="B93" s="31" t="s">
        <v>656</v>
      </c>
      <c r="C93" s="31">
        <f>MAX(업그레이드!D63:D122)</f>
        <v>60</v>
      </c>
      <c r="D93" s="36" t="s">
        <v>655</v>
      </c>
    </row>
    <row r="94" spans="2:4" ht="32.1" customHeight="1">
      <c r="B94" s="31" t="s">
        <v>657</v>
      </c>
      <c r="C94" s="45">
        <v>0.02</v>
      </c>
      <c r="D94" s="36" t="s">
        <v>658</v>
      </c>
    </row>
    <row r="95" spans="2:4" ht="32.1" customHeight="1">
      <c r="B95" s="31" t="s">
        <v>659</v>
      </c>
      <c r="C95" s="34">
        <v>15</v>
      </c>
      <c r="D95" s="36" t="s">
        <v>660</v>
      </c>
    </row>
    <row r="96" spans="2:4" ht="32.1" customHeight="1">
      <c r="B96" s="31" t="s">
        <v>661</v>
      </c>
      <c r="C96" s="34" t="n">
        <v>65</v>
      </c>
      <c r="D96" s="36" t="s">
        <v>662</v>
      </c>
    </row>
    <row r="97" spans="2:4" ht="32.1" customHeight="1">
      <c r="B97" s="31" t="s">
        <v>663</v>
      </c>
      <c r="C97" s="34" t="n">
        <v>350</v>
      </c>
      <c r="D97" s="36" t="s">
        <v>662</v>
      </c>
    </row>
    <row r="98" spans="2:4" ht="32.1" customHeight="1">
      <c r="B98" s="31" t="s">
        <v>664</v>
      </c>
      <c r="C98" s="34">
        <v>20</v>
      </c>
      <c r="D98" s="36" t="s">
        <v>665</v>
      </c>
    </row>
    <row r="99" spans="2:4" ht="32.1" customHeight="1">
      <c r="B99" s="31" t="s">
        <v>666</v>
      </c>
      <c r="C99" s="34">
        <v>0</v>
      </c>
      <c r="D99" s="36" t="s">
        <v>667</v>
      </c>
    </row>
    <row r="100" spans="2:4" ht="32.1" customHeight="1">
      <c r="B100" s="31" t="s">
        <v>668</v>
      </c>
      <c r="C100" s="34">
        <v>20</v>
      </c>
      <c r="D100" s="36" t="s">
        <v>669</v>
      </c>
    </row>
    <row r="101" spans="2:4" ht="32.1" customHeight="1">
      <c r="B101" s="31" t="s">
        <v>670</v>
      </c>
      <c r="C101" s="34">
        <v>5</v>
      </c>
      <c r="D101" s="36" t="s">
        <v>671</v>
      </c>
    </row>
    <row r="102" spans="2:4" ht="32.1" customHeight="1">
      <c r="B102" s="31" t="s">
        <v>672</v>
      </c>
      <c r="C102" s="34">
        <v>25</v>
      </c>
      <c r="D102" s="36" t="s">
        <v>673</v>
      </c>
    </row>
    <row r="103" spans="2:4" ht="32.1" customHeight="1">
      <c r="B103" s="31" t="s">
        <v>674</v>
      </c>
      <c r="C103" s="34">
        <v>5</v>
      </c>
      <c r="D103" s="36" t="s">
        <v>675</v>
      </c>
    </row>
    <row r="104" spans="2:4" ht="32.1" customHeight="1">
      <c r="B104" s="31" t="s">
        <v>676</v>
      </c>
      <c r="C104" s="34">
        <v>30</v>
      </c>
      <c r="D104" s="36" t="s">
        <v>677</v>
      </c>
    </row>
    <row r="105" spans="2:4" ht="32.1" customHeight="1">
      <c r="B105" s="31" t="s">
        <v>678</v>
      </c>
      <c r="C105" s="34">
        <v>5</v>
      </c>
      <c r="D105" s="36" t="s">
        <v>679</v>
      </c>
    </row>
    <row r="106" spans="2:4" ht="32.1" customHeight="1">
      <c r="B106" s="31" t="s">
        <v>680</v>
      </c>
      <c r="C106" s="34">
        <v>3.2</v>
      </c>
      <c r="D106" s="36" t="s">
        <v>681</v>
      </c>
    </row>
    <row r="107" spans="2:4" ht="32.1" customHeight="1">
      <c r="B107" s="31" t="s">
        <v>682</v>
      </c>
      <c r="C107" s="34">
        <v>3.2</v>
      </c>
      <c r="D107" s="36" t="s">
        <v>683</v>
      </c>
    </row>
    <row r="109" spans="2:4">
      <c r="B109" s="33" t="s">
        <v>684</v>
      </c>
      <c r="C109" s="33" t="s">
        <v>542</v>
      </c>
      <c r="D109" s="33" t="s">
        <v>192</v>
      </c>
    </row>
    <row r="110" spans="2:4" ht="44.1" customHeight="1">
      <c r="B110" s="31" t="s">
        <v>685</v>
      </c>
      <c r="C110" s="34">
        <v>2.2000000000000002</v>
      </c>
      <c r="D110" s="36" t="s">
        <v>686</v>
      </c>
    </row>
    <row r="111" spans="2:4" ht="44.1" customHeight="1">
      <c r="B111" s="31" t="s">
        <v>687</v>
      </c>
      <c r="C111" s="34">
        <v>16</v>
      </c>
      <c r="D111" s="36" t="s">
        <v>596</v>
      </c>
    </row>
    <row r="112" spans="2:4" ht="44.1" customHeight="1">
      <c r="B112" s="31" t="s">
        <v>688</v>
      </c>
      <c r="C112" s="34">
        <v>220</v>
      </c>
      <c r="D112" s="36" t="s">
        <v>689</v>
      </c>
    </row>
    <row r="113" spans="2:4" ht="44.1" customHeight="1">
      <c r="B113" s="31" t="s">
        <v>690</v>
      </c>
      <c r="C113" s="46">
        <v>0.1</v>
      </c>
      <c r="D113" s="36" t="s">
        <v>691</v>
      </c>
    </row>
    <row r="114" spans="2:4" ht="44.1" customHeight="1">
      <c r="B114" s="31" t="s">
        <v>692</v>
      </c>
      <c r="C114" s="34">
        <v>30</v>
      </c>
      <c r="D114" s="36" t="s">
        <v>693</v>
      </c>
    </row>
    <row r="115" spans="2:4" ht="44.1" customHeight="1">
      <c r="B115" s="31" t="s">
        <v>694</v>
      </c>
      <c r="C115" s="34">
        <v>700</v>
      </c>
      <c r="D115" s="36" t="s">
        <v>695</v>
      </c>
    </row>
    <row r="116" spans="2:4" ht="44.1" customHeight="1">
      <c r="B116" s="31" t="s">
        <v>696</v>
      </c>
      <c r="C116" s="34">
        <v>3.8</v>
      </c>
      <c r="D116" s="36" t="s">
        <v>697</v>
      </c>
    </row>
    <row r="117" spans="2:4" ht="44.1" customHeight="1">
      <c r="B117" s="31" t="s">
        <v>698</v>
      </c>
      <c r="C117" s="34">
        <v>1.05</v>
      </c>
      <c r="D117" s="36" t="s">
        <v>699</v>
      </c>
    </row>
    <row r="118" spans="2:4" ht="44.1" customHeight="1">
      <c r="B118" s="31" t="s">
        <v>700</v>
      </c>
      <c r="C118" s="46">
        <v>0.12</v>
      </c>
      <c r="D118" s="36" t="s">
        <v>701</v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6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3" width="16" customWidth="1"/>
    <col min="4" max="4" width="25" customWidth="1"/>
    <col min="5" max="6" width="16" customWidth="1"/>
    <col min="7" max="7" width="23" customWidth="1"/>
    <col min="8" max="8" width="16" customWidth="1"/>
    <col min="9" max="9" width="55" customWidth="1"/>
    <col min="10" max="12" width="21" customWidth="1"/>
  </cols>
  <sheetData>
    <row r="1" spans="2:12" ht="27" customHeight="1">
      <c r="B1" s="29" t="s">
        <v>702</v>
      </c>
      <c r="C1" s="29"/>
      <c r="D1" s="29"/>
      <c r="E1" s="29"/>
      <c r="F1" s="29"/>
      <c r="G1" s="29"/>
      <c r="H1" s="29"/>
      <c r="I1" s="29"/>
    </row>
    <row r="2" spans="2:12" ht="30" customHeight="1">
      <c r="B2" s="23" t="s">
        <v>703</v>
      </c>
      <c r="C2" s="23" t="s">
        <v>704</v>
      </c>
      <c r="D2" s="23" t="s">
        <v>37</v>
      </c>
      <c r="E2" s="23" t="s">
        <v>705</v>
      </c>
      <c r="F2" s="23" t="s">
        <v>706</v>
      </c>
      <c r="G2" s="23" t="s">
        <v>707</v>
      </c>
      <c r="H2" s="23" t="s">
        <v>708</v>
      </c>
      <c r="I2" s="23" t="s">
        <v>192</v>
      </c>
      <c r="J2" s="23" t="s">
        <v>709</v>
      </c>
      <c r="K2" s="23" t="s">
        <v>440</v>
      </c>
      <c r="L2" s="23" t="s">
        <v>710</v>
      </c>
    </row>
    <row r="3" spans="2:12" ht="27.95" customHeight="1">
      <c r="B3" s="24" t="s">
        <v>711</v>
      </c>
      <c r="C3" s="24" t="s">
        <v>712</v>
      </c>
      <c r="D3" s="24" t="s">
        <v>713</v>
      </c>
      <c r="E3" s="25" t="s">
        <v>25</v>
      </c>
      <c r="F3" s="26">
        <v>0</v>
      </c>
      <c r="G3" s="24" t="s">
        <v>711</v>
      </c>
      <c r="H3" s="24">
        <v>1</v>
      </c>
      <c r="I3" s="24" t="s">
        <v>714</v>
      </c>
      <c r="J3" s="25"/>
      <c r="K3" s="30">
        <v>0</v>
      </c>
      <c r="L3" s="25" t="s">
        <v>20</v>
      </c>
    </row>
    <row r="4" spans="2:12" ht="27.95" customHeight="1">
      <c r="B4" s="24" t="s">
        <v>715</v>
      </c>
      <c r="C4" s="24" t="s">
        <v>712</v>
      </c>
      <c r="D4" s="24" t="s">
        <v>716</v>
      </c>
      <c r="E4" s="25" t="s">
        <v>25</v>
      </c>
      <c r="F4" s="26">
        <v>250</v>
      </c>
      <c r="G4" s="24" t="s">
        <v>715</v>
      </c>
      <c r="H4" s="24">
        <v>0</v>
      </c>
      <c r="I4" s="24" t="s">
        <v>717</v>
      </c>
      <c r="J4" s="25" t="s">
        <v>23</v>
      </c>
      <c r="K4" s="30">
        <v>20</v>
      </c>
      <c r="L4" s="25" t="s">
        <v>20</v>
      </c>
    </row>
    <row r="5" spans="2:12" ht="27.95" customHeight="1">
      <c r="B5" s="24" t="s">
        <v>718</v>
      </c>
      <c r="C5" s="24" t="s">
        <v>712</v>
      </c>
      <c r="D5" s="24" t="s">
        <v>719</v>
      </c>
      <c r="E5" s="25" t="s">
        <v>25</v>
      </c>
      <c r="F5" s="26">
        <v>350</v>
      </c>
      <c r="G5" s="24" t="s">
        <v>718</v>
      </c>
      <c r="H5" s="24">
        <v>0</v>
      </c>
      <c r="I5" s="24" t="s">
        <v>720</v>
      </c>
      <c r="J5" s="25" t="s">
        <v>19</v>
      </c>
      <c r="K5" s="30">
        <v>20</v>
      </c>
      <c r="L5" s="25" t="s">
        <v>20</v>
      </c>
    </row>
    <row r="6" spans="2:12" ht="27.95" customHeight="1">
      <c r="B6" s="24" t="s">
        <v>721</v>
      </c>
      <c r="C6" s="24" t="s">
        <v>712</v>
      </c>
      <c r="D6" s="24" t="s">
        <v>722</v>
      </c>
      <c r="E6" s="25" t="s">
        <v>25</v>
      </c>
      <c r="F6" s="26">
        <v>450</v>
      </c>
      <c r="G6" s="24" t="s">
        <v>721</v>
      </c>
      <c r="H6" s="24">
        <v>0</v>
      </c>
      <c r="I6" s="24" t="s">
        <v>723</v>
      </c>
      <c r="J6" s="25" t="s">
        <v>23</v>
      </c>
      <c r="K6" s="30">
        <v>32</v>
      </c>
      <c r="L6" s="25" t="s">
        <v>20</v>
      </c>
    </row>
    <row r="7" spans="2:12" ht="27.95" customHeight="1">
      <c r="B7" s="24" t="s">
        <v>724</v>
      </c>
      <c r="C7" s="24" t="s">
        <v>712</v>
      </c>
      <c r="D7" s="24" t="s">
        <v>725</v>
      </c>
      <c r="E7" s="25" t="s">
        <v>25</v>
      </c>
      <c r="F7" s="26">
        <v>700</v>
      </c>
      <c r="G7" s="24" t="s">
        <v>724</v>
      </c>
      <c r="H7" s="24">
        <v>0</v>
      </c>
      <c r="I7" s="24" t="s">
        <v>726</v>
      </c>
      <c r="J7" s="25" t="s">
        <v>23</v>
      </c>
      <c r="K7" s="30">
        <v>48</v>
      </c>
      <c r="L7" s="25" t="s">
        <v>20</v>
      </c>
    </row>
    <row r="8" spans="2:12" ht="27.95" customHeight="1">
      <c r="B8" s="24" t="s">
        <v>727</v>
      </c>
      <c r="C8" s="24" t="s">
        <v>712</v>
      </c>
      <c r="D8" s="24" t="s">
        <v>728</v>
      </c>
      <c r="E8" s="25" t="s">
        <v>25</v>
      </c>
      <c r="F8" s="26">
        <v>600</v>
      </c>
      <c r="G8" s="24" t="s">
        <v>727</v>
      </c>
      <c r="H8" s="24">
        <v>0</v>
      </c>
      <c r="I8" s="24" t="s">
        <v>729</v>
      </c>
      <c r="J8" s="25" t="s">
        <v>16</v>
      </c>
      <c r="K8" s="30">
        <v>32</v>
      </c>
      <c r="L8" s="25" t="s">
        <v>20</v>
      </c>
    </row>
    <row r="9" spans="2:12" ht="27.95" customHeight="1">
      <c r="B9" s="24" t="s">
        <v>730</v>
      </c>
      <c r="C9" s="24" t="s">
        <v>712</v>
      </c>
      <c r="D9" s="24" t="s">
        <v>731</v>
      </c>
      <c r="E9" s="25" t="s">
        <v>25</v>
      </c>
      <c r="F9" s="26">
        <v>900</v>
      </c>
      <c r="G9" s="24" t="s">
        <v>730</v>
      </c>
      <c r="H9" s="24">
        <v>0</v>
      </c>
      <c r="I9" s="24" t="s">
        <v>732</v>
      </c>
      <c r="J9" s="25" t="s">
        <v>12</v>
      </c>
      <c r="K9" s="30">
        <v>48</v>
      </c>
      <c r="L9" s="25" t="s">
        <v>20</v>
      </c>
    </row>
    <row r="10" spans="2:12" ht="27.95" customHeight="1">
      <c r="B10" s="24" t="s">
        <v>733</v>
      </c>
      <c r="C10" s="24" t="s">
        <v>712</v>
      </c>
      <c r="D10" s="24" t="s">
        <v>734</v>
      </c>
      <c r="E10" s="25" t="s">
        <v>25</v>
      </c>
      <c r="F10" s="26">
        <v>650</v>
      </c>
      <c r="G10" s="24" t="s">
        <v>733</v>
      </c>
      <c r="H10" s="24">
        <v>0</v>
      </c>
      <c r="I10" s="24" t="s">
        <v>735</v>
      </c>
      <c r="J10" s="25" t="s">
        <v>29</v>
      </c>
      <c r="K10" s="30">
        <v>0.6</v>
      </c>
      <c r="L10" s="25" t="s">
        <v>13</v>
      </c>
    </row>
    <row r="11" spans="2:12" ht="27.95" customHeight="1">
      <c r="B11" s="24" t="s">
        <v>736</v>
      </c>
      <c r="C11" s="24" t="s">
        <v>737</v>
      </c>
      <c r="D11" s="24" t="s">
        <v>738</v>
      </c>
      <c r="E11" s="25" t="s">
        <v>25</v>
      </c>
      <c r="F11" s="26">
        <v>0</v>
      </c>
      <c r="G11" s="24" t="s">
        <v>736</v>
      </c>
      <c r="H11" s="24">
        <v>1</v>
      </c>
      <c r="I11" s="24" t="s">
        <v>739</v>
      </c>
      <c r="J11" s="25"/>
      <c r="K11" s="30">
        <v>0</v>
      </c>
      <c r="L11" s="25" t="s">
        <v>20</v>
      </c>
    </row>
    <row r="12" spans="2:12" ht="27.95" customHeight="1">
      <c r="B12" s="24" t="s">
        <v>740</v>
      </c>
      <c r="C12" s="24" t="s">
        <v>737</v>
      </c>
      <c r="D12" s="24" t="s">
        <v>741</v>
      </c>
      <c r="E12" s="25" t="s">
        <v>25</v>
      </c>
      <c r="F12" s="26">
        <v>200</v>
      </c>
      <c r="G12" s="24" t="s">
        <v>740</v>
      </c>
      <c r="H12" s="24">
        <v>0</v>
      </c>
      <c r="I12" s="24" t="s">
        <v>742</v>
      </c>
      <c r="J12" s="25" t="s">
        <v>16</v>
      </c>
      <c r="K12" s="30">
        <v>16</v>
      </c>
      <c r="L12" s="25" t="s">
        <v>20</v>
      </c>
    </row>
    <row r="13" spans="2:12" ht="27.95" customHeight="1">
      <c r="B13" s="24" t="s">
        <v>743</v>
      </c>
      <c r="C13" s="24" t="s">
        <v>737</v>
      </c>
      <c r="D13" s="24" t="s">
        <v>744</v>
      </c>
      <c r="E13" s="25" t="s">
        <v>25</v>
      </c>
      <c r="F13" s="26">
        <v>300</v>
      </c>
      <c r="G13" s="24" t="s">
        <v>743</v>
      </c>
      <c r="H13" s="24">
        <v>0</v>
      </c>
      <c r="I13" s="24" t="s">
        <v>745</v>
      </c>
      <c r="J13" s="25" t="s">
        <v>19</v>
      </c>
      <c r="K13" s="30">
        <v>16</v>
      </c>
      <c r="L13" s="25" t="s">
        <v>20</v>
      </c>
    </row>
    <row r="14" spans="2:12" ht="27.95" customHeight="1">
      <c r="B14" s="24" t="s">
        <v>746</v>
      </c>
      <c r="C14" s="24" t="s">
        <v>737</v>
      </c>
      <c r="D14" s="24" t="s">
        <v>747</v>
      </c>
      <c r="E14" s="25" t="s">
        <v>25</v>
      </c>
      <c r="F14" s="26">
        <v>400</v>
      </c>
      <c r="G14" s="24" t="s">
        <v>746</v>
      </c>
      <c r="H14" s="24">
        <v>0</v>
      </c>
      <c r="I14" s="24" t="s">
        <v>748</v>
      </c>
      <c r="J14" s="25" t="s">
        <v>32</v>
      </c>
      <c r="K14" s="30">
        <v>24</v>
      </c>
      <c r="L14" s="25" t="s">
        <v>20</v>
      </c>
    </row>
    <row r="15" spans="2:12" ht="27.95" customHeight="1">
      <c r="B15" s="24" t="s">
        <v>749</v>
      </c>
      <c r="C15" s="24" t="s">
        <v>737</v>
      </c>
      <c r="D15" s="24" t="s">
        <v>750</v>
      </c>
      <c r="E15" s="25" t="s">
        <v>25</v>
      </c>
      <c r="F15" s="25">
        <v>600</v>
      </c>
      <c r="G15" s="24" t="s">
        <v>749</v>
      </c>
      <c r="H15" s="24">
        <v>0</v>
      </c>
      <c r="I15" s="24" t="s">
        <v>751</v>
      </c>
      <c r="J15" s="25" t="s">
        <v>16</v>
      </c>
      <c r="K15" s="30">
        <v>32</v>
      </c>
      <c r="L15" s="25" t="s">
        <v>20</v>
      </c>
    </row>
    <row r="16" spans="2:12" ht="27.95" customHeight="1">
      <c r="B16" s="24" t="s">
        <v>752</v>
      </c>
      <c r="C16" s="24" t="s">
        <v>737</v>
      </c>
      <c r="D16" s="24" t="s">
        <v>753</v>
      </c>
      <c r="E16" s="25" t="s">
        <v>25</v>
      </c>
      <c r="F16" s="25">
        <v>750</v>
      </c>
      <c r="G16" s="24" t="s">
        <v>752</v>
      </c>
      <c r="H16" s="24">
        <v>0</v>
      </c>
      <c r="I16" s="24" t="s">
        <v>754</v>
      </c>
      <c r="J16" s="25" t="s">
        <v>19</v>
      </c>
      <c r="K16" s="30">
        <v>32</v>
      </c>
      <c r="L16" s="25" t="s">
        <v>20</v>
      </c>
    </row>
    <row r="17" spans="2:12" ht="27.95" customHeight="1">
      <c r="B17" s="24" t="s">
        <v>755</v>
      </c>
      <c r="C17" s="24" t="s">
        <v>737</v>
      </c>
      <c r="D17" s="24" t="s">
        <v>756</v>
      </c>
      <c r="E17" s="25" t="s">
        <v>25</v>
      </c>
      <c r="F17" s="25">
        <v>900</v>
      </c>
      <c r="G17" s="24" t="s">
        <v>755</v>
      </c>
      <c r="H17" s="24">
        <v>0</v>
      </c>
      <c r="I17" s="24" t="s">
        <v>757</v>
      </c>
      <c r="J17" s="25" t="s">
        <v>128</v>
      </c>
      <c r="K17" s="30">
        <v>40</v>
      </c>
      <c r="L17" s="25" t="s">
        <v>20</v>
      </c>
    </row>
    <row r="18" spans="2:12" ht="27.95" customHeight="1">
      <c r="B18" s="24" t="s">
        <v>758</v>
      </c>
      <c r="C18" s="24" t="s">
        <v>737</v>
      </c>
      <c r="D18" s="24" t="s">
        <v>759</v>
      </c>
      <c r="E18" s="25" t="s">
        <v>25</v>
      </c>
      <c r="F18" s="25">
        <v>650</v>
      </c>
      <c r="G18" s="24" t="s">
        <v>758</v>
      </c>
      <c r="H18" s="24">
        <v>0</v>
      </c>
      <c r="I18" s="24" t="s">
        <v>760</v>
      </c>
      <c r="J18" s="25" t="s">
        <v>32</v>
      </c>
      <c r="K18" s="30">
        <v>40</v>
      </c>
      <c r="L18" s="25" t="s">
        <v>20</v>
      </c>
    </row>
    <row r="19" spans="2:12" ht="27.95" customHeight="1">
      <c r="B19" s="24" t="s">
        <v>761</v>
      </c>
      <c r="C19" s="24" t="s">
        <v>762</v>
      </c>
      <c r="D19" s="24" t="s">
        <v>763</v>
      </c>
      <c r="E19" s="25" t="s">
        <v>25</v>
      </c>
      <c r="F19" s="25">
        <v>0</v>
      </c>
      <c r="G19" s="24" t="s">
        <v>761</v>
      </c>
      <c r="H19" s="24">
        <v>1</v>
      </c>
      <c r="I19" s="24" t="s">
        <v>764</v>
      </c>
      <c r="J19" s="25"/>
      <c r="K19" s="30">
        <v>0</v>
      </c>
      <c r="L19" s="25" t="s">
        <v>20</v>
      </c>
    </row>
    <row r="20" spans="2:12" ht="27.95" customHeight="1">
      <c r="B20" s="24" t="s">
        <v>765</v>
      </c>
      <c r="C20" s="24" t="s">
        <v>762</v>
      </c>
      <c r="D20" s="24" t="s">
        <v>766</v>
      </c>
      <c r="E20" s="25" t="s">
        <v>25</v>
      </c>
      <c r="F20" s="25">
        <v>250</v>
      </c>
      <c r="G20" s="24" t="s">
        <v>765</v>
      </c>
      <c r="H20" s="24">
        <v>0</v>
      </c>
      <c r="I20" s="24" t="s">
        <v>767</v>
      </c>
      <c r="J20" s="25" t="s">
        <v>32</v>
      </c>
      <c r="K20" s="30">
        <v>16</v>
      </c>
      <c r="L20" s="25" t="s">
        <v>20</v>
      </c>
    </row>
    <row r="21" spans="2:12" ht="27.95" customHeight="1">
      <c r="B21" s="24" t="s">
        <v>768</v>
      </c>
      <c r="C21" s="24" t="s">
        <v>762</v>
      </c>
      <c r="D21" s="24" t="s">
        <v>769</v>
      </c>
      <c r="E21" s="25" t="s">
        <v>25</v>
      </c>
      <c r="F21" s="25">
        <v>350</v>
      </c>
      <c r="G21" s="24" t="s">
        <v>768</v>
      </c>
      <c r="H21" s="24">
        <v>0</v>
      </c>
      <c r="I21" s="24" t="s">
        <v>770</v>
      </c>
      <c r="J21" s="25" t="s">
        <v>23</v>
      </c>
      <c r="K21" s="30">
        <v>20</v>
      </c>
      <c r="L21" s="25" t="s">
        <v>20</v>
      </c>
    </row>
    <row r="22" spans="2:12" ht="27.95" customHeight="1">
      <c r="B22" s="24" t="s">
        <v>771</v>
      </c>
      <c r="C22" s="24" t="s">
        <v>762</v>
      </c>
      <c r="D22" s="24" t="s">
        <v>772</v>
      </c>
      <c r="E22" s="25" t="s">
        <v>25</v>
      </c>
      <c r="F22" s="25">
        <v>500</v>
      </c>
      <c r="G22" s="24" t="s">
        <v>771</v>
      </c>
      <c r="H22" s="24">
        <v>0</v>
      </c>
      <c r="I22" s="24" t="s">
        <v>773</v>
      </c>
      <c r="J22" s="25" t="s">
        <v>12</v>
      </c>
      <c r="K22" s="30">
        <v>32</v>
      </c>
      <c r="L22" s="25" t="s">
        <v>20</v>
      </c>
    </row>
    <row r="23" spans="2:12" ht="27.95" customHeight="1">
      <c r="B23" s="24" t="s">
        <v>774</v>
      </c>
      <c r="C23" s="24" t="s">
        <v>762</v>
      </c>
      <c r="D23" s="24" t="s">
        <v>775</v>
      </c>
      <c r="E23" s="25" t="s">
        <v>25</v>
      </c>
      <c r="F23" s="25">
        <v>650</v>
      </c>
      <c r="G23" s="24" t="s">
        <v>774</v>
      </c>
      <c r="H23" s="24">
        <v>0</v>
      </c>
      <c r="I23" s="24" t="s">
        <v>776</v>
      </c>
      <c r="J23" s="25" t="s">
        <v>16</v>
      </c>
      <c r="K23" s="30">
        <v>24</v>
      </c>
      <c r="L23" s="25" t="s">
        <v>20</v>
      </c>
    </row>
    <row r="24" spans="2:12" ht="27.95" customHeight="1">
      <c r="B24" s="24" t="s">
        <v>777</v>
      </c>
      <c r="C24" s="24" t="s">
        <v>762</v>
      </c>
      <c r="D24" s="24" t="s">
        <v>778</v>
      </c>
      <c r="E24" s="25" t="s">
        <v>25</v>
      </c>
      <c r="F24" s="25">
        <v>850</v>
      </c>
      <c r="G24" s="24" t="s">
        <v>777</v>
      </c>
      <c r="H24" s="24">
        <v>0</v>
      </c>
      <c r="I24" s="24" t="s">
        <v>779</v>
      </c>
      <c r="J24" s="25" t="s">
        <v>23</v>
      </c>
      <c r="K24" s="30">
        <v>40</v>
      </c>
      <c r="L24" s="25" t="s">
        <v>20</v>
      </c>
    </row>
    <row r="25" spans="2:12" ht="27.95" customHeight="1">
      <c r="B25" s="24" t="s">
        <v>780</v>
      </c>
      <c r="C25" s="24" t="s">
        <v>762</v>
      </c>
      <c r="D25" s="24" t="s">
        <v>781</v>
      </c>
      <c r="E25" s="25" t="s">
        <v>25</v>
      </c>
      <c r="F25" s="25">
        <v>750</v>
      </c>
      <c r="G25" s="24" t="s">
        <v>780</v>
      </c>
      <c r="H25" s="24">
        <v>0</v>
      </c>
      <c r="I25" s="24" t="s">
        <v>782</v>
      </c>
      <c r="J25" s="25" t="s">
        <v>128</v>
      </c>
      <c r="K25" s="30">
        <v>32</v>
      </c>
      <c r="L25" s="25" t="s">
        <v>20</v>
      </c>
    </row>
    <row r="26" spans="2:12" ht="27.95" customHeight="1">
      <c r="B26" s="24" t="s">
        <v>783</v>
      </c>
      <c r="C26" s="24" t="s">
        <v>762</v>
      </c>
      <c r="D26" s="24" t="s">
        <v>784</v>
      </c>
      <c r="E26" s="25" t="s">
        <v>25</v>
      </c>
      <c r="F26" s="25">
        <v>1000</v>
      </c>
      <c r="G26" s="24" t="s">
        <v>783</v>
      </c>
      <c r="H26" s="24">
        <v>0</v>
      </c>
      <c r="I26" s="24" t="s">
        <v>785</v>
      </c>
      <c r="J26" s="25" t="s">
        <v>12</v>
      </c>
      <c r="K26" s="30">
        <v>48</v>
      </c>
      <c r="L26" s="25" t="s">
        <v>20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  <vt:lpstr>적 배치</vt:lpstr>
      <vt:lpstr>보너스 배치</vt:lpstr>
      <vt:lpstr>기믹 배치</vt:lpstr>
      <vt:lpstr>밸런스 조정</vt:lpstr>
      <vt:lpstr>커스터마이징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modified xsi:type="dcterms:W3CDTF">2026-09-20T16:22:37Z</dcterms:modified>
</cp:coreProperties>
</file>