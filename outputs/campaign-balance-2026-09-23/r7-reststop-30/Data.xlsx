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<sst xmlns="http://schemas.openxmlformats.org/spreadsheetml/2006/main" count="5031" uniqueCount="786">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</sst>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65</v>
      </c>
    </row>
    <row r="15" spans="2:7">
      <c r="B15" t="s">
        <v>162</v>
      </c>
      <c r="C15" t="s">
        <v>150</v>
      </c>
      <c r="D15" t="n">
        <f>'밸런스 조정'!C97</f>
        <v>150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65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65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65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65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130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130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130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130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65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65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65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65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65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65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65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65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130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130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130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130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65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65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65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65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65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65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65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65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130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130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130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130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65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65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65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65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65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65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65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65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130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130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130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130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65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65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65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65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325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325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 t="n">
        <f>ROUND('밸런스 조정'!$C$72*(1+'밸런스 조정'!$C$74)^0*IF(M103="Boss",'밸런스 조정'!$C$78,IF(M103="Elite",'밸런스 조정'!$C$76,1)),0)</f>
        <v>800</v>
      </c>
      <c r="O103" t="n">
        <f>ROUND('밸런스 조정'!$C$73*(1+'밸런스 조정'!$C$75)^0*IF(M103="Boss",'밸런스 조정'!$C$79,IF(M103="Elite",'밸런스 조정'!$C$77,1)),0)</f>
        <v>2600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150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 t="n">
        <f>ROUND('밸런스 조정'!$C$72*(1+'밸런스 조정'!$C$74)^0*IF(M104="Boss",'밸런스 조정'!$C$78,IF(M104="Elite",'밸런스 조정'!$C$76,1)),0)</f>
        <v>800</v>
      </c>
      <c r="O104" t="n">
        <f>ROUND(O103*(1+P104),0)</f>
        <v>2990</v>
      </c>
      <c r="P104">
        <v>0.15</v>
      </c>
      <c r="Q104">
        <f>'밸런스 조정'!$C$64</f>
        <v>0</v>
      </c>
      <c r="R104" t="n">
        <f>'밸런스 조정'!$C$90*IF(M104="Boss",5,IF(M104="Elite",2,1))</f>
        <v>150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 t="n">
        <f>ROUND('밸런스 조정'!$C$72*(1+'밸런스 조정'!$C$74)^1*IF(M105="Boss",'밸런스 조정'!$C$78,IF(M105="Elite",'밸런스 조정'!$C$76,1)),0)</f>
        <v>828</v>
      </c>
      <c r="O105" t="n">
        <f>ROUND('밸런스 조정'!$C$73*(1+'밸런스 조정'!$C$75)^1*IF(M105="Boss",'밸런스 조정'!$C$79,IF(M105="Elite",'밸런스 조정'!$C$77,1)),0)</f>
        <v>2730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150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 t="n">
        <f>ROUND('밸런스 조정'!$C$72*(1+'밸런스 조정'!$C$74)^1*IF(M106="Boss",'밸런스 조정'!$C$78,IF(M106="Elite",'밸런스 조정'!$C$76,1)),0)</f>
        <v>828</v>
      </c>
      <c r="O106" t="n">
        <f>ROUND(O105*(1+P106),0)</f>
        <v>3139</v>
      </c>
      <c r="P106">
        <v>0.15</v>
      </c>
      <c r="Q106">
        <f>'밸런스 조정'!$C$64</f>
        <v>0</v>
      </c>
      <c r="R106" t="n">
        <f>'밸런스 조정'!$C$90*IF(M106="Boss",5,IF(M106="Elite",2,1))</f>
        <v>150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 t="n">
        <f>(ROUND('밸런스 조정'!$C$72*(1+'밸런스 조정'!$C$74)^2*IF(M107="Boss",'밸런스 조정'!$C$78,IF(M107="Elite",'밸런스 조정'!$C$76,1)),0))*0.45</f>
        <v>385.65000000000003</v>
      </c>
      <c r="O107" t="n">
        <f>ROUND('밸런스 조정'!$C$73*(1+'밸런스 조정'!$C$75)^2*IF(M107="Boss",'밸런스 조정'!$C$79,IF(M107="Elite",'밸런스 조정'!$C$77,1)),0)</f>
        <v>2867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150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 t="n">
        <f>(ROUND('밸런스 조정'!$C$72*(1+'밸런스 조정'!$C$74)^2*IF(M108="Boss",'밸런스 조정'!$C$78,IF(M108="Elite",'밸런스 조정'!$C$76,1)),0))*0.45</f>
        <v>385.65000000000003</v>
      </c>
      <c r="O108" t="n">
        <f>ROUND(O107*(1+P108),0)</f>
        <v>3297</v>
      </c>
      <c r="P108">
        <v>0.15</v>
      </c>
      <c r="Q108">
        <f>'밸런스 조정'!$C$64</f>
        <v>0</v>
      </c>
      <c r="R108" t="n">
        <f>'밸런스 조정'!$C$90*IF(M108="Boss",5,IF(M108="Elite",2,1))</f>
        <v>150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 t="n">
        <f>(ROUND('밸런스 조정'!$C$72*(1+'밸런스 조정'!$C$74)^3*IF(M109="Boss",'밸런스 조정'!$C$78,IF(M109="Elite",'밸런스 조정'!$C$76,1)),0))*0.45</f>
        <v>399.15000000000003</v>
      </c>
      <c r="O109" t="n">
        <f>ROUND('밸런스 조정'!$C$73*(1+'밸런스 조정'!$C$75)^3*IF(M109="Boss",'밸런스 조정'!$C$79,IF(M109="Elite",'밸런스 조정'!$C$77,1)),0)</f>
        <v>3010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150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 t="n">
        <f>(ROUND('밸런스 조정'!$C$72*(1+'밸런스 조정'!$C$74)^3*IF(M110="Boss",'밸런스 조정'!$C$78,IF(M110="Elite",'밸런스 조정'!$C$76,1)),0))*0.45</f>
        <v>399.15000000000003</v>
      </c>
      <c r="O110" t="n">
        <f>ROUND(O109*(1+P110),0)</f>
        <v>3461</v>
      </c>
      <c r="P110">
        <v>0.15</v>
      </c>
      <c r="Q110">
        <f>'밸런스 조정'!$C$64</f>
        <v>0</v>
      </c>
      <c r="R110" t="n">
        <f>'밸런스 조정'!$C$90*IF(M110="Boss",5,IF(M110="Elite",2,1))</f>
        <v>150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 t="n">
        <f>(ROUND('밸런스 조정'!$C$72*(1+'밸런스 조정'!$C$74)^4*IF(M111="Boss",'밸런스 조정'!$C$78,IF(M111="Elite",'밸런스 조정'!$C$76,1)),0))*0.45</f>
        <v>516.6</v>
      </c>
      <c r="O111" t="n">
        <f>ROUND('밸런스 조정'!$C$73*(1+'밸런스 조정'!$C$75)^4*IF(M111="Boss",'밸런스 조정'!$C$79,IF(M111="Elite",'밸런스 조정'!$C$77,1)),0)</f>
        <v>4740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300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 t="n">
        <f>(ROUND('밸런스 조정'!$C$72*(1+'밸런스 조정'!$C$74)^4*IF(M112="Boss",'밸런스 조정'!$C$78,IF(M112="Elite",'밸런스 조정'!$C$76,1)),0))*0.45</f>
        <v>516.6</v>
      </c>
      <c r="O112" t="n">
        <f>ROUND(O111*(1+P112),0)</f>
        <v>5451</v>
      </c>
      <c r="P112">
        <v>0.15</v>
      </c>
      <c r="Q112">
        <f>'밸런스 조정'!$C$64</f>
        <v>0</v>
      </c>
      <c r="R112" t="n">
        <f>'밸런스 조정'!$C$90*IF(M112="Boss",5,IF(M112="Elite",2,1))</f>
        <v>300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 t="n">
        <f>ROUND('밸런스 조정'!$C$72*(1+'밸런스 조정'!$C$74)^5*IF(M113="Boss",'밸런스 조정'!$C$78,IF(M113="Elite",'밸런스 조정'!$C$76,1)),0)</f>
        <v>950</v>
      </c>
      <c r="O113" t="n">
        <f>ROUND('밸런스 조정'!$C$73*(1+'밸런스 조정'!$C$75)^5*IF(M113="Boss",'밸런스 조정'!$C$79,IF(M113="Elite",'밸런스 조정'!$C$77,1)),0)</f>
        <v>3318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150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 t="n">
        <f>ROUND('밸런스 조정'!$C$72*(1+'밸런스 조정'!$C$74)^5*IF(M114="Boss",'밸런스 조정'!$C$78,IF(M114="Elite",'밸런스 조정'!$C$76,1)),0)</f>
        <v>950</v>
      </c>
      <c r="O114" t="n">
        <f>ROUND(O113*(1+P114),0)</f>
        <v>3816</v>
      </c>
      <c r="P114">
        <v>0.15</v>
      </c>
      <c r="Q114">
        <f>'밸런스 조정'!$C$64</f>
        <v>0</v>
      </c>
      <c r="R114" t="n">
        <f>'밸런스 조정'!$C$90*IF(M114="Boss",5,IF(M114="Elite",2,1))</f>
        <v>150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 t="n">
        <f>ROUND('밸런스 조정'!$C$72*(1+'밸런스 조정'!$C$74)^6*IF(M115="Boss",'밸런스 조정'!$C$78,IF(M115="Elite",'밸런스 조정'!$C$76,1)),0)</f>
        <v>983</v>
      </c>
      <c r="O115" t="n">
        <f>ROUND('밸런스 조정'!$C$73*(1+'밸런스 조정'!$C$75)^6*IF(M115="Boss",'밸런스 조정'!$C$79,IF(M115="Elite",'밸런스 조정'!$C$77,1)),0)</f>
        <v>3484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150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 t="n">
        <f>ROUND('밸런스 조정'!$C$72*(1+'밸런스 조정'!$C$74)^6*IF(M116="Boss",'밸런스 조정'!$C$78,IF(M116="Elite",'밸런스 조정'!$C$76,1)),0)</f>
        <v>983</v>
      </c>
      <c r="O116" t="n">
        <f>ROUND(O115*(1+P116),0)</f>
        <v>4007</v>
      </c>
      <c r="P116">
        <v>0.15</v>
      </c>
      <c r="Q116">
        <f>'밸런스 조정'!$C$64</f>
        <v>0</v>
      </c>
      <c r="R116" t="n">
        <f>'밸런스 조정'!$C$90*IF(M116="Boss",5,IF(M116="Elite",2,1))</f>
        <v>150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 t="n">
        <f>(ROUND('밸런스 조정'!$C$72*(1+'밸런스 조정'!$C$74)^7*IF(M117="Boss",'밸런스 조정'!$C$78,IF(M117="Elite",'밸런스 조정'!$C$76,1)),0))*0.45</f>
        <v>458.1</v>
      </c>
      <c r="O117" t="n">
        <f>ROUND('밸런스 조정'!$C$73*(1+'밸런스 조정'!$C$75)^7*IF(M117="Boss",'밸런스 조정'!$C$79,IF(M117="Elite",'밸런스 조정'!$C$77,1)),0)</f>
        <v>3658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150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 t="n">
        <f>(ROUND('밸런스 조정'!$C$72*(1+'밸런스 조정'!$C$74)^7*IF(M118="Boss",'밸런스 조정'!$C$78,IF(M118="Elite",'밸런스 조정'!$C$76,1)),0))*0.45</f>
        <v>458.1</v>
      </c>
      <c r="O118" t="n">
        <f>ROUND(O117*(1+P118),0)</f>
        <v>4207</v>
      </c>
      <c r="P118">
        <v>0.15</v>
      </c>
      <c r="Q118">
        <f>'밸런스 조정'!$C$64</f>
        <v>0</v>
      </c>
      <c r="R118" t="n">
        <f>'밸런스 조정'!$C$90*IF(M118="Boss",5,IF(M118="Elite",2,1))</f>
        <v>150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 t="n">
        <f>(ROUND('밸런스 조정'!$C$72*(1+'밸런스 조정'!$C$74)^8*IF(M119="Boss",'밸런스 조정'!$C$78,IF(M119="Elite",'밸런스 조정'!$C$76,1)),0))*0.45</f>
        <v>473.85</v>
      </c>
      <c r="O119" t="n">
        <f>ROUND('밸런스 조정'!$C$73*(1+'밸런스 조정'!$C$75)^8*IF(M119="Boss",'밸런스 조정'!$C$79,IF(M119="Elite",'밸런스 조정'!$C$77,1)),0)</f>
        <v>3841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150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 t="n">
        <f>(ROUND('밸런스 조정'!$C$72*(1+'밸런스 조정'!$C$74)^8*IF(M120="Boss",'밸런스 조정'!$C$78,IF(M120="Elite",'밸런스 조정'!$C$76,1)),0))*0.45</f>
        <v>473.85</v>
      </c>
      <c r="O120" t="n">
        <f>ROUND(O119*(1+P120),0)</f>
        <v>4417</v>
      </c>
      <c r="P120">
        <v>0.15</v>
      </c>
      <c r="Q120">
        <f>'밸런스 조정'!$C$64</f>
        <v>0</v>
      </c>
      <c r="R120" t="n">
        <f>'밸런스 조정'!$C$90*IF(M120="Boss",5,IF(M120="Elite",2,1))</f>
        <v>150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 t="n">
        <f>(ROUND('밸런스 조정'!$C$72*(1+'밸런스 조정'!$C$74)^9*IF(M121="Boss",'밸런스 조정'!$C$78,IF(M121="Elite",'밸런스 조정'!$C$76,1)),0))*0.45</f>
        <v>613.35</v>
      </c>
      <c r="O121" t="n">
        <f>ROUND('밸런스 조정'!$C$73*(1+'밸런스 조정'!$C$75)^9*IF(M121="Boss",'밸런스 조정'!$C$79,IF(M121="Elite",'밸런스 조정'!$C$77,1)),0)</f>
        <v>6050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300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 t="n">
        <f>(ROUND('밸런스 조정'!$C$72*(1+'밸런스 조정'!$C$74)^9*IF(M122="Boss",'밸런스 조정'!$C$78,IF(M122="Elite",'밸런스 조정'!$C$76,1)),0))*0.45</f>
        <v>613.35</v>
      </c>
      <c r="O122" t="n">
        <f>ROUND(O121*(1+P122),0)</f>
        <v>6957</v>
      </c>
      <c r="P122">
        <v>0.15</v>
      </c>
      <c r="Q122">
        <f>'밸런스 조정'!$C$64</f>
        <v>0</v>
      </c>
      <c r="R122" t="n">
        <f>'밸런스 조정'!$C$90*IF(M122="Boss",5,IF(M122="Elite",2,1))</f>
        <v>300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 t="n">
        <f>ROUND('밸런스 조정'!$C$72*(1+'밸런스 조정'!$C$74)^10*IF(M123="Boss",'밸런스 조정'!$C$78,IF(M123="Elite",'밸런스 조정'!$C$76,1)),0)</f>
        <v>1128</v>
      </c>
      <c r="O123" t="n">
        <f>ROUND('밸런스 조정'!$C$73*(1+'밸런스 조정'!$C$75)^10*IF(M123="Boss",'밸런스 조정'!$C$79,IF(M123="Elite",'밸런스 조정'!$C$77,1)),0)</f>
        <v>4235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150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 t="n">
        <f>ROUND('밸런스 조정'!$C$72*(1+'밸런스 조정'!$C$74)^10*IF(M124="Boss",'밸런스 조정'!$C$78,IF(M124="Elite",'밸런스 조정'!$C$76,1)),0)</f>
        <v>1128</v>
      </c>
      <c r="O124" t="n">
        <f>ROUND(O123*(1+P124),0)</f>
        <v>4870</v>
      </c>
      <c r="P124">
        <v>0.15</v>
      </c>
      <c r="Q124">
        <f>'밸런스 조정'!$C$64</f>
        <v>0</v>
      </c>
      <c r="R124" t="n">
        <f>'밸런스 조정'!$C$90*IF(M124="Boss",5,IF(M124="Elite",2,1))</f>
        <v>150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 t="n">
        <f>ROUND('밸런스 조정'!$C$72*(1+'밸런스 조정'!$C$74)^11*IF(M125="Boss",'밸런스 조정'!$C$78,IF(M125="Elite",'밸런스 조정'!$C$76,1)),0)</f>
        <v>1168</v>
      </c>
      <c r="O125" t="n">
        <f>ROUND('밸런스 조정'!$C$73*(1+'밸런스 조정'!$C$75)^11*IF(M125="Boss",'밸런스 조정'!$C$79,IF(M125="Elite",'밸런스 조정'!$C$77,1)),0)</f>
        <v>4447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150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 t="n">
        <f>ROUND('밸런스 조정'!$C$72*(1+'밸런스 조정'!$C$74)^11*IF(M126="Boss",'밸런스 조정'!$C$78,IF(M126="Elite",'밸런스 조정'!$C$76,1)),0)</f>
        <v>1168</v>
      </c>
      <c r="O126" t="n">
        <f>ROUND(O125*(1+P126),0)</f>
        <v>5114</v>
      </c>
      <c r="P126">
        <v>0.15</v>
      </c>
      <c r="Q126">
        <f>'밸런스 조정'!$C$64</f>
        <v>0</v>
      </c>
      <c r="R126" t="n">
        <f>'밸런스 조정'!$C$90*IF(M126="Boss",5,IF(M126="Elite",2,1))</f>
        <v>150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 t="n">
        <f>(ROUND('밸런스 조정'!$C$72*(1+'밸런스 조정'!$C$74)^12*IF(M127="Boss",'밸런스 조정'!$C$78,IF(M127="Elite",'밸런스 조정'!$C$76,1)),0))*0.45</f>
        <v>544.0500000000001</v>
      </c>
      <c r="O127" t="n">
        <f>ROUND('밸런스 조정'!$C$73*(1+'밸런스 조정'!$C$75)^12*IF(M127="Boss",'밸런스 조정'!$C$79,IF(M127="Elite",'밸런스 조정'!$C$77,1)),0)</f>
        <v>4669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150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 t="n">
        <f>(ROUND('밸런스 조정'!$C$72*(1+'밸런스 조정'!$C$74)^12*IF(M128="Boss",'밸런스 조정'!$C$78,IF(M128="Elite",'밸런스 조정'!$C$76,1)),0))*0.45</f>
        <v>544.0500000000001</v>
      </c>
      <c r="O128" t="n">
        <f>ROUND(O127*(1+P128),0)</f>
        <v>5369</v>
      </c>
      <c r="P128">
        <v>0.15</v>
      </c>
      <c r="Q128">
        <f>'밸런스 조정'!$C$64</f>
        <v>0</v>
      </c>
      <c r="R128" t="n">
        <f>'밸런스 조정'!$C$90*IF(M128="Boss",5,IF(M128="Elite",2,1))</f>
        <v>150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 t="n">
        <f>(ROUND('밸런스 조정'!$C$72*(1+'밸런스 조정'!$C$74)^13*IF(M129="Boss",'밸런스 조정'!$C$78,IF(M129="Elite",'밸런스 조정'!$C$76,1)),0))*0.45</f>
        <v>562.95</v>
      </c>
      <c r="O129" t="n">
        <f>ROUND('밸런스 조정'!$C$73*(1+'밸런스 조정'!$C$75)^13*IF(M129="Boss",'밸런스 조정'!$C$79,IF(M129="Elite",'밸런스 조정'!$C$77,1)),0)</f>
        <v>4903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150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 t="n">
        <f>(ROUND('밸런스 조정'!$C$72*(1+'밸런스 조정'!$C$74)^13*IF(M130="Boss",'밸런스 조정'!$C$78,IF(M130="Elite",'밸런스 조정'!$C$76,1)),0))*0.45</f>
        <v>562.95</v>
      </c>
      <c r="O130" t="n">
        <f>ROUND(O129*(1+P130),0)</f>
        <v>5638</v>
      </c>
      <c r="P130">
        <v>0.15</v>
      </c>
      <c r="Q130">
        <f>'밸런스 조정'!$C$64</f>
        <v>0</v>
      </c>
      <c r="R130" t="n">
        <f>'밸런스 조정'!$C$90*IF(M130="Boss",5,IF(M130="Elite",2,1))</f>
        <v>150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 t="n">
        <f>(ROUND('밸런스 조정'!$C$72*(1+'밸런스 조정'!$C$74)^14*IF(M131="Boss",'밸런스 조정'!$C$78,IF(M131="Elite",'밸런스 조정'!$C$76,1)),0))*0.45</f>
        <v>728.5500000000001</v>
      </c>
      <c r="O131" t="n">
        <f>ROUND('밸런스 조정'!$C$73*(1+'밸런스 조정'!$C$75)^14*IF(M131="Boss",'밸런스 조정'!$C$79,IF(M131="Elite",'밸런스 조정'!$C$77,1)),0)</f>
        <v>7722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300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 t="n">
        <f>(ROUND('밸런스 조정'!$C$72*(1+'밸런스 조정'!$C$74)^14*IF(M132="Boss",'밸런스 조정'!$C$78,IF(M132="Elite",'밸런스 조정'!$C$76,1)),0))*0.45</f>
        <v>728.5500000000001</v>
      </c>
      <c r="O132" t="n">
        <f>ROUND(O131*(1+P132),0)</f>
        <v>8880</v>
      </c>
      <c r="P132">
        <v>0.15</v>
      </c>
      <c r="Q132">
        <f>'밸런스 조정'!$C$64</f>
        <v>0</v>
      </c>
      <c r="R132" t="n">
        <f>'밸런스 조정'!$C$90*IF(M132="Boss",5,IF(M132="Elite",2,1))</f>
        <v>300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 t="n">
        <f>ROUND('밸런스 조정'!$C$72*(1+'밸런스 조정'!$C$74)^15*IF(M133="Boss",'밸런스 조정'!$C$78,IF(M133="Elite",'밸런스 조정'!$C$76,1)),0)</f>
        <v>1340</v>
      </c>
      <c r="O133" t="n">
        <f>ROUND('밸런스 조정'!$C$73*(1+'밸런스 조정'!$C$75)^15*IF(M133="Boss",'밸런스 조정'!$C$79,IF(M133="Elite",'밸런스 조정'!$C$77,1)),0)</f>
        <v>5405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150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 t="n">
        <f>ROUND('밸런스 조정'!$C$72*(1+'밸런스 조정'!$C$74)^15*IF(M134="Boss",'밸런스 조정'!$C$78,IF(M134="Elite",'밸런스 조정'!$C$76,1)),0)</f>
        <v>1340</v>
      </c>
      <c r="O134" t="n">
        <f>ROUND(O133*(1+P134),0)</f>
        <v>6216</v>
      </c>
      <c r="P134">
        <v>0.15</v>
      </c>
      <c r="Q134">
        <f>'밸런스 조정'!$C$64</f>
        <v>0</v>
      </c>
      <c r="R134" t="n">
        <f>'밸런스 조정'!$C$90*IF(M134="Boss",5,IF(M134="Elite",2,1))</f>
        <v>150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 t="n">
        <f>ROUND('밸런스 조정'!$C$72*(1+'밸런스 조정'!$C$74)^16*IF(M135="Boss",'밸런스 조정'!$C$78,IF(M135="Elite",'밸런스 조정'!$C$76,1)),0)</f>
        <v>1387</v>
      </c>
      <c r="O135" t="n">
        <f>ROUND('밸런스 조정'!$C$73*(1+'밸런스 조정'!$C$75)^16*IF(M135="Boss",'밸런스 조정'!$C$79,IF(M135="Elite",'밸런스 조정'!$C$77,1)),0)</f>
        <v>5675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150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 t="n">
        <f>ROUND('밸런스 조정'!$C$72*(1+'밸런스 조정'!$C$74)^16*IF(M136="Boss",'밸런스 조정'!$C$78,IF(M136="Elite",'밸런스 조정'!$C$76,1)),0)</f>
        <v>1387</v>
      </c>
      <c r="O136" t="n">
        <f>ROUND(O135*(1+P136),0)</f>
        <v>6526</v>
      </c>
      <c r="P136">
        <v>0.15</v>
      </c>
      <c r="Q136">
        <f>'밸런스 조정'!$C$64</f>
        <v>0</v>
      </c>
      <c r="R136" t="n">
        <f>'밸런스 조정'!$C$90*IF(M136="Boss",5,IF(M136="Elite",2,1))</f>
        <v>150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 t="n">
        <f>(ROUND('밸런스 조정'!$C$72*(1+'밸런스 조정'!$C$74)^17*IF(M137="Boss",'밸런스 조정'!$C$78,IF(M137="Elite",'밸런스 조정'!$C$76,1)),0))*0.45</f>
        <v>646.2</v>
      </c>
      <c r="O137" t="n">
        <f>ROUND('밸런스 조정'!$C$73*(1+'밸런스 조정'!$C$75)^17*IF(M137="Boss",'밸런스 조정'!$C$79,IF(M137="Elite",'밸런스 조정'!$C$77,1)),0)</f>
        <v>5959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150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 t="n">
        <f>(ROUND('밸런스 조정'!$C$72*(1+'밸런스 조정'!$C$74)^17*IF(M138="Boss",'밸런스 조정'!$C$78,IF(M138="Elite",'밸런스 조정'!$C$76,1)),0))*0.45</f>
        <v>646.2</v>
      </c>
      <c r="O138" t="n">
        <f>ROUND(O137*(1+P138),0)</f>
        <v>6853</v>
      </c>
      <c r="P138">
        <v>0.15</v>
      </c>
      <c r="Q138">
        <f>'밸런스 조정'!$C$64</f>
        <v>0</v>
      </c>
      <c r="R138" t="n">
        <f>'밸런스 조정'!$C$90*IF(M138="Boss",5,IF(M138="Elite",2,1))</f>
        <v>150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 t="n">
        <f>(ROUND('밸런스 조정'!$C$72*(1+'밸런스 조정'!$C$74)^18*IF(M139="Boss",'밸런스 조정'!$C$78,IF(M139="Elite",'밸런스 조정'!$C$76,1)),0))*0.45</f>
        <v>668.7</v>
      </c>
      <c r="O139" t="n">
        <f>ROUND('밸런스 조정'!$C$73*(1+'밸런스 조정'!$C$75)^18*IF(M139="Boss",'밸런스 조정'!$C$79,IF(M139="Elite",'밸런스 조정'!$C$77,1)),0)</f>
        <v>6257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150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 t="n">
        <f>(ROUND('밸런스 조정'!$C$72*(1+'밸런스 조정'!$C$74)^18*IF(M140="Boss",'밸런스 조정'!$C$78,IF(M140="Elite",'밸런스 조정'!$C$76,1)),0))*0.45</f>
        <v>668.7</v>
      </c>
      <c r="O140" t="n">
        <f>ROUND(O139*(1+P140),0)</f>
        <v>7196</v>
      </c>
      <c r="P140">
        <v>0.15</v>
      </c>
      <c r="Q140">
        <f>'밸런스 조정'!$C$64</f>
        <v>0</v>
      </c>
      <c r="R140" t="n">
        <f>'밸런스 조정'!$C$90*IF(M140="Boss",5,IF(M140="Elite",2,1))</f>
        <v>150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 t="n">
        <f>(ROUND('밸런스 조정'!$C$72*(1+'밸런스 조정'!$C$74)^19*IF(M141="Boss",'밸런스 조정'!$C$78,IF(M141="Elite",'밸런스 조정'!$C$76,1)),0))*0.45</f>
        <v>865.35</v>
      </c>
      <c r="O141" t="n">
        <f>ROUND('밸런스 조정'!$C$73*(1+'밸런스 조정'!$C$75)^19*IF(M141="Boss",'밸런스 조정'!$C$79,IF(M141="Elite",'밸런스 조정'!$C$77,1)),0)</f>
        <v>9855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300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 t="n">
        <f>(ROUND('밸런스 조정'!$C$72*(1+'밸런스 조정'!$C$74)^19*IF(M142="Boss",'밸런스 조정'!$C$78,IF(M142="Elite",'밸런스 조정'!$C$76,1)),0))*0.45</f>
        <v>865.35</v>
      </c>
      <c r="O142" t="n">
        <f>ROUND(O141*(1+P142),0)</f>
        <v>11333</v>
      </c>
      <c r="P142">
        <v>0.15</v>
      </c>
      <c r="Q142">
        <f>'밸런스 조정'!$C$64</f>
        <v>0</v>
      </c>
      <c r="R142" t="n">
        <f>'밸런스 조정'!$C$90*IF(M142="Boss",5,IF(M142="Elite",2,1))</f>
        <v>300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 t="n">
        <f>ROUND('밸런스 조정'!$C$72*(1+'밸런스 조정'!$C$74)^20*IF(M143="Boss",'밸런스 조정'!$C$78,IF(M143="Elite",'밸런스 조정'!$C$76,1)),0)</f>
        <v>1592</v>
      </c>
      <c r="O143" t="n">
        <f>ROUND('밸런스 조정'!$C$73*(1+'밸런스 조정'!$C$75)^20*IF(M143="Boss",'밸런스 조정'!$C$79,IF(M143="Elite",'밸런스 조정'!$C$77,1)),0)</f>
        <v>6899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150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 t="n">
        <f>ROUND('밸런스 조정'!$C$72*(1+'밸런스 조정'!$C$74)^20*IF(M144="Boss",'밸런스 조정'!$C$78,IF(M144="Elite",'밸런스 조정'!$C$76,1)),0)</f>
        <v>1592</v>
      </c>
      <c r="O144" t="n">
        <f>ROUND(O143*(1+P144),0)</f>
        <v>7934</v>
      </c>
      <c r="P144">
        <v>0.15</v>
      </c>
      <c r="Q144">
        <f>'밸런스 조정'!$C$64</f>
        <v>0</v>
      </c>
      <c r="R144" t="n">
        <f>'밸런스 조정'!$C$90*IF(M144="Boss",5,IF(M144="Elite",2,1))</f>
        <v>150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 t="n">
        <f>ROUND('밸런스 조정'!$C$72*(1+'밸런스 조정'!$C$74)^21*IF(M145="Boss",'밸런스 조정'!$C$78,IF(M145="Elite",'밸런스 조정'!$C$76,1)),0)</f>
        <v>1648</v>
      </c>
      <c r="O145" t="n">
        <f>ROUND('밸런스 조정'!$C$73*(1+'밸런스 조정'!$C$75)^21*IF(M145="Boss",'밸런스 조정'!$C$79,IF(M145="Elite",'밸런스 조정'!$C$77,1)),0)</f>
        <v>7244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150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 t="n">
        <f>ROUND('밸런스 조정'!$C$72*(1+'밸런스 조정'!$C$74)^21*IF(M146="Boss",'밸런스 조정'!$C$78,IF(M146="Elite",'밸런스 조정'!$C$76,1)),0)</f>
        <v>1648</v>
      </c>
      <c r="O146" t="n">
        <f>ROUND(O145*(1+P146),0)</f>
        <v>8331</v>
      </c>
      <c r="P146">
        <v>0.15</v>
      </c>
      <c r="Q146">
        <f>'밸런스 조정'!$C$64</f>
        <v>0</v>
      </c>
      <c r="R146" t="n">
        <f>'밸런스 조정'!$C$90*IF(M146="Boss",5,IF(M146="Elite",2,1))</f>
        <v>150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 t="n">
        <f>(ROUND('밸런스 조정'!$C$72*(1+'밸런스 조정'!$C$74)^22*IF(M147="Boss",'밸런스 조정'!$C$78,IF(M147="Elite",'밸런스 조정'!$C$76,1)),0))*0.45</f>
        <v>767.25</v>
      </c>
      <c r="O147" t="n">
        <f>ROUND('밸런스 조정'!$C$73*(1+'밸런스 조정'!$C$75)^22*IF(M147="Boss",'밸런스 조정'!$C$79,IF(M147="Elite",'밸런스 조정'!$C$77,1)),0)</f>
        <v>7606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150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 t="n">
        <f>(ROUND('밸런스 조정'!$C$72*(1+'밸런스 조정'!$C$74)^22*IF(M148="Boss",'밸런스 조정'!$C$78,IF(M148="Elite",'밸런스 조정'!$C$76,1)),0))*0.45</f>
        <v>767.25</v>
      </c>
      <c r="O148" t="n">
        <f>ROUND(O147*(1+P148),0)</f>
        <v>8747</v>
      </c>
      <c r="P148">
        <v>0.15</v>
      </c>
      <c r="Q148">
        <f>'밸런스 조정'!$C$64</f>
        <v>0</v>
      </c>
      <c r="R148" t="n">
        <f>'밸런스 조정'!$C$90*IF(M148="Boss",5,IF(M148="Elite",2,1))</f>
        <v>150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 t="n">
        <f>(ROUND('밸런스 조정'!$C$72*(1+'밸런스 조정'!$C$74)^23*IF(M149="Boss",'밸런스 조정'!$C$78,IF(M149="Elite",'밸런스 조정'!$C$76,1)),0))*0.45</f>
        <v>794.25</v>
      </c>
      <c r="O149" t="n">
        <f>ROUND('밸런스 조정'!$C$73*(1+'밸런스 조정'!$C$75)^23*IF(M149="Boss",'밸런스 조정'!$C$79,IF(M149="Elite",'밸런스 조정'!$C$77,1)),0)</f>
        <v>7986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150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 t="n">
        <f>(ROUND('밸런스 조정'!$C$72*(1+'밸런스 조정'!$C$74)^23*IF(M150="Boss",'밸런스 조정'!$C$78,IF(M150="Elite",'밸런스 조정'!$C$76,1)),0))*0.45</f>
        <v>794.25</v>
      </c>
      <c r="O150" t="n">
        <f>ROUND(O149*(1+P150),0)</f>
        <v>9184</v>
      </c>
      <c r="P150">
        <v>0.15</v>
      </c>
      <c r="Q150">
        <f>'밸런스 조정'!$C$64</f>
        <v>0</v>
      </c>
      <c r="R150" t="n">
        <f>'밸런스 조정'!$C$90*IF(M150="Boss",5,IF(M150="Elite",2,1))</f>
        <v>150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 t="n">
        <f>(ROUND('밸런스 조정'!$C$72*(1+'밸런스 조정'!$C$74)^24*IF(M151="Boss",'밸런스 조정'!$C$78,IF(M151="Elite",'밸런스 조정'!$C$76,1)),0))*0.45</f>
        <v>1479.6000000000001</v>
      </c>
      <c r="O151" t="n">
        <f>ROUND('밸런스 조정'!$C$73*(1+'밸런스 조정'!$C$75)^24*IF(M151="Boss",'밸런스 조정'!$C$79,IF(M151="Elite",'밸런스 조정'!$C$77,1)),0)</f>
        <v>21802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 t="n">
        <f>(ROUND('밸런스 조정'!$C$72*(1+'밸런스 조정'!$C$74)^24*IF(M152="Boss",'밸런스 조정'!$C$78,IF(M152="Elite",'밸런스 조정'!$C$76,1)),0))*0.45</f>
        <v>1479.6000000000001</v>
      </c>
      <c r="O152" t="n">
        <f>ROUND(O151*(1+P152),0)</f>
        <v>25072</v>
      </c>
      <c r="P152">
        <v>0.15</v>
      </c>
      <c r="Q152">
        <f>'밸런스 조정'!$C$64</f>
        <v>0</v>
      </c>
      <c r="R152" t="n">
        <f>'밸런스 조정'!$C$90*IF(M152="Boss",5,IF(M152="Elite",2,1))</f>
        <v>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 t="n">
        <v>800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2600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65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150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150</v>
      </c>
      <c r="D90" s="36" t="s">
        <v>651</v>
      </c>
    </row>
    <row r="91" spans="2:4" ht="32.1" customHeight="1">
      <c r="B91" s="31" t="s">
        <v>652</v>
      </c>
      <c r="C91" s="34" t="n">
        <v>65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65</v>
      </c>
      <c r="D96" s="36" t="s">
        <v>662</v>
      </c>
    </row>
    <row r="97" spans="2:4" ht="32.1" customHeight="1">
      <c r="B97" s="31" t="s">
        <v>663</v>
      </c>
      <c r="C97" s="34" t="n">
        <v>150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