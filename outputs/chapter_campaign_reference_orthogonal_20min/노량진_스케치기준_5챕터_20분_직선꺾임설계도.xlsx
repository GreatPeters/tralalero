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3.xml" ContentType="application/vnd.openxmlformats-officedocument.spreadsheetml.comments+xml"/>
  <Override PartName="/xl/tables/table9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jh\tralalero Shooter\tmp\nry_object_match\post\"/>
    </mc:Choice>
  </mc:AlternateContent>
  <xr:revisionPtr revIDLastSave="0" documentId="13_ncr:1_{18D35F0F-C7D8-4E33-86FB-278732C43B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캠페인_요약" sheetId="1" r:id="rId1"/>
    <sheet name="사용자_스케치_해석" sheetId="2" r:id="rId2"/>
    <sheet name="챕터_연결도" sheetId="3" r:id="rId3"/>
    <sheet name="01_노량진_4분30초" sheetId="4" r:id="rId4"/>
    <sheet name="노량진_오브젝트매칭" sheetId="5" r:id="rId5"/>
    <sheet name="노량진_오브젝트배치" sheetId="6" r:id="rId6"/>
    <sheet name="02_고속도로_4분" sheetId="7" r:id="rId7"/>
    <sheet name="03_휴게소_2분" sheetId="8" r:id="rId8"/>
    <sheet name="04_도심_4분30초" sheetId="9" r:id="rId9"/>
    <sheet name="05_백화점_5분" sheetId="10" r:id="rId10"/>
    <sheet name="구간_오브젝트표" sheetId="11" r:id="rId11"/>
    <sheet name="설정_계산" sheetId="12" r:id="rId12"/>
    <sheet name="자료_근거" sheetId="13" r:id="rId13"/>
    <sheet name="고해상도_전체도" sheetId="14" r:id="rId14"/>
  </sheets>
  <definedNames>
    <definedName name="_xlnm._FilterDatabase" localSheetId="4" hidden="1">노량진_오브젝트매칭!$A$11:$Q$27</definedName>
    <definedName name="_xlnm.Print_Area" localSheetId="3">'01_노량진_4분30초'!$A$1:$AM$36</definedName>
    <definedName name="_xlnm.Print_Area" localSheetId="6">'02_고속도로_4분'!$A$1:$AM$36</definedName>
    <definedName name="_xlnm.Print_Area" localSheetId="7">'03_휴게소_2분'!$A$1:$AM$35</definedName>
    <definedName name="_xlnm.Print_Area" localSheetId="8">'04_도심_4분30초'!$A$1:$AM$36</definedName>
    <definedName name="_xlnm.Print_Area" localSheetId="9">'05_백화점_5분'!$A$1:$AM$36</definedName>
    <definedName name="_xlnm.Print_Area" localSheetId="13">고해상도_전체도!$A$1:$V$38</definedName>
    <definedName name="_xlnm.Print_Area" localSheetId="10">구간_오브젝트표!$A$1:$L$28</definedName>
    <definedName name="_xlnm.Print_Area" localSheetId="4">노량진_오브젝트매칭!$A$1:$Q$47</definedName>
    <definedName name="_xlnm.Print_Area" localSheetId="5">노량진_오브젝트배치!$A$1:$AN$43</definedName>
    <definedName name="_xlnm.Print_Area" localSheetId="1">사용자_스케치_해석!$A$1:$N$31</definedName>
    <definedName name="_xlnm.Print_Area" localSheetId="11">설정_계산!$A$1:$P$18</definedName>
    <definedName name="_xlnm.Print_Area" localSheetId="12">자료_근거!$A$1:$H$20</definedName>
    <definedName name="_xlnm.Print_Area" localSheetId="2">챕터_연결도!$A$1:$BX$57</definedName>
    <definedName name="_xlnm.Print_Area" localSheetId="0">캠페인_요약!$A$1:$Q$29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2" l="1"/>
  <c r="D10" i="12" s="1"/>
  <c r="E5" i="1" s="1"/>
  <c r="B10" i="12"/>
  <c r="A5" i="1" s="1"/>
  <c r="D9" i="12"/>
  <c r="O8" i="12"/>
  <c r="D8" i="12"/>
  <c r="D7" i="12"/>
  <c r="D6" i="12"/>
  <c r="D5" i="12"/>
  <c r="E32" i="10"/>
  <c r="D32" i="10"/>
  <c r="E31" i="10"/>
  <c r="D31" i="10"/>
  <c r="E30" i="10"/>
  <c r="D30" i="10"/>
  <c r="E29" i="10"/>
  <c r="D29" i="10"/>
  <c r="E28" i="10"/>
  <c r="D28" i="10"/>
  <c r="E32" i="9"/>
  <c r="D32" i="9"/>
  <c r="E31" i="9"/>
  <c r="D31" i="9"/>
  <c r="E30" i="9"/>
  <c r="D30" i="9"/>
  <c r="E29" i="9"/>
  <c r="D29" i="9"/>
  <c r="E28" i="9"/>
  <c r="D28" i="9"/>
  <c r="E31" i="8"/>
  <c r="D31" i="8"/>
  <c r="E30" i="8"/>
  <c r="D30" i="8"/>
  <c r="E29" i="8"/>
  <c r="D29" i="8"/>
  <c r="E28" i="8"/>
  <c r="D28" i="8"/>
  <c r="E32" i="7"/>
  <c r="D32" i="7"/>
  <c r="E31" i="7"/>
  <c r="D31" i="7"/>
  <c r="E30" i="7"/>
  <c r="D30" i="7"/>
  <c r="E29" i="7"/>
  <c r="D29" i="7"/>
  <c r="E28" i="7"/>
  <c r="D28" i="7"/>
  <c r="M31" i="6"/>
  <c r="M28" i="5"/>
  <c r="M34" i="6" s="1"/>
  <c r="L28" i="5"/>
  <c r="M33" i="6" s="1"/>
  <c r="K28" i="5"/>
  <c r="M32" i="6" s="1"/>
  <c r="J28" i="5"/>
  <c r="I28" i="5"/>
  <c r="M30" i="6" s="1"/>
  <c r="H28" i="5"/>
  <c r="F28" i="5"/>
  <c r="E28" i="5"/>
  <c r="N27" i="5"/>
  <c r="O27" i="5" s="1"/>
  <c r="N26" i="5"/>
  <c r="O26" i="5" s="1"/>
  <c r="N25" i="5"/>
  <c r="O25" i="5" s="1"/>
  <c r="N24" i="5"/>
  <c r="O24" i="5" s="1"/>
  <c r="N23" i="5"/>
  <c r="O23" i="5" s="1"/>
  <c r="N22" i="5"/>
  <c r="O22" i="5" s="1"/>
  <c r="N21" i="5"/>
  <c r="O21" i="5" s="1"/>
  <c r="N20" i="5"/>
  <c r="O20" i="5" s="1"/>
  <c r="N19" i="5"/>
  <c r="O19" i="5" s="1"/>
  <c r="N18" i="5"/>
  <c r="O18" i="5" s="1"/>
  <c r="N17" i="5"/>
  <c r="O17" i="5" s="1"/>
  <c r="N16" i="5"/>
  <c r="O16" i="5" s="1"/>
  <c r="N15" i="5"/>
  <c r="O15" i="5" s="1"/>
  <c r="N14" i="5"/>
  <c r="O14" i="5" s="1"/>
  <c r="N13" i="5"/>
  <c r="N12" i="5"/>
  <c r="O12" i="5" s="1"/>
  <c r="E32" i="4"/>
  <c r="D32" i="4"/>
  <c r="E31" i="4"/>
  <c r="D31" i="4"/>
  <c r="E30" i="4"/>
  <c r="D30" i="4"/>
  <c r="E29" i="4"/>
  <c r="D29" i="4"/>
  <c r="E28" i="4"/>
  <c r="D28" i="4"/>
  <c r="C19" i="1"/>
  <c r="D19" i="1" s="1"/>
  <c r="C18" i="1"/>
  <c r="D18" i="1" s="1"/>
  <c r="C17" i="1"/>
  <c r="D17" i="1" s="1"/>
  <c r="C16" i="1"/>
  <c r="D16" i="1" s="1"/>
  <c r="C15" i="1"/>
  <c r="D15" i="1" s="1"/>
  <c r="I5" i="1"/>
  <c r="D33" i="7" l="1"/>
  <c r="E33" i="7" s="1"/>
  <c r="O9" i="12"/>
  <c r="E7" i="12" s="1"/>
  <c r="G7" i="12" s="1"/>
  <c r="I7" i="12" s="1"/>
  <c r="J7" i="12" s="1"/>
  <c r="L7" i="12" s="1"/>
  <c r="D33" i="4"/>
  <c r="E33" i="4" s="1"/>
  <c r="D33" i="9"/>
  <c r="E33" i="9" s="1"/>
  <c r="D33" i="10"/>
  <c r="E33" i="10" s="1"/>
  <c r="N28" i="5"/>
  <c r="O28" i="5" s="1"/>
  <c r="D32" i="8"/>
  <c r="E32" i="8" s="1"/>
  <c r="O5" i="6"/>
  <c r="O13" i="5"/>
  <c r="E9" i="12"/>
  <c r="G9" i="12" s="1"/>
  <c r="E5" i="12"/>
  <c r="E8" i="12"/>
  <c r="G8" i="12" s="1"/>
  <c r="M5" i="5" l="1"/>
  <c r="H7" i="12"/>
  <c r="K7" i="12"/>
  <c r="E6" i="12"/>
  <c r="G6" i="12" s="1"/>
  <c r="G5" i="12"/>
  <c r="E10" i="12"/>
  <c r="K9" i="12"/>
  <c r="I9" i="12"/>
  <c r="J9" i="12" s="1"/>
  <c r="L9" i="12" s="1"/>
  <c r="H9" i="12"/>
  <c r="I8" i="12"/>
  <c r="J8" i="12" s="1"/>
  <c r="L8" i="12" s="1"/>
  <c r="H8" i="12"/>
  <c r="K8" i="12"/>
  <c r="K6" i="12" l="1"/>
  <c r="I6" i="12"/>
  <c r="J6" i="12" s="1"/>
  <c r="L6" i="12" s="1"/>
  <c r="H6" i="12"/>
  <c r="H5" i="12"/>
  <c r="G10" i="12"/>
  <c r="K5" i="12"/>
  <c r="K10" i="12" s="1"/>
  <c r="I5" i="12" l="1"/>
  <c r="H10" i="12"/>
  <c r="I10" i="12" l="1"/>
  <c r="J5" i="12"/>
  <c r="J10" i="12" l="1"/>
  <c r="L5" i="12"/>
  <c r="L10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M5" authorId="0" shapeId="0" xr:uid="{00000000-0006-0000-0400-000001000000}">
      <text>
        <r>
          <rPr>
            <sz val="11"/>
            <color theme="1"/>
            <rFont val="맑은 고딕"/>
            <family val="2"/>
            <scheme val="minor"/>
          </rPr>
          <t>권장 총 인스턴스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O5" authorId="0" shapeId="0" xr:uid="{00000000-0006-0000-0500-000001000000}">
      <text>
        <r>
          <rPr>
            <sz val="11"/>
            <color theme="1"/>
            <rFont val="맑은 고딕"/>
            <family val="2"/>
            <scheme val="minor"/>
          </rPr>
          <t>권장 인스턴스</t>
        </r>
      </text>
    </comment>
    <comment ref="L10" authorId="0" shapeId="0" xr:uid="{00000000-0006-0000-0500-000002000000}">
      <text>
        <r>
          <rPr>
            <sz val="11"/>
            <color theme="1"/>
            <rFont val="맑은 고딕"/>
            <family val="2"/>
            <scheme val="minor"/>
          </rPr>
          <t>P4 · 표시셀 42 · 부표 2~3개
정확 수량은 '노량진_오브젝트매칭' 시트 참조</t>
        </r>
      </text>
    </comment>
    <comment ref="O10" authorId="0" shapeId="0" xr:uid="{00000000-0006-0000-0500-000003000000}">
      <text>
        <r>
          <rPr>
            <sz val="11"/>
            <color theme="1"/>
            <rFont val="맑은 고딕"/>
            <family val="2"/>
            <scheme val="minor"/>
          </rPr>
          <t>P3 · 표시셀 39 · 닻 1개
정확 수량은 '노량진_오브젝트매칭' 시트 참조</t>
        </r>
      </text>
    </comment>
    <comment ref="S10" authorId="0" shapeId="0" xr:uid="{00000000-0006-0000-0500-000004000000}">
      <text>
        <r>
          <rPr>
            <sz val="11"/>
            <color theme="1"/>
            <rFont val="맑은 고딕"/>
            <family val="2"/>
            <scheme val="minor"/>
          </rPr>
          <t>P3 · 표시셀 35 · M1/M2/M3 시장 파사드 2~6개 클러스터
정확 수량은 '노량진_오브젝트매칭' 시트 참조</t>
        </r>
      </text>
    </comment>
    <comment ref="W10" authorId="0" shapeId="0" xr:uid="{00000000-0006-0000-0500-000005000000}">
      <text>
        <r>
          <rPr>
            <sz val="11"/>
            <color theme="1"/>
            <rFont val="맑은 고딕"/>
            <family val="2"/>
            <scheme val="minor"/>
          </rPr>
          <t>P3 · 표시셀 31 · 복어 2~3개
정확 수량은 '노량진_오브젝트매칭' 시트 참조</t>
        </r>
      </text>
    </comment>
    <comment ref="AA10" authorId="0" shapeId="0" xr:uid="{00000000-0006-0000-0500-000006000000}">
      <text>
        <r>
          <rPr>
            <sz val="11"/>
            <color theme="1"/>
            <rFont val="맑은 고딕"/>
            <family val="2"/>
            <scheme val="minor"/>
          </rPr>
          <t>P3 · 표시셀 27 · Qc/Qo 게·문어 수조 2~6개 교대
정확 수량은 '노량진_오브젝트매칭' 시트 참조</t>
        </r>
      </text>
    </comment>
    <comment ref="AD10" authorId="0" shapeId="0" xr:uid="{00000000-0006-0000-0500-000007000000}">
      <text>
        <r>
          <rPr>
            <sz val="11"/>
            <color theme="1"/>
            <rFont val="맑은 고딕"/>
            <family val="2"/>
            <scheme val="minor"/>
          </rPr>
          <t>P2 · 표시셀 24 · 어선 1개 조망
정확 수량은 '노량진_오브젝트매칭' 시트 참조</t>
        </r>
      </text>
    </comment>
    <comment ref="G11" authorId="0" shapeId="0" xr:uid="{00000000-0006-0000-0500-000008000000}">
      <text>
        <r>
          <rPr>
            <sz val="11"/>
            <color theme="1"/>
            <rFont val="맑은 고딕"/>
            <family val="2"/>
            <scheme val="minor"/>
          </rPr>
          <t>P4 · 표시셀 46 · 어물 바닥 3~5개
정확 수량은 '노량진_오브젝트매칭' 시트 참조</t>
        </r>
      </text>
    </comment>
    <comment ref="J12" authorId="0" shapeId="0" xr:uid="{00000000-0006-0000-0500-000009000000}">
      <text>
        <r>
          <rPr>
            <sz val="11"/>
            <color theme="1"/>
            <rFont val="맑은 고딕"/>
            <family val="2"/>
            <scheme val="minor"/>
          </rPr>
          <t>P4 · 표시셀 44 · 갈매기 횃대 2~4개
정확 수량은 '노량진_오브젝트매칭' 시트 참조</t>
        </r>
      </text>
    </comment>
    <comment ref="N12" authorId="0" shapeId="0" xr:uid="{00000000-0006-0000-0500-00000A000000}">
      <text>
        <r>
          <rPr>
            <sz val="11"/>
            <color theme="1"/>
            <rFont val="맑은 고딕"/>
            <family val="2"/>
            <scheme val="minor"/>
          </rPr>
          <t>P4 · 표시셀 40 · 어선 1개 조망
정확 수량은 '노량진_오브젝트매칭' 시트 참조</t>
        </r>
      </text>
    </comment>
    <comment ref="Q12" authorId="0" shapeId="0" xr:uid="{00000000-0006-0000-0500-00000B000000}">
      <text>
        <r>
          <rPr>
            <sz val="11"/>
            <color theme="1"/>
            <rFont val="맑은 고딕"/>
            <family val="2"/>
            <scheme val="minor"/>
          </rPr>
          <t>P3 · 표시셀 37 · Qc/Qo 게·문어 수조 2~6개 교대
정확 수량은 '노량진_오브젝트매칭' 시트 참조</t>
        </r>
      </text>
    </comment>
    <comment ref="U12" authorId="0" shapeId="0" xr:uid="{00000000-0006-0000-0500-00000C000000}">
      <text>
        <r>
          <rPr>
            <sz val="11"/>
            <color theme="1"/>
            <rFont val="맑은 고딕"/>
            <family val="2"/>
            <scheme val="minor"/>
          </rPr>
          <t>P3 · 표시셀 33 · 갈매기 횃대 2~4개
정확 수량은 '노량진_오브젝트매칭' 시트 참조</t>
        </r>
      </text>
    </comment>
    <comment ref="Y12" authorId="0" shapeId="0" xr:uid="{00000000-0006-0000-0500-00000D000000}">
      <text>
        <r>
          <rPr>
            <sz val="11"/>
            <color theme="1"/>
            <rFont val="맑은 고딕"/>
            <family val="2"/>
            <scheme val="minor"/>
          </rPr>
          <t>P3 · 표시셀 29 · 어물 바닥 3~5개
정확 수량은 '노량진_오브젝트매칭' 시트 참조</t>
        </r>
      </text>
    </comment>
    <comment ref="AC12" authorId="0" shapeId="0" xr:uid="{00000000-0006-0000-0500-00000E000000}">
      <text>
        <r>
          <rPr>
            <sz val="11"/>
            <color theme="1"/>
            <rFont val="맑은 고딕"/>
            <family val="2"/>
            <scheme val="minor"/>
          </rPr>
          <t>P3 · 표시셀 25 · M1/M2/M3 시장 파사드 2~6개 클러스터
정확 수량은 '노량진_오브젝트매칭' 시트 참조</t>
        </r>
      </text>
    </comment>
    <comment ref="AD12" authorId="0" shapeId="0" xr:uid="{00000000-0006-0000-0500-00000F000000}">
      <text>
        <r>
          <rPr>
            <sz val="11"/>
            <color theme="1"/>
            <rFont val="맑은 고딕"/>
            <family val="2"/>
            <scheme val="minor"/>
          </rPr>
          <t>P2 · 표시셀 22 · 갈매기 횃대 2~4개
정확 수량은 '노량진_오브젝트매칭' 시트 참조</t>
        </r>
      </text>
    </comment>
    <comment ref="I13" authorId="0" shapeId="0" xr:uid="{00000000-0006-0000-0500-000010000000}">
      <text>
        <r>
          <rPr>
            <sz val="11"/>
            <color theme="1"/>
            <rFont val="맑은 고딕"/>
            <family val="2"/>
            <scheme val="minor"/>
          </rPr>
          <t>P4 · 표시셀 48 · 복어 2~3개
정확 수량은 '노량진_오브젝트매칭' 시트 참조</t>
        </r>
      </text>
    </comment>
    <comment ref="AF14" authorId="0" shapeId="0" xr:uid="{00000000-0006-0000-0500-000011000000}">
      <text>
        <r>
          <rPr>
            <sz val="11"/>
            <color theme="1"/>
            <rFont val="맑은 고딕"/>
            <family val="2"/>
            <scheme val="minor"/>
          </rPr>
          <t>P2 · 표시셀 20 · 간트리 1개
정확 수량은 '노량진_오브젝트매칭' 시트 참조</t>
        </r>
      </text>
    </comment>
    <comment ref="G15" authorId="0" shapeId="0" xr:uid="{00000000-0006-0000-0500-000012000000}">
      <text>
        <r>
          <rPr>
            <sz val="11"/>
            <color theme="1"/>
            <rFont val="맑은 고딕"/>
            <family val="2"/>
            <scheme val="minor"/>
          </rPr>
          <t>P4 · 표시셀 50 · 어선 1개 조망
정확 수량은 '노량진_오브젝트매칭' 시트 참조</t>
        </r>
      </text>
    </comment>
    <comment ref="AD15" authorId="0" shapeId="0" xr:uid="{00000000-0006-0000-0500-000013000000}">
      <text>
        <r>
          <rPr>
            <sz val="11"/>
            <color theme="1"/>
            <rFont val="맑은 고딕"/>
            <family val="2"/>
            <scheme val="minor"/>
          </rPr>
          <t>P2 · 표시셀 19 · 복어 2~3개
정확 수량은 '노량진_오브젝트매칭' 시트 참조</t>
        </r>
      </text>
    </comment>
    <comment ref="Z16" authorId="0" shapeId="0" xr:uid="{00000000-0006-0000-0500-000014000000}">
      <text>
        <r>
          <rPr>
            <sz val="11"/>
            <color theme="1"/>
            <rFont val="맑은 고딕"/>
            <family val="2"/>
            <scheme val="minor"/>
          </rPr>
          <t>P2 · 표시셀 12 · 갈매기 횃대 2~4개
정확 수량은 '노량진_오브젝트매칭' 시트 참조</t>
        </r>
      </text>
    </comment>
    <comment ref="AB16" authorId="0" shapeId="0" xr:uid="{00000000-0006-0000-0500-000015000000}">
      <text>
        <r>
          <rPr>
            <sz val="11"/>
            <color theme="1"/>
            <rFont val="맑은 고딕"/>
            <family val="2"/>
            <scheme val="minor"/>
          </rPr>
          <t>P2 · 표시셀 14 · Qc/Qo 게·문어 수조 2~6개 교대
정확 수량은 '노량진_오브젝트매칭' 시트 참조</t>
        </r>
      </text>
    </comment>
    <comment ref="AF16" authorId="0" shapeId="0" xr:uid="{00000000-0006-0000-0500-000016000000}">
      <text>
        <r>
          <rPr>
            <sz val="11"/>
            <color theme="1"/>
            <rFont val="맑은 고딕"/>
            <family val="2"/>
            <scheme val="minor"/>
          </rPr>
          <t>P2 · 표시셀 18 · Qc/Qo 게·문어 수조 2~6개 교대
정확 수량은 '노량진_오브젝트매칭' 시트 참조</t>
        </r>
      </text>
    </comment>
    <comment ref="I17" authorId="0" shapeId="0" xr:uid="{00000000-0006-0000-0500-000017000000}">
      <text>
        <r>
          <rPr>
            <sz val="11"/>
            <color theme="1"/>
            <rFont val="맑은 고딕"/>
            <family val="2"/>
            <scheme val="minor"/>
          </rPr>
          <t>P4 · 표시셀 52 · 구명환 2~3개
정확 수량은 '노량진_오브젝트매칭' 시트 참조</t>
        </r>
      </text>
    </comment>
    <comment ref="S17" authorId="0" shapeId="0" xr:uid="{00000000-0006-0000-0500-000018000000}">
      <text>
        <r>
          <rPr>
            <sz val="11"/>
            <color theme="1"/>
            <rFont val="맑은 고딕"/>
            <family val="2"/>
            <scheme val="minor"/>
          </rPr>
          <t>P5 · 표시셀 70 · 복어 2~3개
정확 수량은 '노량진_오브젝트매칭' 시트 참조</t>
        </r>
      </text>
    </comment>
    <comment ref="X17" authorId="0" shapeId="0" xr:uid="{00000000-0006-0000-0500-000019000000}">
      <text>
        <r>
          <rPr>
            <sz val="11"/>
            <color theme="1"/>
            <rFont val="맑은 고딕"/>
            <family val="2"/>
            <scheme val="minor"/>
          </rPr>
          <t>P1 · 표시셀 11 · 원경 마을 1개
정확 수량은 '노량진_오브젝트매칭' 시트 참조</t>
        </r>
      </text>
    </comment>
    <comment ref="AF17" authorId="0" shapeId="0" xr:uid="{00000000-0006-0000-0500-00001A000000}">
      <text>
        <r>
          <rPr>
            <sz val="11"/>
            <color theme="1"/>
            <rFont val="맑은 고딕"/>
            <family val="2"/>
            <scheme val="minor"/>
          </rPr>
          <t>P2 · 표시셀 17 · M1/M2/M3 시장 파사드 2~6개 클러스터
정확 수량은 '노량진_오브젝트매칭' 시트 참조</t>
        </r>
      </text>
    </comment>
    <comment ref="X18" authorId="0" shapeId="0" xr:uid="{00000000-0006-0000-0500-00001B000000}">
      <text>
        <r>
          <rPr>
            <sz val="11"/>
            <color theme="1"/>
            <rFont val="맑은 고딕"/>
            <family val="2"/>
            <scheme val="minor"/>
          </rPr>
          <t>P1 · 표시셀 10 · 구명환 2~3개
정확 수량은 '노량진_오브젝트매칭' 시트 참조</t>
        </r>
      </text>
    </comment>
    <comment ref="AA18" authorId="0" shapeId="0" xr:uid="{00000000-0006-0000-0500-00001C000000}">
      <text>
        <r>
          <rPr>
            <sz val="11"/>
            <color theme="1"/>
            <rFont val="맑은 고딕"/>
            <family val="2"/>
            <scheme val="minor"/>
          </rPr>
          <t>P2 · 표시셀 13 · M1/M2/M3 시장 파사드 2~6개 클러스터
정확 수량은 '노량진_오브젝트매칭' 시트 참조</t>
        </r>
      </text>
    </comment>
    <comment ref="AC18" authorId="0" shapeId="0" xr:uid="{00000000-0006-0000-0500-00001D000000}">
      <text>
        <r>
          <rPr>
            <sz val="11"/>
            <color theme="1"/>
            <rFont val="맑은 고딕"/>
            <family val="2"/>
            <scheme val="minor"/>
          </rPr>
          <t>P2 · 표시셀 15 · 어물 바닥 3~5개
정확 수량은 '노량진_오브젝트매칭' 시트 참조</t>
        </r>
      </text>
    </comment>
    <comment ref="G19" authorId="0" shapeId="0" xr:uid="{00000000-0006-0000-0500-00001E000000}">
      <text>
        <r>
          <rPr>
            <sz val="11"/>
            <color theme="1"/>
            <rFont val="맑은 고딕"/>
            <family val="2"/>
            <scheme val="minor"/>
          </rPr>
          <t>P4 · 표시셀 54 · 닻 1개
정확 수량은 '노량진_오브젝트매칭' 시트 참조</t>
        </r>
      </text>
    </comment>
    <comment ref="K19" authorId="0" shapeId="0" xr:uid="{00000000-0006-0000-0500-00001F000000}">
      <text>
        <r>
          <rPr>
            <sz val="11"/>
            <color theme="1"/>
            <rFont val="맑은 고딕"/>
            <family val="2"/>
            <scheme val="minor"/>
          </rPr>
          <t>P5 · 표시셀 58 · 어물 바닥 3~5개
정확 수량은 '노량진_오브젝트매칭' 시트 참조</t>
        </r>
      </text>
    </comment>
    <comment ref="O19" authorId="0" shapeId="0" xr:uid="{00000000-0006-0000-0500-000020000000}">
      <text>
        <r>
          <rPr>
            <sz val="11"/>
            <color theme="1"/>
            <rFont val="맑은 고딕"/>
            <family val="2"/>
            <scheme val="minor"/>
          </rPr>
          <t>P5 · 표시셀 62 · 부표 2~3개
정확 수량은 '노량진_오브젝트매칭' 시트 참조</t>
        </r>
      </text>
    </comment>
    <comment ref="S19" authorId="0" shapeId="0" xr:uid="{00000000-0006-0000-0500-000021000000}">
      <text>
        <r>
          <rPr>
            <sz val="11"/>
            <color theme="1"/>
            <rFont val="맑은 고딕"/>
            <family val="2"/>
            <scheme val="minor"/>
          </rPr>
          <t>P5 · 표시셀 66 · 원경 마을 1개
정확 수량은 '노량진_오브젝트매칭' 시트 참조</t>
        </r>
      </text>
    </comment>
    <comment ref="U19" authorId="0" shapeId="0" xr:uid="{00000000-0006-0000-0500-000022000000}">
      <text>
        <r>
          <rPr>
            <sz val="11"/>
            <color theme="1"/>
            <rFont val="맑은 고딕"/>
            <family val="2"/>
            <scheme val="minor"/>
          </rPr>
          <t>P5 · 표시셀 68 · 간트리 1개
정확 수량은 '노량진_오브젝트매칭' 시트 참조</t>
        </r>
      </text>
    </comment>
    <comment ref="Z19" authorId="0" shapeId="0" xr:uid="{00000000-0006-0000-0500-000023000000}">
      <text>
        <r>
          <rPr>
            <sz val="11"/>
            <color theme="1"/>
            <rFont val="맑은 고딕"/>
            <family val="2"/>
            <scheme val="minor"/>
          </rPr>
          <t>P1 · 표시셀 9 · Qc/Qo 게·문어 수조 2~6개 교대
정확 수량은 '노량진_오브젝트매칭' 시트 참조</t>
        </r>
      </text>
    </comment>
    <comment ref="G20" authorId="0" shapeId="0" xr:uid="{00000000-0006-0000-0500-000024000000}">
      <text>
        <r>
          <rPr>
            <sz val="11"/>
            <color theme="1"/>
            <rFont val="맑은 고딕"/>
            <family val="2"/>
            <scheme val="minor"/>
          </rPr>
          <t>P4 · 표시셀 55 · 간트리 1개
정확 수량은 '노량진_오브젝트매칭' 시트 참조</t>
        </r>
      </text>
    </comment>
    <comment ref="X20" authorId="0" shapeId="0" xr:uid="{00000000-0006-0000-0500-000025000000}">
      <text>
        <r>
          <rPr>
            <sz val="11"/>
            <color theme="1"/>
            <rFont val="맑은 고딕"/>
            <family val="2"/>
            <scheme val="minor"/>
          </rPr>
          <t>P1 · 표시셀 8 · M1/M2/M3 시장 파사드 2~6개 클러스터
정확 수량은 '노량진_오브젝트매칭' 시트 참조</t>
        </r>
      </text>
    </comment>
    <comment ref="I21" authorId="0" shapeId="0" xr:uid="{00000000-0006-0000-0500-000026000000}">
      <text>
        <r>
          <rPr>
            <sz val="11"/>
            <color theme="1"/>
            <rFont val="맑은 고딕"/>
            <family val="2"/>
            <scheme val="minor"/>
          </rPr>
          <t>P5 · 표시셀 56 · 갈매기 횃대 2~4개
정확 수량은 '노량진_오브젝트매칭' 시트 참조</t>
        </r>
      </text>
    </comment>
    <comment ref="M21" authorId="0" shapeId="0" xr:uid="{00000000-0006-0000-0500-000027000000}">
      <text>
        <r>
          <rPr>
            <sz val="11"/>
            <color theme="1"/>
            <rFont val="맑은 고딕"/>
            <family val="2"/>
            <scheme val="minor"/>
          </rPr>
          <t>P5 · 표시셀 60 · 복어 2~3개
정확 수량은 '노량진_오브젝트매칭' 시트 참조</t>
        </r>
      </text>
    </comment>
    <comment ref="Q21" authorId="0" shapeId="0" xr:uid="{00000000-0006-0000-0500-000028000000}">
      <text>
        <r>
          <rPr>
            <sz val="11"/>
            <color theme="1"/>
            <rFont val="맑은 고딕"/>
            <family val="2"/>
            <scheme val="minor"/>
          </rPr>
          <t>P5 · 표시셀 64 · 어선 1개 조망
정확 수량은 '노량진_오브젝트매칭' 시트 참조</t>
        </r>
      </text>
    </comment>
    <comment ref="Z21" authorId="0" shapeId="0" xr:uid="{00000000-0006-0000-0500-000029000000}">
      <text>
        <r>
          <rPr>
            <sz val="11"/>
            <color theme="1"/>
            <rFont val="맑은 고딕"/>
            <family val="2"/>
            <scheme val="minor"/>
          </rPr>
          <t>P1 · 표시셀 7 · Qc/Qo 게·문어 수조 2~6개 교대
정확 수량은 '노량진_오브젝트매칭' 시트 참조</t>
        </r>
      </text>
    </comment>
    <comment ref="X22" authorId="0" shapeId="0" xr:uid="{00000000-0006-0000-0500-00002A000000}">
      <text>
        <r>
          <rPr>
            <sz val="11"/>
            <color theme="1"/>
            <rFont val="맑은 고딕"/>
            <family val="2"/>
            <scheme val="minor"/>
          </rPr>
          <t>P1 · 표시셀 6 · M1/M2/M3 시장 파사드 2~6개 클러스터
정확 수량은 '노량진_오브젝트매칭' 시트 참조</t>
        </r>
      </text>
    </comment>
    <comment ref="AA22" authorId="0" shapeId="0" xr:uid="{00000000-0006-0000-0500-00002B000000}">
      <text>
        <r>
          <rPr>
            <sz val="11"/>
            <color theme="1"/>
            <rFont val="맑은 고딕"/>
            <family val="2"/>
            <scheme val="minor"/>
          </rPr>
          <t>P1 · 표시셀 3 · 복어 2~3개
정확 수량은 '노량진_오브젝트매칭' 시트 참조</t>
        </r>
      </text>
    </comment>
    <comment ref="AC22" authorId="0" shapeId="0" xr:uid="{00000000-0006-0000-0500-00002C000000}">
      <text>
        <r>
          <rPr>
            <sz val="11"/>
            <color theme="1"/>
            <rFont val="맑은 고딕"/>
            <family val="2"/>
            <scheme val="minor"/>
          </rPr>
          <t>P1 · 표시셀 1 · 간트리 1개
정확 수량은 '노량진_오브젝트매칭' 시트 참조</t>
        </r>
      </text>
    </comment>
    <comment ref="X23" authorId="0" shapeId="0" xr:uid="{00000000-0006-0000-0500-00002D000000}">
      <text>
        <r>
          <rPr>
            <sz val="11"/>
            <color theme="1"/>
            <rFont val="맑은 고딕"/>
            <family val="2"/>
            <scheme val="minor"/>
          </rPr>
          <t>P1 · 표시셀 5 · 갈매기 횃대 2~4개
정확 수량은 '노량진_오브젝트매칭' 시트 참조</t>
        </r>
      </text>
    </comment>
    <comment ref="Z24" authorId="0" shapeId="0" xr:uid="{00000000-0006-0000-0500-00002E000000}">
      <text>
        <r>
          <rPr>
            <sz val="11"/>
            <color theme="1"/>
            <rFont val="맑은 고딕"/>
            <family val="2"/>
            <scheme val="minor"/>
          </rPr>
          <t>P1 · 표시셀 4 · 어물 바닥 3~5개
정확 수량은 '노량진_오브젝트매칭' 시트 참조</t>
        </r>
      </text>
    </comment>
    <comment ref="AB24" authorId="0" shapeId="0" xr:uid="{00000000-0006-0000-0500-00002F000000}">
      <text>
        <r>
          <rPr>
            <sz val="11"/>
            <color theme="1"/>
            <rFont val="맑은 고딕"/>
            <family val="2"/>
            <scheme val="minor"/>
          </rPr>
          <t>P1 · 표시셀 2 · 부표 2~3개
정확 수량은 '노량진_오브젝트매칭' 시트 참조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O5" authorId="0" shapeId="0" xr:uid="{00000000-0006-0000-0B00-000001000000}">
      <text>
        <r>
          <rPr>
            <sz val="11"/>
            <color theme="1"/>
            <rFont val="맑은 고딕"/>
            <family val="2"/>
            <scheme val="minor"/>
          </rPr>
          <t>Assets/StreamingAssets/Data.xlsx / 환경 변수 / playerSpeed 값1</t>
        </r>
      </text>
    </comment>
    <comment ref="O6" authorId="0" shapeId="0" xr:uid="{00000000-0006-0000-0B00-000002000000}">
      <text>
        <r>
          <rPr>
            <sz val="11"/>
            <color theme="1"/>
            <rFont val="맑은 고딕"/>
            <family val="2"/>
            <scheme val="minor"/>
          </rPr>
          <t>Assets/StreamingAssets/Data.xlsx / 환경 변수 / playerSpeed 값2</t>
        </r>
      </text>
    </comment>
    <comment ref="O7" authorId="0" shapeId="0" xr:uid="{00000000-0006-0000-0B00-000003000000}">
      <text>
        <r>
          <rPr>
            <sz val="11"/>
            <color theme="1"/>
            <rFont val="맑은 고딕"/>
            <family val="2"/>
            <scheme val="minor"/>
          </rPr>
          <t>Assets/StreamingAssets/Data.xlsx / 환경 변수 / playerSpeed 값3</t>
        </r>
      </text>
    </comment>
    <comment ref="O10" authorId="0" shapeId="0" xr:uid="{00000000-0006-0000-0B00-000004000000}">
      <text>
        <r>
          <rPr>
            <sz val="11"/>
            <color theme="1"/>
            <rFont val="맑은 고딕"/>
            <family val="2"/>
            <scheme val="minor"/>
          </rPr>
          <t>기존 노량진 설계의 Road Transform 중심 간격</t>
        </r>
      </text>
    </comment>
  </commentList>
</comments>
</file>

<file path=xl/sharedStrings.xml><?xml version="1.0" encoding="utf-8"?>
<sst xmlns="http://schemas.openxmlformats.org/spreadsheetml/2006/main" count="1914" uniqueCount="686">
  <si>
    <t>5개 독립 챕터 · 20분 직선·꺾임 축척 설계</t>
  </si>
  <si>
    <t>사용자 스케치처럼 긴 직선으로 시간을 확보하고, 시야와 배경을 바꿀 때만 큰 90도 코너를 둡니다. 빨강 노량진 END가 파랑 고속도로 START입니다.</t>
  </si>
  <si>
    <t>챕터</t>
  </si>
  <si>
    <t>표시 합계</t>
  </si>
  <si>
    <t>최장 챕터</t>
  </si>
  <si>
    <t>재시작 기준</t>
  </si>
  <si>
    <t>현재 챕터</t>
  </si>
  <si>
    <t>개</t>
  </si>
  <si>
    <t>연속 플레이 아님</t>
  </si>
  <si>
    <t>분</t>
  </si>
  <si>
    <t>클리어 저장</t>
  </si>
  <si>
    <t>진행 구조</t>
  </si>
  <si>
    <t>1. 챕터 선택</t>
  </si>
  <si>
    <t>2. 사망</t>
  </si>
  <si>
    <t>3. 클리어</t>
  </si>
  <si>
    <t>4. 휴게소</t>
  </si>
  <si>
    <t>해금된 가장 최근 챕터부터 시작 가능</t>
  </si>
  <si>
    <t>현재 챕터 시작점으로만 복귀</t>
  </si>
  <si>
    <t>다음 챕터 해금·클리어 상태 저장</t>
  </si>
  <si>
    <t>2분 완충: 회복·상점·짧은 방어</t>
  </si>
  <si>
    <t>No</t>
  </si>
  <si>
    <t>목표(초)</t>
  </si>
  <si>
    <t>목표(분)</t>
  </si>
  <si>
    <t>구현 상태</t>
  </si>
  <si>
    <t>사망 시</t>
  </si>
  <si>
    <t>핵심 동선</t>
  </si>
  <si>
    <t>피날레</t>
  </si>
  <si>
    <t>설계 근거</t>
  </si>
  <si>
    <t>새 목표시간</t>
  </si>
  <si>
    <t>노량진</t>
  </si>
  <si>
    <t>실측 기반</t>
  </si>
  <si>
    <t>현재 챕터 재시작</t>
  </si>
  <si>
    <t>현재 길 왼쪽→위 · 대형 사각 우회</t>
  </si>
  <si>
    <t>방파제 보스 부두</t>
  </si>
  <si>
    <t>Noryangjin_MapTool_Mode.unity + 기존 5분 상세본</t>
  </si>
  <si>
    <t>고속도로</t>
  </si>
  <si>
    <t>기존 씬 기반 제안</t>
  </si>
  <si>
    <t>상행 장거리 · 좌측 장거리 · 합류 직선</t>
  </si>
  <si>
    <t>터널·대형 차량 매복</t>
  </si>
  <si>
    <t>Stage02_Highway_AutoDraft.unity + Stage02 에셋</t>
  </si>
  <si>
    <t>휴게소</t>
  </si>
  <si>
    <t>문서 기반 신규 제안</t>
  </si>
  <si>
    <t>진입 직선 · 주차 회차 · 출구 직선</t>
  </si>
  <si>
    <t>출구 30초 방어</t>
  </si>
  <si>
    <t>Stage03 Rest Stop 설계 문서</t>
  </si>
  <si>
    <t>4:30  →  4:00  →  2:00  →  4:30  →  5:00</t>
  </si>
  <si>
    <t>도심</t>
  </si>
  <si>
    <t>긴 대로 · 큰 교차로 · 공사 우회</t>
  </si>
  <si>
    <t>대형 교차로 엘리트전</t>
  </si>
  <si>
    <t>Stage04 City 설계 문서</t>
  </si>
  <si>
    <t>백화점</t>
  </si>
  <si>
    <t>명품대로 · 발렛 꺾임 · 정문 진입</t>
  </si>
  <si>
    <t>백화점 입구 최종 보스</t>
  </si>
  <si>
    <t>Stage05 Gangnam/Department Store 설계 문서</t>
  </si>
  <si>
    <t>휴게소만 2분 완충 구간
상점 · 회복 · 짧은 방어전</t>
  </si>
  <si>
    <t>판정: 현재 21모듈을 4분30초로 보이게 늘린 것이 아닙니다. 노량진 142모듈을 실제로 배치하고, 7개의 큰 코너 사이를 긴 직선으로 연결했습니다.</t>
  </si>
  <si>
    <t>시간 검증값은 유지됩니다. 작은 반복 지그재그 없이 총 626모듈·약 7,027u를 직선과 큰 꺾임으로 배치하며, MapTool과 Unity 씬은 수정하지 않습니다.</t>
  </si>
  <si>
    <t>사용자 스케치 해석 · 빨강 노량진 / 파랑 고속도로</t>
  </si>
  <si>
    <t>핵심은 미로형 커브가 아니라, 현재 씬보다 훨씬 긴 직선과 필요한 지점의 큰 90도 꺾임입니다.</t>
  </si>
  <si>
    <t>스케치에서 읽은 설계 규칙</t>
  </si>
  <si>
    <t>1</t>
  </si>
  <si>
    <t>현재 노량진 씬은 전체 빨간 길의 일부일 뿐입니다.</t>
  </si>
  <si>
    <t>2</t>
  </si>
  <si>
    <t>빨간 노량진 END와 파란 고속도로 START는 같은 점입니다.</t>
  </si>
  <si>
    <t>3</t>
  </si>
  <si>
    <t>직선은 길게, 꺾임은 크게. 짧은 지그재그는 넣지 않습니다.</t>
  </si>
  <si>
    <t>4</t>
  </si>
  <si>
    <t>시간은 코너 수가 아니라 실제 모듈 길이로 확보합니다.</t>
  </si>
  <si>
    <t>5</t>
  </si>
  <si>
    <t>각 코너는 배경·적 조합·오브젝트가 바뀌는 구간 전환점입니다.</t>
  </si>
  <si>
    <t>시간·길이·코너 밀도</t>
  </si>
  <si>
    <t>CH</t>
  </si>
  <si>
    <t>구간</t>
  </si>
  <si>
    <t>시간</t>
  </si>
  <si>
    <t>모듈</t>
  </si>
  <si>
    <t>지도셀</t>
  </si>
  <si>
    <t>큰 코너</t>
  </si>
  <si>
    <t>코너 간 평균</t>
  </si>
  <si>
    <t>최장 직선</t>
  </si>
  <si>
    <t>전환점</t>
  </si>
  <si>
    <t>설계 판단</t>
  </si>
  <si>
    <t>4:30</t>
  </si>
  <si>
    <t>약 34초</t>
  </si>
  <si>
    <t>19셀</t>
  </si>
  <si>
    <t>다음 START</t>
  </si>
  <si>
    <t>현재 길 왼쪽→위 · 이후 대형 사각 우회</t>
  </si>
  <si>
    <t>4:00</t>
  </si>
  <si>
    <t>약 60초</t>
  </si>
  <si>
    <t>17셀</t>
  </si>
  <si>
    <t>2:00</t>
  </si>
  <si>
    <t>약 24초</t>
  </si>
  <si>
    <t>11셀</t>
  </si>
  <si>
    <t>약 45초</t>
  </si>
  <si>
    <t>23셀</t>
  </si>
  <si>
    <t>5:00</t>
  </si>
  <si>
    <t>약 50초</t>
  </si>
  <si>
    <t>최종 END</t>
  </si>
  <si>
    <t>현재 노량진은 21모듈·약 43.5초입니다. 4분30초 목표는 142모듈이므로, 빨간 길 전체는 현재 길의 약 6.8배가 되어야 합니다. 이번 안은 이 비율을 유지하면서 노량진 7개, 고속도로 3개, 휴게소 4개, 도심 5개, 백화점 5개의 큰 코너만 사용합니다.</t>
  </si>
  <si>
    <t>사용자 스케치 기준 연속 동선 · 긴 직선 + 절제된 큰 코너</t>
  </si>
  <si>
    <t>S는 사용자가 표시한 노량진 시작점입니다. 녹색 11셀은 현재 21모듈, 빨간색 나머지는 노량진 확장, T1부터 파란색 고속도로가 같은 점에서 시작합니다.</t>
  </si>
  <si>
    <t>CH.1 노량진 4:30
142모듈 · 큰 코너 7개 · 코너 간 평균 34초</t>
  </si>
  <si>
    <t>CH.2 고속도로 4:00
125모듈 · 큰 코너 3개 · 코너 간 평균 60초</t>
  </si>
  <si>
    <t>CH.3 휴게소 2:00
61모듈 · 큰 코너 4개 · 코너 간 평균 24초</t>
  </si>
  <si>
    <t>CH.4 도심 4:30
141모듈 · 큰 코너 5개 · 코너 간 평균 45초</t>
  </si>
  <si>
    <t>CH.5 백화점 5:00
157모듈 · 큰 코너 5개 · 코너 간 평균 50초</t>
  </si>
  <si>
    <t>·</t>
  </si>
  <si>
    <t>60</t>
  </si>
  <si>
    <t>40</t>
  </si>
  <si>
    <t>20</t>
  </si>
  <si>
    <t>80</t>
  </si>
  <si>
    <t>100</t>
  </si>
  <si>
    <t>T1</t>
  </si>
  <si>
    <t>140</t>
  </si>
  <si>
    <t>120</t>
  </si>
  <si>
    <t>T2</t>
  </si>
  <si>
    <t>T3</t>
  </si>
  <si>
    <t>21</t>
  </si>
  <si>
    <t>현재씬</t>
  </si>
  <si>
    <t>S</t>
  </si>
  <si>
    <t>E</t>
  </si>
  <si>
    <t>T4</t>
  </si>
  <si>
    <t>코너 밀도  노량진 7개 · 고속도로 3개 · 휴게소 4개 · 도심 5개 · 백화점 5개  |  코너 사이 평균 24~60초  |  작은 반복 지그재그 없음</t>
  </si>
  <si>
    <t>축척 원칙: 1셀=2모듈≈22.5u · 총 315셀=626모듈≈7,027u. 빨강 노량진 71셀에서 녹색 11셀만 현재 길이며, 나머지는 실제로 추가해야 할 길입니다.</t>
  </si>
  <si>
    <t>CH.1  노량진 · 4:30 직선·꺾임 축척 맵</t>
  </si>
  <si>
    <t>현재 열린 노량진맵툴1의 21도로·170오브젝트 매치를 기준으로, 긴 직선과 7개 큰 코너의 142모듈 전체에 밀도를 완화해 확장합니다.</t>
  </si>
  <si>
    <t>목표시간</t>
  </si>
  <si>
    <t>동선 구조</t>
  </si>
  <si>
    <t>최장 직선 23셀 · 코너 간 평균 34초</t>
  </si>
  <si>
    <t>다이나믹 축척
1셀=2모듈</t>
  </si>
  <si>
    <t>142모듈 · 71셀 · 큰 코너 7개</t>
  </si>
  <si>
    <t>단계 색상·시간</t>
  </si>
  <si>
    <t>P1  0:00–0:40
기존 하단→세로 부두</t>
  </si>
  <si>
    <t>P4</t>
  </si>
  <si>
    <t>P3</t>
  </si>
  <si>
    <t>P2  0:40–1:30
상단 동쪽 경매 부두</t>
  </si>
  <si>
    <t>P3  1:30–2:25
냉동창고 역방향</t>
  </si>
  <si>
    <t>P2</t>
  </si>
  <si>
    <t>P4  2:25–3:25
개방형 항만 동진</t>
  </si>
  <si>
    <t>P5</t>
  </si>
  <si>
    <t>P5  3:25–4:30
폭풍 방파제</t>
  </si>
  <si>
    <t>S=시작 / E=다음 연결점 · 큰 코너 7개 · 작은 반복 지그재그 없음</t>
  </si>
  <si>
    <t>구간 페이싱</t>
  </si>
  <si>
    <t>단계</t>
  </si>
  <si>
    <t>시작(초)</t>
  </si>
  <si>
    <t>종료(초)</t>
  </si>
  <si>
    <t>구간시간</t>
  </si>
  <si>
    <t>표시</t>
  </si>
  <si>
    <t>동선</t>
  </si>
  <si>
    <t>전투</t>
  </si>
  <si>
    <t>주요 오브젝트</t>
  </si>
  <si>
    <t>휴식/보급</t>
  </si>
  <si>
    <t>종료 이벤트</t>
  </si>
  <si>
    <t>P1</t>
  </si>
  <si>
    <t>기존 하단→세로 부두</t>
  </si>
  <si>
    <t>방향 학습·소형 무리</t>
  </si>
  <si>
    <t>실측170: 수면98·시장바닥11·갈매기12·수조14·복어8</t>
  </si>
  <si>
    <t>없음</t>
  </si>
  <si>
    <t>상단 방향 전환</t>
  </si>
  <si>
    <t>현재씬 매칭 확장</t>
  </si>
  <si>
    <t>상단 동쪽 경매 부두</t>
  </si>
  <si>
    <t>소형 무리 3회</t>
  </si>
  <si>
    <t>추가78: 시장파사드6·수조6·갈매기4·간트리1</t>
  </si>
  <si>
    <t>짧은 탄약</t>
  </si>
  <si>
    <t>첫 남쪽 턴</t>
  </si>
  <si>
    <t>냉동창고 역방향</t>
  </si>
  <si>
    <t>측면 압박</t>
  </si>
  <si>
    <t>추가90: 수면50·시장바닥6·어물6·복어3</t>
  </si>
  <si>
    <t>2:30 보급</t>
  </si>
  <si>
    <t>서쪽 긴 직선</t>
  </si>
  <si>
    <t>개방형 항만 동진</t>
  </si>
  <si>
    <t>개방 사격·엘리트</t>
  </si>
  <si>
    <t>추가84: 수면50·어선2·부표2·갈매기5</t>
  </si>
  <si>
    <t>턴 뒤 보급</t>
  </si>
  <si>
    <t>마지막 남쪽 턴</t>
  </si>
  <si>
    <t>폭풍 방파제</t>
  </si>
  <si>
    <t>압박 웨이브→보스</t>
  </si>
  <si>
    <t>추가89: 수면54·어물7·복어3·간트리1</t>
  </si>
  <si>
    <t>4:20 회복</t>
  </si>
  <si>
    <t>보스 부두</t>
  </si>
  <si>
    <t>합계</t>
  </si>
  <si>
    <t>클리어 저장 → T1에서 다음 챕터 시작</t>
  </si>
  <si>
    <t>검증: 71셀=142모듈(홀수 모듈은 마지막 셀에서 보정) · 긴 직선 8개 구간 · 큰 코너 7개 · 목표 4:30</t>
  </si>
  <si>
    <t>노량진맵툴1 · 현재 씬 오브젝트 매칭 분석</t>
  </si>
  <si>
    <t>열린 Noryangjin_MapTool_Mode의 저장 전(dirty) 계층을 읽기 전용으로 분석했습니다. Unity는 수정하지 않았고, 21도로·170오브젝트 패턴을 142모듈에 확장합니다.</t>
  </si>
  <si>
    <t>현재 도로
21개</t>
  </si>
  <si>
    <t>현재 오브젝트
170개</t>
  </si>
  <si>
    <t>실측 프리팹 유형
16종</t>
  </si>
  <si>
    <t>확장 목표
142모듈</t>
  </si>
  <si>
    <t>현재 씬 프리팹 실측 → 4:30 전체 구간 확장 수량</t>
  </si>
  <si>
    <t>기호</t>
  </si>
  <si>
    <t>군</t>
  </si>
  <si>
    <t>실제 프리팹 ID</t>
  </si>
  <si>
    <t>역할</t>
  </si>
  <si>
    <t>현재</t>
  </si>
  <si>
    <t>18u내</t>
  </si>
  <si>
    <t>우세 구간</t>
  </si>
  <si>
    <t>중앙거리</t>
  </si>
  <si>
    <t>P1 현재</t>
  </si>
  <si>
    <t>P2 추가</t>
  </si>
  <si>
    <t>P3 추가</t>
  </si>
  <si>
    <t>P4 추가</t>
  </si>
  <si>
    <t>P5 추가</t>
  </si>
  <si>
    <t>전체 목표</t>
  </si>
  <si>
    <t>배율</t>
  </si>
  <si>
    <t>배치 규칙</t>
  </si>
  <si>
    <t>프리팹 경로</t>
  </si>
  <si>
    <t>W</t>
  </si>
  <si>
    <t>배경</t>
  </si>
  <si>
    <t>017_STAGE01_NRY_BG_001_Ocean_water_plane_backdrop</t>
  </si>
  <si>
    <t>수면 연속 배경</t>
  </si>
  <si>
    <t>전 구간</t>
  </si>
  <si>
    <t>도로 외곽 전체를 10~15% 중첩 타일링</t>
  </si>
  <si>
    <t>Assets/ShooterSurvival/Prefabs/MeshyAI/Stage01_Noryangjin/017_STAGE01_NRY_BG_001_Ocean_water_plane_backdrop/017_STAGE01_NRY_BG_001_Ocean_water_plane_backdrop.prefab</t>
  </si>
  <si>
    <t>D</t>
  </si>
  <si>
    <t>시장</t>
  </si>
  <si>
    <t>049_STAGE01_NRY_BG_033_Noryangjin_rainy_market_ground_backdrop</t>
  </si>
  <si>
    <t>젖은 시장 지면</t>
  </si>
  <si>
    <t>B 세로시장</t>
  </si>
  <si>
    <t>시장 클러스터 아래만 연속, 통로 중앙 제외</t>
  </si>
  <si>
    <t>Assets/ShooterSurvival/Prefabs/MeshyAI/Stage01_Noryangjin/049_STAGE01_NRY_BG_033_Noryangjin_rainy_market_ground_backdrop/049_STAGE01_NRY_BG_033_Noryangjin_rainy_market_ground_backdrop.prefab</t>
  </si>
  <si>
    <t>항만</t>
  </si>
  <si>
    <t>008_STAGE01_NRY_PROPS_008_Seagull_perch_post</t>
  </si>
  <si>
    <t>갈매기 횃대 기둥</t>
  </si>
  <si>
    <t>바깥 난간 2~4개 묶음, 3~4셀 간격</t>
  </si>
  <si>
    <t>Assets/ShooterSurvival/Prefabs/MeshyAI/Stage01_Noryangjin/008_STAGE01_NRY_PROPS_008_Seagull_perch_post/008_STAGE01_NRY_PROPS_008_Seagull_perch_post.prefab</t>
  </si>
  <si>
    <t>P</t>
  </si>
  <si>
    <t>위협</t>
  </si>
  <si>
    <t>010_STAGE01_NRY_ENEMY_010_Puffer_enemy</t>
  </si>
  <si>
    <t>복어 적/위협 표식</t>
  </si>
  <si>
    <t>직선 중반에 2~3개, 턴 전후 2셀 금지</t>
  </si>
  <si>
    <t>Assets/ShooterSurvival/Prefabs/MeshyAI/Stage01_Noryangjin/010_STAGE01_NRY_ENEMY_010_Puffer_enemy/010_STAGE01_NRY_ENEMY_010_Puffer_enemy.prefab</t>
  </si>
  <si>
    <t>Qc</t>
  </si>
  <si>
    <t>030_STAGE01_NRY_PROPS_019_Crab_aquarium_tank</t>
  </si>
  <si>
    <t>게 수조</t>
  </si>
  <si>
    <t>문어 수조와 교대, 파사드 반대쪽</t>
  </si>
  <si>
    <t>Assets/ShooterSurvival/Prefabs/MeshyAI/Stage01_Noryangjin/030_STAGE01_NRY_PROPS_019_Crab_aquarium_tank/030_STAGE01_NRY_PROPS_019_Crab_aquarium_tank.prefab</t>
  </si>
  <si>
    <t>Qo</t>
  </si>
  <si>
    <t>031_STAGE01_NRY_PROPS_020_Octopus_aquarium_tank</t>
  </si>
  <si>
    <t>문어 수조</t>
  </si>
  <si>
    <t>게 수조와 교대, 한 셀 건너 배치</t>
  </si>
  <si>
    <t>Assets/ShooterSurvival/Prefabs/MeshyAI/Stage01_Noryangjin/031_STAGE01_NRY_PROPS_020_Octopus_aquarium_tank/031_STAGE01_NRY_PROPS_020_Octopus_aquarium_tank.prefab</t>
  </si>
  <si>
    <t>F</t>
  </si>
  <si>
    <t>바닥</t>
  </si>
  <si>
    <t>040_STAGE01_NRY_DCR_030_Fish_scrap_floor_scatter</t>
  </si>
  <si>
    <t>어물 바닥 산개</t>
  </si>
  <si>
    <t>가장자리 3~5개 묶음, 중앙 사격축 비움</t>
  </si>
  <si>
    <t>Assets/ShooterSurvival/Prefabs/MeshyAI/Stage01_Noryangjin/040_STAGE01_NRY_DCR_030_Fish_scrap_floor_scatter/040_STAGE01_NRY_DCR_030_Fish_scrap_floor_scatter.prefab</t>
  </si>
  <si>
    <t>L</t>
  </si>
  <si>
    <t>024_STAGE01_NRY_PROPS_012_Life_ring_buoy</t>
  </si>
  <si>
    <t>구명환</t>
  </si>
  <si>
    <t>난간·횃대에 부착, 8~12셀 간격</t>
  </si>
  <si>
    <t>Assets/ShooterSurvival/Prefabs/MeshyAI/Stage01_Noryangjin/024_STAGE01_NRY_PROPS_012_Life_ring_buoy/024_STAGE01_NRY_PROPS_012_Life_ring_buoy.prefab</t>
  </si>
  <si>
    <t>M1</t>
  </si>
  <si>
    <t>014_STAGE01_NRY_BLD_001_Fish_market_storefront_facade</t>
  </si>
  <si>
    <t>수산시장 파사드</t>
  </si>
  <si>
    <t>시장 구간 한쪽 면에만 2개씩 묶음</t>
  </si>
  <si>
    <t>Assets/ShooterSurvival/Prefabs/MeshyAI/Stage01_Noryangjin/014_STAGE01_NRY_BLD_001_Fish_market_storefront_facade/014_STAGE01_NRY_BLD_001_Fish_market_storefront_facade.prefab</t>
  </si>
  <si>
    <t>M2</t>
  </si>
  <si>
    <t>015_STAGE01_NRY_BLD_002_Sashimi_restaurant_stall_front</t>
  </si>
  <si>
    <t>횟집 매대</t>
  </si>
  <si>
    <t>M1-M2-M3 순환, 반대편 5u 확보</t>
  </si>
  <si>
    <t>Assets/ShooterSurvival/Prefabs/MeshyAI/Stage01_Noryangjin/015_STAGE01_NRY_BLD_002_Sashimi_restaurant_stall_front/015_STAGE01_NRY_BLD_002_Sashimi_restaurant_stall_front.prefab</t>
  </si>
  <si>
    <t>M3</t>
  </si>
  <si>
    <t>016_STAGE01_NRY_BLD_003_Seafood_display_stall_module</t>
  </si>
  <si>
    <t>해산물 진열 매대</t>
  </si>
  <si>
    <t>수조 앞 1셀 여백, 코너 진입부 금지</t>
  </si>
  <si>
    <t>Assets/ShooterSurvival/Prefabs/MeshyAI/Stage01_Noryangjin/016_STAGE01_NRY_BLD_003_Seafood_display_stall_module/016_STAGE01_NRY_BLD_003_Seafood_display_stall_module.prefab</t>
  </si>
  <si>
    <t>A</t>
  </si>
  <si>
    <t>035_STAGE01_NRY_PROPS_024_Anchor_prop</t>
  </si>
  <si>
    <t>닻</t>
  </si>
  <si>
    <t>큰 코너 출구 바깥쪽에 1개</t>
  </si>
  <si>
    <t>Assets/ShooterSurvival/Prefabs/MeshyAI/Stage01_Noryangjin/035_STAGE01_NRY_PROPS_024_Anchor_prop/035_STAGE01_NRY_PROPS_024_Anchor_prop.prefab</t>
  </si>
  <si>
    <t>BT</t>
  </si>
  <si>
    <t>018_STAGE01_NRY_BG_002_Harbor_fishing_boat</t>
  </si>
  <si>
    <t>어선</t>
  </si>
  <si>
    <t>4셀 이상 긴 직선의 바다 쪽 조망점</t>
  </si>
  <si>
    <t>Assets/ShooterSurvival/Prefabs/MeshyAI/Stage01_Noryangjin/018_STAGE01_NRY_BG_002_Harbor_fishing_boat/018_STAGE01_NRY_BG_002_Harbor_fishing_boat.prefab</t>
  </si>
  <si>
    <t>G</t>
  </si>
  <si>
    <t>게임플레이</t>
  </si>
  <si>
    <t>045_STAGE01_NRY_GAMEPLAY_037_Harbor_lane_signal_gantry</t>
  </si>
  <si>
    <t>항만 신호 간트리</t>
  </si>
  <si>
    <t>각 페이즈 첫 직선에 1개, 복어는 2셀 뒤</t>
  </si>
  <si>
    <t>Assets/ShooterSurvival/Prefabs/MeshyAI/Stage01_Noryangjin/045_STAGE01_NRY_GAMEPLAY_037_Harbor_lane_signal_gantry/045_STAGE01_NRY_GAMEPLAY_037_Harbor_lane_signal_gantry.prefab</t>
  </si>
  <si>
    <t>V</t>
  </si>
  <si>
    <t>019_STAGE01_NRY_BG_003_Distant_hillside_village_module</t>
  </si>
  <si>
    <t>원경 마을</t>
  </si>
  <si>
    <t>진행축에서 40u 이상 떨어진 원경</t>
  </si>
  <si>
    <t>Assets/ShooterSurvival/Prefabs/MeshyAI/Stage01_Noryangjin/019_STAGE01_NRY_BG_003_Distant_hillside_village_module/019_STAGE01_NRY_BG_003_Distant_hillside_village_module.prefab</t>
  </si>
  <si>
    <t>BY</t>
  </si>
  <si>
    <t>037_STAGE01_NRY_BG_026_Floating_sea_buoy</t>
  </si>
  <si>
    <t>해상 부표</t>
  </si>
  <si>
    <t>A 하단진입</t>
  </si>
  <si>
    <t>어선 조망 앞 바깥 수면에 2~3개</t>
  </si>
  <si>
    <t>Assets/ShooterSurvival/Prefabs/MeshyAI/Stage01_Noryangjin/037_STAGE01_NRY_BG_026_Floating_sea_buoy/037_STAGE01_NRY_BG_026_Floating_sea_buoy.prefab</t>
  </si>
  <si>
    <t>—</t>
  </si>
  <si>
    <t>현재 170개 + 추가 341개 = 511개. 수면은 길이 비례가 아니라 꺾인 동선의 피복 면적으로 3배만 확장</t>
  </si>
  <si>
    <t>Source: active Noryangjin_MapTool_Mode hierarchy, read-only, 2026-07-19</t>
  </si>
  <si>
    <t>현재 21도로의 공간 매칭</t>
  </si>
  <si>
    <t>구역</t>
  </si>
  <si>
    <t>도로</t>
  </si>
  <si>
    <t>실측 오브젝트 구성</t>
  </si>
  <si>
    <t>읽힌 패턴</t>
  </si>
  <si>
    <t>142모듈 적용</t>
  </si>
  <si>
    <t>A 하단 진입부</t>
  </si>
  <si>
    <t>4개</t>
  </si>
  <si>
    <t>수면51·어물5·복어3·부표1·갈매기1</t>
  </si>
  <si>
    <t>바다 조망 + 낮은 바닥 디테일, 적은 직선 중반</t>
  </si>
  <si>
    <t>P1 시작과 P4 개방 항만에 BT-BY-F-P 조합</t>
  </si>
  <si>
    <t>B 세로 수산시장</t>
  </si>
  <si>
    <t>9개</t>
  </si>
  <si>
    <t>수조14·파사드6·갈매기7·시장바닥7·구명환3</t>
  </si>
  <si>
    <t>파사드 한쪽 + 수조 반대쪽, 중앙 통로 비움</t>
  </si>
  <si>
    <t>P2·P3에 M1/M2/M3-Qc/Qo 교대 반복</t>
  </si>
  <si>
    <t>C 상단 출구부</t>
  </si>
  <si>
    <t>8개</t>
  </si>
  <si>
    <t>수면19·시장바닥4·갈매기4·어물4·복어2</t>
  </si>
  <si>
    <t>시장 밀도를 낮추며 항만으로 전환</t>
  </si>
  <si>
    <t>P3 출구와 P5 방파제에 S-F-P 완만 전환</t>
  </si>
  <si>
    <t>오브젝트 매치 세트</t>
  </si>
  <si>
    <t>세트</t>
  </si>
  <si>
    <t>조합</t>
  </si>
  <si>
    <t>배치 순서</t>
  </si>
  <si>
    <t>간격/금지</t>
  </si>
  <si>
    <t>목적</t>
  </si>
  <si>
    <t>시장 M-Q</t>
  </si>
  <si>
    <t>M1/M2/M3 + Qc/Qo + D</t>
  </si>
  <si>
    <t>파사드 → 1셀 → 수조 교대</t>
  </si>
  <si>
    <t>반대편 5u 확보·턴 ±2셀 금지</t>
  </si>
  <si>
    <t>수산시장 정체성 + 전투 시야</t>
  </si>
  <si>
    <t>항만 BT-BY-L</t>
  </si>
  <si>
    <t>BT + BY + L + S</t>
  </si>
  <si>
    <t>어선 조망 → 부표 → 구명환/횃대</t>
  </si>
  <si>
    <t>4셀 이상 직선 바깥쪽</t>
  </si>
  <si>
    <t>개방 수면과 안전 난간 리듬</t>
  </si>
  <si>
    <t>바닥 F-S</t>
  </si>
  <si>
    <t>F + S</t>
  </si>
  <si>
    <t>어물 산개 뒤 1~2셀에 갈매기</t>
  </si>
  <si>
    <t>중앙축 금지·가장자리만</t>
  </si>
  <si>
    <t>낮은 디테일로 속도감 유지</t>
  </si>
  <si>
    <t>위협 G-P</t>
  </si>
  <si>
    <t>G + P</t>
  </si>
  <si>
    <t>간트리 통과 → 2셀 뒤 복어</t>
  </si>
  <si>
    <t>코너·회복 포켓과 분리</t>
  </si>
  <si>
    <t>페이즈 전환을 읽히게 함</t>
  </si>
  <si>
    <t>배경 W-V</t>
  </si>
  <si>
    <t>W + V</t>
  </si>
  <si>
    <t>수면 연속 → 원경 마을</t>
  </si>
  <si>
    <t>V는 진행축 40u 이상</t>
  </si>
  <si>
    <t>길을 막지 않는 깊이감</t>
  </si>
  <si>
    <t>노량진 4:30 · 현재 오브젝트 매치 확장 배치도</t>
  </si>
  <si>
    <t>초록 11셀은 현재 21도로 실측 구간입니다. 붉은 확장 구간에는 시장(M/Q)·항만(BT/BY/L/S)·바닥(F)·위협(G/P) 조합을 실제 씬 밀도보다 완화해 배치합니다.</t>
  </si>
  <si>
    <t>현재 실측
21도로 / 170오브젝트</t>
  </si>
  <si>
    <t>전체 목표
142모듈 / 4:30</t>
  </si>
  <si>
    <t>중앙 확보
최소 5u</t>
  </si>
  <si>
    <t>배치 원칙
턴 ±2셀 대형물 금지</t>
  </si>
  <si>
    <t>기호 범례</t>
  </si>
  <si>
    <t>M</t>
  </si>
  <si>
    <t>Q</t>
  </si>
  <si>
    <t>시장 파사드</t>
  </si>
  <si>
    <t>M1/M2/M3</t>
  </si>
  <si>
    <t>수조</t>
  </si>
  <si>
    <t>Qc/Qo 교대</t>
  </si>
  <si>
    <t>갈매기 횃대</t>
  </si>
  <si>
    <t>2~4개</t>
  </si>
  <si>
    <t>어물 바닥</t>
  </si>
  <si>
    <t>3~5개</t>
  </si>
  <si>
    <t>복어 위협</t>
  </si>
  <si>
    <t>2~3개</t>
  </si>
  <si>
    <t>신호 간트리</t>
  </si>
  <si>
    <t>1개</t>
  </si>
  <si>
    <t>어선 조망</t>
  </si>
  <si>
    <t>부표</t>
  </si>
  <si>
    <t>W/D</t>
  </si>
  <si>
    <t>수면/시장지면</t>
  </si>
  <si>
    <t>연속 피복</t>
  </si>
  <si>
    <t>페이즈별 실제 매칭 확장</t>
  </si>
  <si>
    <t>표시셀</t>
  </si>
  <si>
    <t>인스턴스</t>
  </si>
  <si>
    <t>주요 매치</t>
  </si>
  <si>
    <t>배치 의도</t>
  </si>
  <si>
    <t>1~11</t>
  </si>
  <si>
    <t>0:00~0:40</t>
  </si>
  <si>
    <t>실측 G-BY-P-F-S-M-Q-L-V</t>
  </si>
  <si>
    <t>현재 열린 씬 21도로·170개를 그대로 기준점으로 사용</t>
  </si>
  <si>
    <t>12~24</t>
  </si>
  <si>
    <t>0:40~1:30</t>
  </si>
  <si>
    <t>M-Q-S-F-G</t>
  </si>
  <si>
    <t>시장 파사드 한쪽, 수조 반대쪽, 중앙 5u 확보</t>
  </si>
  <si>
    <t>25~39</t>
  </si>
  <si>
    <t>1:30~2:25</t>
  </si>
  <si>
    <t>M-Q-F-P-G</t>
  </si>
  <si>
    <t>냉동창고 역방향, 간트리 2셀 뒤 복어</t>
  </si>
  <si>
    <t>40~55</t>
  </si>
  <si>
    <t>2:25~3:25</t>
  </si>
  <si>
    <t>BT-BY-S-F-P-L-A</t>
  </si>
  <si>
    <t>개방 항만 바깥 수면에 어선·부표 조망</t>
  </si>
  <si>
    <t>56~71</t>
  </si>
  <si>
    <t>3:25~4:30</t>
  </si>
  <si>
    <t>S-F-P-BY-BT-V-G</t>
  </si>
  <si>
    <t>방파제 압박, 보스 사격축·회복 포켓은 비움</t>
  </si>
  <si>
    <t>배치 판정: 현재 씬의 170개를 단순 6.76배 복제하면 1,149개가 되어 길이보다 오브젝트가 먼저 읽힙니다. 수면은 피복 면적 기준 3배, 전경 소품은 1.5~3배로 완화해 총 511개를 권장합니다. 지도 기호는 클러스터 위치이며 정확 수량은 매칭 시트의 P1~P5 열이 기준입니다.</t>
  </si>
  <si>
    <t>Unity 적용 시 주의: 이 Excel은 설계안입니다. 현재 Noryangjin_MapTool_Mode는 dirty 상태이며 수정하지 않았습니다. 실제 배치는 프리팹 루트 변환을 유지하고, 턴 전후 2셀·중앙 5u·보급 포켓을 비운 뒤 별도 검증해야 합니다.</t>
  </si>
  <si>
    <t>CH.2  고속도로 · 4:00 직선·꺾임 축척 맵</t>
  </si>
  <si>
    <t>노량진 T1과 같은 점에서 시작합니다. 상행 장거리→좌측 장거리→합류 직선의 3코너 구조라 고속도로답게 오래 뻗습니다.</t>
  </si>
  <si>
    <t>최장 직선 25셀 · 코너 간 평균 60초</t>
  </si>
  <si>
    <t>125모듈 · 63셀 · 큰 코너 3개</t>
  </si>
  <si>
    <t>P1  0:00–0:40
직선 본선</t>
  </si>
  <si>
    <t>P2  0:40–1:25
고가 커브 램프</t>
  </si>
  <si>
    <t>P3  1:25–2:10
Y분기·차선 합류</t>
  </si>
  <si>
    <t>P4  2:10–3:05
톨게이트 접근</t>
  </si>
  <si>
    <t>P5  3:05–4:00
터널·고가도로</t>
  </si>
  <si>
    <t>S=시작 / E=다음 연결점 · 큰 코너 3개 · 작은 반복 지그재그 없음</t>
  </si>
  <si>
    <t>직선 본선</t>
  </si>
  <si>
    <t>차선 학습·소형 적</t>
  </si>
  <si>
    <t>가드레일·표지판</t>
  </si>
  <si>
    <t>속도감 확보</t>
  </si>
  <si>
    <t>고가 커브 램프</t>
  </si>
  <si>
    <t>코너 압박</t>
  </si>
  <si>
    <t>셰브론·방음벽</t>
  </si>
  <si>
    <t>램프 하강</t>
  </si>
  <si>
    <t>Y분기·차선 합류</t>
  </si>
  <si>
    <t>차량 사이 전투</t>
  </si>
  <si>
    <t>승용차·트럭·드럼통</t>
  </si>
  <si>
    <t>선택 차선 합류</t>
  </si>
  <si>
    <t>톨게이트 접근</t>
  </si>
  <si>
    <t>차단봉·게이트 웨이브</t>
  </si>
  <si>
    <t>톨부스·신호등</t>
  </si>
  <si>
    <t>통과 직후 회복</t>
  </si>
  <si>
    <t>전자 톨게이트</t>
  </si>
  <si>
    <t>터널·고가도로</t>
  </si>
  <si>
    <t>버스·트럭 매복</t>
  </si>
  <si>
    <t>터널·속도카메라</t>
  </si>
  <si>
    <t>3:45 탄약</t>
  </si>
  <si>
    <t>터널 출구 보스</t>
  </si>
  <si>
    <t>클리어 저장 → T2에서 다음 챕터 시작</t>
  </si>
  <si>
    <t>검증: 63셀=125모듈(홀수 모듈은 마지막 셀에서 보정) · 긴 직선 4개 구간 · 큰 코너 3개 · 목표 4:00</t>
  </si>
  <si>
    <t>CH.3  휴게소 · 2:00 직선·꺾임 축척 맵</t>
  </si>
  <si>
    <t>2분 완충 구간입니다. 진입·주차 회차·출구에만 4개의 큰 코너를 두고 짧은 지그재그는 넣지 않습니다.</t>
  </si>
  <si>
    <t>최장 직선 9셀 · 코너 간 평균 24초</t>
  </si>
  <si>
    <t>61모듈 · 31셀 · 큰 코너 4개</t>
  </si>
  <si>
    <t>P1  0:00–0:25
서비스 도로 진입</t>
  </si>
  <si>
    <t>P2  0:25–0:55
편의점·푸드 구역</t>
  </si>
  <si>
    <t>P3  0:55–1:30
주차장 루프</t>
  </si>
  <si>
    <t>P4  1:30–2:00
주유소 출구</t>
  </si>
  <si>
    <t>S=시작 / E=다음 연결점 · 큰 코너 4개 · 작은 반복 지그재그 없음</t>
  </si>
  <si>
    <t>서비스 도로 진입</t>
  </si>
  <si>
    <t>저강도 정리</t>
  </si>
  <si>
    <t>휴게소 간판·볼라드</t>
  </si>
  <si>
    <t>회복 드롭</t>
  </si>
  <si>
    <t>건물 앞 진입</t>
  </si>
  <si>
    <t>편의점·푸드 구역</t>
  </si>
  <si>
    <t>전투 최소</t>
  </si>
  <si>
    <t>자판기·푸드부스</t>
  </si>
  <si>
    <t>상점·회복</t>
  </si>
  <si>
    <t>선택 구매</t>
  </si>
  <si>
    <t>주차장 루프</t>
  </si>
  <si>
    <t>차량 사이 소형 웨이브</t>
  </si>
  <si>
    <t>SUV·셔틀버스</t>
  </si>
  <si>
    <t>탄약 포켓</t>
  </si>
  <si>
    <t>출구로 복귀</t>
  </si>
  <si>
    <t>주유소 출구</t>
  </si>
  <si>
    <t>30초 방어</t>
  </si>
  <si>
    <t>주유기·캐노피</t>
  </si>
  <si>
    <t>클리어 회복</t>
  </si>
  <si>
    <t>도심 해금</t>
  </si>
  <si>
    <t>클리어 저장 → T3에서 다음 챕터 시작</t>
  </si>
  <si>
    <t>검증: 31셀=61모듈(홀수 모듈은 마지막 셀에서 보정) · 긴 직선 5개 구간 · 큰 코너 4개 · 목표 2:00</t>
  </si>
  <si>
    <t>CH.4  도심 · 4:30 직선·꺾임 축척 맵</t>
  </si>
  <si>
    <t>긴 대로 사이에 큰 교차로와 공사 우회를 배치합니다. 8개 코너가 약 30초 간격으로 공간 리듬을 바꿉니다.</t>
  </si>
  <si>
    <t>최장 직선 24셀 · 코너 간 평균 45초</t>
  </si>
  <si>
    <t>141모듈 · 71셀 · 큰 코너 5개</t>
  </si>
  <si>
    <t>P1  0:00–0:45
횡단보도 직선</t>
  </si>
  <si>
    <t>P2  0:45–1:35
지하철 S커브</t>
  </si>
  <si>
    <t>P3  1:35–2:30
T자 대형 교차로</t>
  </si>
  <si>
    <t>P4  2:30–3:30
공사 밀집 거리</t>
  </si>
  <si>
    <t>P5  3:30–4:30
도심 출구</t>
  </si>
  <si>
    <t>S=시작 / E=다음 연결점 · 큰 코너 5개 · 작은 반복 지그재그 없음</t>
  </si>
  <si>
    <t>횡단보도 직선</t>
  </si>
  <si>
    <t>택시 사이 소형 웨이브</t>
  </si>
  <si>
    <t>버스정류장·가로수</t>
  </si>
  <si>
    <t>첫 교차로</t>
  </si>
  <si>
    <t>지하철 S커브</t>
  </si>
  <si>
    <t>측면 적·스쿠터</t>
  </si>
  <si>
    <t>지하철 입구·광고판</t>
  </si>
  <si>
    <t>90도 코너</t>
  </si>
  <si>
    <t>T자 대형 교차로</t>
  </si>
  <si>
    <t>사방 진입 웨이브</t>
  </si>
  <si>
    <t>신호등·상가 파사드</t>
  </si>
  <si>
    <t>교차로 선택</t>
  </si>
  <si>
    <t>공사 밀집 거리</t>
  </si>
  <si>
    <t>엘리트·좁은 차선</t>
  </si>
  <si>
    <t>펜스·비계·콘</t>
  </si>
  <si>
    <t>공사 뒤 회복</t>
  </si>
  <si>
    <t>버스전용차로</t>
  </si>
  <si>
    <t>도심 출구</t>
  </si>
  <si>
    <t>대형 교차로 엘리트</t>
  </si>
  <si>
    <t>버스·택시·배너</t>
  </si>
  <si>
    <t>4:15 탄약</t>
  </si>
  <si>
    <t>강남 전환 게이트</t>
  </si>
  <si>
    <t>클리어 저장 → T4에서 다음 챕터 시작</t>
  </si>
  <si>
    <t>검증: 71셀=141모듈(홀수 모듈은 마지막 셀에서 보정) · 긴 직선 6개 구간 · 큰 코너 5개 · 목표 4:30</t>
  </si>
  <si>
    <t>CH.5  백화점 · 5:00 직선·꺾임 축척 맵</t>
  </si>
  <si>
    <t>명품대로 직선, 발렛 진입, 정문 접근을 8개의 큰 코너로 연결합니다. 최종 5분 길이를 그대로 유지합니다.</t>
  </si>
  <si>
    <t>최장 직선 24셀 · 코너 간 평균 50초</t>
  </si>
  <si>
    <t>157모듈 · 79셀 · 큰 코너 5개</t>
  </si>
  <si>
    <t>P1  0:00–0:45
명품거리 직선</t>
  </si>
  <si>
    <t>P2  0:45–1:40
부티크 S커브</t>
  </si>
  <si>
    <t>P3  1:40–2:45
백화점 광장 분기</t>
  </si>
  <si>
    <t>P4  2:45–3:50
발렛 헤어핀</t>
  </si>
  <si>
    <t>P5  3:50–5:00
백화점 입구</t>
  </si>
  <si>
    <t>명품거리 직선</t>
  </si>
  <si>
    <t>정예 소형 웨이브</t>
  </si>
  <si>
    <t>쇼윈도·배너 기둥</t>
  </si>
  <si>
    <t>부티크 S커브</t>
  </si>
  <si>
    <t>볼라드 사이 압박</t>
  </si>
  <si>
    <t>마네킹·진열대</t>
  </si>
  <si>
    <t>광장 진입</t>
  </si>
  <si>
    <t>백화점 광장 분기</t>
  </si>
  <si>
    <t>개방형 정예전</t>
  </si>
  <si>
    <t>LED 패널·조형물</t>
  </si>
  <si>
    <t>발렛 루프</t>
  </si>
  <si>
    <t>발렛 헤어핀</t>
  </si>
  <si>
    <t>검은 세단·미니보스</t>
  </si>
  <si>
    <t>발렛부스·로프</t>
  </si>
  <si>
    <t>루프 뒤 회복</t>
  </si>
  <si>
    <t>정문 수렴</t>
  </si>
  <si>
    <t>백화점 입구</t>
  </si>
  <si>
    <t>최종 보스</t>
  </si>
  <si>
    <t>자동문·다이아 조형물</t>
  </si>
  <si>
    <t>4:40 최종 보급</t>
  </si>
  <si>
    <t>최종 보상</t>
  </si>
  <si>
    <t>최종 클리어 저장 → 캠페인 완료</t>
  </si>
  <si>
    <t>검증: 79셀=157모듈(홀수 모듈은 마지막 셀에서 보정) · 긴 직선 6개 구간 · 큰 코너 5개 · 목표 5:00</t>
  </si>
  <si>
    <t>5개 챕터 구간·오브젝트 배치표 · 노량진 현재씬 매칭 반영</t>
  </si>
  <si>
    <t>노량진은 현재 열린 맵툴 씬의 21도로·170개 오브젝트를 기준으로 확장했습니다. 중앙 통로와 턴 전후 2셀은 계속 비웁니다.</t>
  </si>
  <si>
    <t>ID</t>
  </si>
  <si>
    <t>중앙 확보폭</t>
  </si>
  <si>
    <t>배치 주의</t>
  </si>
  <si>
    <t>NRY-01</t>
  </si>
  <si>
    <t>실측170: W98·D11·S12·Q14·P8</t>
  </si>
  <si>
    <t>5u</t>
  </si>
  <si>
    <t>현재씬 매칭</t>
  </si>
  <si>
    <t>열린 씬 21도로·170개 그대로 기준</t>
  </si>
  <si>
    <t>NRY-02</t>
  </si>
  <si>
    <t>추가78: M6·Q6·S4·F5·G1</t>
  </si>
  <si>
    <t>M-Q 교대, 턴 ±2셀 대형물 금지</t>
  </si>
  <si>
    <t>NRY-03</t>
  </si>
  <si>
    <t>추가90: W50·D6·F6·P3·G1</t>
  </si>
  <si>
    <t>간트리 뒤 2셀부터 복어 배치</t>
  </si>
  <si>
    <t>NRY-04</t>
  </si>
  <si>
    <t>추가84: W50·BT2·BY2·S5</t>
  </si>
  <si>
    <t>수면 바깥쪽 BT-BY-L 조합</t>
  </si>
  <si>
    <t>NRY-05</t>
  </si>
  <si>
    <t>추가89: W54·F7·P3·G1</t>
  </si>
  <si>
    <t>보스축 5u·회복 포켓 1셀 확보</t>
  </si>
  <si>
    <t>HWY-01</t>
  </si>
  <si>
    <t>7u</t>
  </si>
  <si>
    <t>중앙 사격축 확보</t>
  </si>
  <si>
    <t>HWY-02</t>
  </si>
  <si>
    <t>0:40~1:25</t>
  </si>
  <si>
    <t>턴 전후 대형물 금지</t>
  </si>
  <si>
    <t>HWY-03</t>
  </si>
  <si>
    <t>1:25~2:10</t>
  </si>
  <si>
    <t>HWY-04</t>
  </si>
  <si>
    <t>2:10~3:05</t>
  </si>
  <si>
    <t>HWY-05</t>
  </si>
  <si>
    <t>3:05~4:00</t>
  </si>
  <si>
    <t>RST-01</t>
  </si>
  <si>
    <t>0:00~0:25</t>
  </si>
  <si>
    <t>6u</t>
  </si>
  <si>
    <t>RST-02</t>
  </si>
  <si>
    <t>0:25~0:55</t>
  </si>
  <si>
    <t>RST-03</t>
  </si>
  <si>
    <t>0:55~1:30</t>
  </si>
  <si>
    <t>RST-04</t>
  </si>
  <si>
    <t>1:30~2:00</t>
  </si>
  <si>
    <t>CITY-01</t>
  </si>
  <si>
    <t>0:00~0:45</t>
  </si>
  <si>
    <t>CITY-02</t>
  </si>
  <si>
    <t>0:45~1:35</t>
  </si>
  <si>
    <t>CITY-03</t>
  </si>
  <si>
    <t>1:35~2:30</t>
  </si>
  <si>
    <t>CITY-04</t>
  </si>
  <si>
    <t>2:30~3:30</t>
  </si>
  <si>
    <t>CITY-05</t>
  </si>
  <si>
    <t>3:30~4:30</t>
  </si>
  <si>
    <t>GNG-01</t>
  </si>
  <si>
    <t>GNG-02</t>
  </si>
  <si>
    <t>0:45~1:40</t>
  </si>
  <si>
    <t>GNG-03</t>
  </si>
  <si>
    <t>1:40~2:45</t>
  </si>
  <si>
    <t>GNG-04</t>
  </si>
  <si>
    <t>2:45~3:50</t>
  </si>
  <si>
    <t>GNG-05</t>
  </si>
  <si>
    <t>3:50~5:00</t>
  </si>
  <si>
    <t>축척 검증 · 목표시간별 필요한 거리와 모듈</t>
  </si>
  <si>
    <t>현재 코드는 전투 중에도 자동 전진합니다. 별도 정지 게이트가 없으면 목표시간은 도로 길이로 확보해야 하며, 1지도셀은 2모듈로 표시합니다.</t>
  </si>
  <si>
    <t>이론 필요거리(u)</t>
  </si>
  <si>
    <t>재시작</t>
  </si>
  <si>
    <t>총 모듈</t>
  </si>
  <si>
    <t>추가 모듈</t>
  </si>
  <si>
    <t>계획거리(u)</t>
  </si>
  <si>
    <t>예상시간(초)</t>
  </si>
  <si>
    <t>판정</t>
  </si>
  <si>
    <t>이동·축척 가정</t>
  </si>
  <si>
    <t>시작 속도</t>
  </si>
  <si>
    <t>u/s</t>
  </si>
  <si>
    <t>최대 속도</t>
  </si>
  <si>
    <t>가속</t>
  </si>
  <si>
    <t>u/s²</t>
  </si>
  <si>
    <t>최대속도 도달</t>
  </si>
  <si>
    <t>s</t>
  </si>
  <si>
    <t>가속구간 거리</t>
  </si>
  <si>
    <t>u</t>
  </si>
  <si>
    <t>도로 모듈 길이</t>
  </si>
  <si>
    <t>노량진 기존거리</t>
  </si>
  <si>
    <t>노량진 기존모듈</t>
  </si>
  <si>
    <t>지도셀당 모듈</t>
  </si>
  <si>
    <t>현재 노량진 21모듈·220.7u는 약 43.5초입니다. 사용자가 지적한 ‘약 1분’ 판단이 맞습니다.</t>
  </si>
  <si>
    <t>4분30초 노량진은 총 142모듈·1,582.0u가 필요하므로 현재보다 121모듈을 추가해야 합니다.</t>
  </si>
  <si>
    <t>전체 새 시간안은 20:00이며 계획 기준 626모듈·약 7,027u·지도셀 315개입니다.</t>
  </si>
  <si>
    <t>전투 시간을 따로 더하지 않았습니다. 현재 PlayerScript는 게임 진행 중 계속 전진하므로 전투도 이동시간 안에 포함됩니다.</t>
  </si>
  <si>
    <t>실제 Stage02~05 프리팹 길이가 11.25u와 다르면 각 스테이지 모듈 길이만 바꾸어 모듈 수를 다시 계산해야 합니다.</t>
  </si>
  <si>
    <t>읽기 전용 설계 근거</t>
  </si>
  <si>
    <t>Unity 씬과 맵툴은 수정하지 않았습니다. 아래 파일과 기존 설계 결과를 읽기 전용으로 참고했습니다.</t>
  </si>
  <si>
    <t>구분</t>
  </si>
  <si>
    <t>경로</t>
  </si>
  <si>
    <t>확인 내용</t>
  </si>
  <si>
    <t>설계 적용</t>
  </si>
  <si>
    <t>상태</t>
  </si>
  <si>
    <t>Unity 씬</t>
  </si>
  <si>
    <t>Assets/ShooterSurvival/Scenes/Tools/Noryangjin_MapTool_Mode.unity</t>
  </si>
  <si>
    <t>현재 Roads 21개·빨간 원 시작</t>
  </si>
  <si>
    <t>기존 21개 전부 주행</t>
  </si>
  <si>
    <t>확인</t>
  </si>
  <si>
    <t>기존 Excel</t>
  </si>
  <si>
    <t>outputs/noryangjin_scene1_5min/노량진_씬1_빨간원시작_5분_확장_설계도.xlsx</t>
  </si>
  <si>
    <t>158모듈·1761.98u·300.33초</t>
  </si>
  <si>
    <t>CH.1 상세 수치 유지</t>
  </si>
  <si>
    <t>Assets/ShooterSurvival/Scenes/Generated/Stage02_Highway_AutoDraft.unity</t>
  </si>
  <si>
    <t>직선 본선·차선·코인·가드레일</t>
  </si>
  <si>
    <t>5분 확장 기준축</t>
  </si>
  <si>
    <t>에셋</t>
  </si>
  <si>
    <t>Assets/ShooterSurvival/Prefabs/MeshyAI/Stage02_Highway</t>
  </si>
  <si>
    <t>톨게이트·터널·표지판·방음벽</t>
  </si>
  <si>
    <t>P1~P5 랜드마크</t>
  </si>
  <si>
    <t>설계 문서</t>
  </si>
  <si>
    <t>전체</t>
  </si>
  <si>
    <t>docs/design/stage_reference_regeneration_prompts_20260515.md</t>
  </si>
  <si>
    <t>Stage01~05 구간별 시각 어휘</t>
  </si>
  <si>
    <t>챕터 동선·오브젝트</t>
  </si>
  <si>
    <t>문서 인덱스</t>
  </si>
  <si>
    <t>docs/README.md</t>
  </si>
  <si>
    <t>Stage01~05 활성 에셋 시퀀스</t>
  </si>
  <si>
    <t>구현 상태 구분</t>
  </si>
  <si>
    <t>씬 확인</t>
  </si>
  <si>
    <t>휴게소·도심·백화점</t>
  </si>
  <si>
    <t>Assets/ShooterSurvival/Scenes</t>
  </si>
  <si>
    <t>현재 전용 씬 없음</t>
  </si>
  <si>
    <t>문서 기반 신규 제안으로 표시</t>
  </si>
  <si>
    <t>미구현</t>
  </si>
  <si>
    <t>속도 데이터</t>
  </si>
  <si>
    <t>Assets/StreamingAssets/Data.xlsx / 환경 변수</t>
  </si>
  <si>
    <t>playerSpeed = 4, 6, 0.05</t>
  </si>
  <si>
    <t>거리 적분·목표 모듈 계산</t>
  </si>
  <si>
    <t>이동 코드</t>
  </si>
  <si>
    <t>Assets/ShooterSurvival/Scripts/Player/PlayerScript.cs</t>
  </si>
  <si>
    <t>전투 중에도 FixedUpdate 자동 전진</t>
  </si>
  <si>
    <t>정지시간 제외·길이로 시간 확보</t>
  </si>
  <si>
    <t>구분 원칙
• 실측 기반: 현재 Unity 씬/기존 계산으로 좌표·길이가 확인된 설계
• 기존 씬 기반 제안: 현재 AutoDraft 또는 에셋을 확장한 구조안
• 문서 기반 신규 제안: MapTool 제작 전에 사용할 레이아웃 가이드</t>
  </si>
  <si>
    <t>대상</t>
  </si>
  <si>
    <t>읽은 값</t>
  </si>
  <si>
    <t>분석 방식</t>
  </si>
  <si>
    <t>반영</t>
  </si>
  <si>
    <t>주의</t>
  </si>
  <si>
    <t>일자</t>
  </si>
  <si>
    <t>현재 Unity 씬</t>
  </si>
  <si>
    <t>Noryangjin_MapTool_Mode</t>
  </si>
  <si>
    <t>dirty / read-only</t>
  </si>
  <si>
    <t>Roads 21 · Props 170 · 16 prefab types</t>
  </si>
  <si>
    <t>MCP active hierarchy + prefab path match</t>
  </si>
  <si>
    <t>노량진 오브젝트 매칭·배치 2개 시트</t>
  </si>
  <si>
    <t>Unity 씬 미수정</t>
  </si>
  <si>
    <t>2026-07-19</t>
  </si>
  <si>
    <t>5개 챕터 20분 · 사용자 스케치 기준 직선·꺾임 전체도 4K</t>
  </si>
  <si>
    <t>빨강 노량진 → 파랑 고속도로 → 초록 휴게소 → 주황 도심 → 보라 백화점. Unity/MapTool 수정 없이 설계도만 작성했습니다.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</si>
</sst>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#,##0.0"/>
    <numFmt numFmtId="178" formatCode="0.00\x"/>
  </numFmts>
  <fonts count="104" x14ac:knownFonts="1">
    <font>
      <sz val="11"/>
      <color theme="1"/>
      <name val="맑은 고딕"/>
      <family val="2"/>
      <scheme val="minor"/>
    </font>
    <font>
      <b/>
      <sz val="21"/>
      <color rgb="FFFFFFFF"/>
      <name val="맑은 고딕"/>
      <family val="3"/>
      <charset val="129"/>
    </font>
    <font>
      <sz val="10"/>
      <color rgb="FF648090"/>
      <name val="맑은 고딕"/>
      <family val="3"/>
      <charset val="129"/>
    </font>
    <font>
      <b/>
      <sz val="10"/>
      <color rgb="FF8B5A2B"/>
      <name val="맑은 고딕"/>
      <family val="3"/>
      <charset val="129"/>
    </font>
    <font>
      <b/>
      <sz val="23"/>
      <color rgb="FF8B5A2B"/>
      <name val="맑은 고딕"/>
      <family val="3"/>
      <charset val="129"/>
    </font>
    <font>
      <sz val="9"/>
      <color rgb="FF6C8390"/>
      <name val="맑은 고딕"/>
      <family val="3"/>
      <charset val="129"/>
    </font>
    <font>
      <b/>
      <sz val="10"/>
      <color rgb="FFE58A24"/>
      <name val="맑은 고딕"/>
      <family val="3"/>
      <charset val="129"/>
    </font>
    <font>
      <b/>
      <sz val="23"/>
      <color rgb="FFE58A24"/>
      <name val="맑은 고딕"/>
      <family val="3"/>
      <charset val="129"/>
    </font>
    <font>
      <b/>
      <sz val="10"/>
      <color rgb="FF2E70C9"/>
      <name val="맑은 고딕"/>
      <family val="3"/>
      <charset val="129"/>
    </font>
    <font>
      <b/>
      <sz val="23"/>
      <color rgb="FF2E70C9"/>
      <name val="맑은 고딕"/>
      <family val="3"/>
      <charset val="129"/>
    </font>
    <font>
      <b/>
      <sz val="10"/>
      <color rgb="FF7652B5"/>
      <name val="맑은 고딕"/>
      <family val="3"/>
      <charset val="129"/>
    </font>
    <font>
      <b/>
      <sz val="23"/>
      <color rgb="FF7652B5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9"/>
      <color rgb="FF20323B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9"/>
      <color rgb="FF8B5A2B"/>
      <name val="맑은 고딕"/>
      <family val="3"/>
      <charset val="129"/>
    </font>
    <font>
      <b/>
      <sz val="9"/>
      <color rgb="FFE58A24"/>
      <name val="맑은 고딕"/>
      <family val="3"/>
      <charset val="129"/>
    </font>
    <font>
      <b/>
      <sz val="9"/>
      <color rgb="FF4F9D69"/>
      <name val="맑은 고딕"/>
      <family val="3"/>
      <charset val="129"/>
    </font>
    <font>
      <b/>
      <sz val="9"/>
      <color rgb="FF2E70C9"/>
      <name val="맑은 고딕"/>
      <family val="3"/>
      <charset val="129"/>
    </font>
    <font>
      <b/>
      <sz val="9"/>
      <color rgb="FF7652B5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b/>
      <sz val="15"/>
      <color rgb="FF102F3D"/>
      <name val="맑은 고딕"/>
      <family val="3"/>
      <charset val="129"/>
    </font>
    <font>
      <b/>
      <sz val="11"/>
      <color rgb="FF4F9D69"/>
      <name val="맑은 고딕"/>
      <family val="3"/>
      <charset val="129"/>
    </font>
    <font>
      <b/>
      <sz val="11"/>
      <color rgb="FF8B5C16"/>
      <name val="맑은 고딕"/>
      <family val="3"/>
      <charset val="129"/>
    </font>
    <font>
      <b/>
      <sz val="10"/>
      <color rgb="FFB43B2E"/>
      <name val="맑은 고딕"/>
      <family val="3"/>
      <charset val="129"/>
    </font>
    <font>
      <sz val="10"/>
      <color rgb="FF20323B"/>
      <name val="맑은 고딕"/>
      <family val="3"/>
      <charset val="129"/>
    </font>
    <font>
      <b/>
      <sz val="12"/>
      <color rgb="FF8B5A2B"/>
      <name val="맑은 고딕"/>
      <family val="3"/>
      <charset val="129"/>
    </font>
    <font>
      <b/>
      <sz val="7"/>
      <color rgb="FFFFFFFF"/>
      <name val="맑은 고딕"/>
      <family val="3"/>
      <charset val="129"/>
    </font>
    <font>
      <b/>
      <sz val="8"/>
      <color rgb="FF3C3421"/>
      <name val="맑은 고딕"/>
      <family val="3"/>
      <charset val="129"/>
    </font>
    <font>
      <b/>
      <sz val="8"/>
      <color rgb="FFFFFFFF"/>
      <name val="맑은 고딕"/>
      <family val="3"/>
      <charset val="129"/>
    </font>
    <font>
      <b/>
      <sz val="8"/>
      <color rgb="FF20323B"/>
      <name val="맑은 고딕"/>
      <family val="3"/>
      <charset val="129"/>
    </font>
    <font>
      <sz val="8.5"/>
      <color rgb="FF20323B"/>
      <name val="맑은 고딕"/>
      <family val="3"/>
      <charset val="129"/>
    </font>
    <font>
      <b/>
      <sz val="12"/>
      <color rgb="FFE58A24"/>
      <name val="맑은 고딕"/>
      <family val="3"/>
      <charset val="129"/>
    </font>
    <font>
      <b/>
      <sz val="12"/>
      <color rgb="FF4F9D69"/>
      <name val="맑은 고딕"/>
      <family val="3"/>
      <charset val="129"/>
    </font>
    <font>
      <b/>
      <sz val="12"/>
      <color rgb="FF2E70C9"/>
      <name val="맑은 고딕"/>
      <family val="3"/>
      <charset val="129"/>
    </font>
    <font>
      <b/>
      <sz val="12"/>
      <color rgb="FF7652B5"/>
      <name val="맑은 고딕"/>
      <family val="3"/>
      <charset val="129"/>
    </font>
    <font>
      <b/>
      <sz val="8.5"/>
      <color rgb="FF8B5A2B"/>
      <name val="맑은 고딕"/>
      <family val="3"/>
      <charset val="129"/>
    </font>
    <font>
      <b/>
      <sz val="8.5"/>
      <color rgb="FFE58A24"/>
      <name val="맑은 고딕"/>
      <family val="3"/>
      <charset val="129"/>
    </font>
    <font>
      <b/>
      <sz val="8.5"/>
      <color rgb="FF4F9D69"/>
      <name val="맑은 고딕"/>
      <family val="3"/>
      <charset val="129"/>
    </font>
    <font>
      <b/>
      <sz val="8.5"/>
      <color rgb="FF2E70C9"/>
      <name val="맑은 고딕"/>
      <family val="3"/>
      <charset val="129"/>
    </font>
    <font>
      <b/>
      <sz val="8.5"/>
      <color rgb="FF7652B5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8"/>
      <color rgb="FFFFFFFF"/>
      <name val="맑은 고딕"/>
      <family val="3"/>
      <charset val="129"/>
    </font>
    <font>
      <sz val="10"/>
      <color rgb="FF6C8390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8"/>
      <color rgb="FFFFFFFF"/>
      <name val="맑은 고딕"/>
      <family val="3"/>
      <charset val="129"/>
    </font>
    <font>
      <b/>
      <sz val="6"/>
      <color rgb="FFFFFFFF"/>
      <name val="맑은 고딕"/>
      <family val="3"/>
      <charset val="129"/>
    </font>
    <font>
      <b/>
      <sz val="9"/>
      <color rgb="FF8B5C16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8"/>
      <color rgb="FF20323B"/>
      <name val="맑은 고딕"/>
      <family val="3"/>
      <charset val="129"/>
    </font>
    <font>
      <sz val="9"/>
      <color rgb="FF20323B"/>
      <name val="맑은 고딕"/>
      <family val="3"/>
      <charset val="129"/>
    </font>
    <font>
      <b/>
      <sz val="9"/>
      <color rgb="FF9C6A35"/>
      <name val="맑은 고딕"/>
      <family val="3"/>
      <charset val="129"/>
    </font>
    <font>
      <b/>
      <sz val="9"/>
      <color rgb="FFE58A24"/>
      <name val="맑은 고딕"/>
      <family val="3"/>
      <charset val="129"/>
    </font>
    <font>
      <b/>
      <sz val="9"/>
      <color rgb="FF4F9D69"/>
      <name val="맑은 고딕"/>
      <family val="3"/>
      <charset val="129"/>
    </font>
    <font>
      <b/>
      <sz val="9"/>
      <color rgb="FF2E70C9"/>
      <name val="맑은 고딕"/>
      <family val="3"/>
      <charset val="129"/>
    </font>
    <font>
      <b/>
      <sz val="9"/>
      <color rgb="FF7652B5"/>
      <name val="맑은 고딕"/>
      <family val="3"/>
      <charset val="129"/>
    </font>
    <font>
      <b/>
      <sz val="9"/>
      <color rgb="FF102F3D"/>
      <name val="맑은 고딕"/>
      <family val="3"/>
      <charset val="129"/>
    </font>
    <font>
      <b/>
      <sz val="9"/>
      <color rgb="FF20323B"/>
      <name val="맑은 고딕"/>
      <family val="3"/>
      <charset val="129"/>
    </font>
    <font>
      <sz val="9"/>
      <color rgb="FF6C8390"/>
      <name val="맑은 고딕"/>
      <family val="3"/>
      <charset val="129"/>
    </font>
    <font>
      <b/>
      <sz val="7"/>
      <color rgb="FFFFFFFF"/>
      <name val="맑은 고딕"/>
      <family val="3"/>
      <charset val="129"/>
    </font>
    <font>
      <b/>
      <sz val="8"/>
      <color rgb="FFFFFFFF"/>
      <name val="맑은 고딕"/>
      <family val="3"/>
      <charset val="129"/>
    </font>
    <font>
      <b/>
      <sz val="7"/>
      <color rgb="FFFFFFFF"/>
      <name val="맑은 고딕"/>
      <family val="3"/>
      <charset val="129"/>
    </font>
    <font>
      <b/>
      <sz val="6"/>
      <color rgb="FFFFFFFF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18"/>
      <color rgb="FFFFFFFF"/>
      <name val="맑은 고딕"/>
      <family val="3"/>
      <charset val="129"/>
    </font>
    <font>
      <b/>
      <sz val="10"/>
      <color rgb="FF27424D"/>
      <name val="맑은 고딕"/>
      <family val="3"/>
      <charset val="129"/>
    </font>
    <font>
      <b/>
      <sz val="13"/>
      <color rgb="FFFFFFFF"/>
      <name val="맑은 고딕"/>
      <family val="3"/>
      <charset val="129"/>
    </font>
    <font>
      <b/>
      <sz val="14"/>
      <color rgb="FF203039"/>
      <name val="맑은 고딕"/>
      <family val="3"/>
      <charset val="129"/>
    </font>
    <font>
      <sz val="10"/>
      <color rgb="FF293B44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sz val="9"/>
      <color rgb="FF263A43"/>
      <name val="맑은 고딕"/>
      <family val="3"/>
      <charset val="129"/>
    </font>
    <font>
      <b/>
      <sz val="9"/>
      <color rgb="FFD94B4B"/>
      <name val="맑은 고딕"/>
      <family val="3"/>
      <charset val="129"/>
    </font>
    <font>
      <b/>
      <sz val="9"/>
      <color rgb="FF2878D0"/>
      <name val="맑은 고딕"/>
      <family val="3"/>
      <charset val="129"/>
    </font>
    <font>
      <b/>
      <sz val="9"/>
      <color rgb="FF3F9B61"/>
      <name val="맑은 고딕"/>
      <family val="3"/>
      <charset val="129"/>
    </font>
    <font>
      <b/>
      <sz val="9"/>
      <color rgb="FFE89524"/>
      <name val="맑은 고딕"/>
      <family val="3"/>
      <charset val="129"/>
    </font>
    <font>
      <b/>
      <sz val="9"/>
      <color rgb="FF8254B5"/>
      <name val="맑은 고딕"/>
      <family val="3"/>
      <charset val="129"/>
    </font>
    <font>
      <b/>
      <sz val="10"/>
      <color rgb="FF8A4F13"/>
      <name val="맑은 고딕"/>
      <family val="3"/>
      <charset val="129"/>
    </font>
    <font>
      <sz val="8"/>
      <color rgb="FF263A43"/>
      <name val="맑은 고딕"/>
      <family val="3"/>
      <charset val="129"/>
    </font>
    <font>
      <b/>
      <sz val="9"/>
      <color rgb="FF27424D"/>
      <name val="맑은 고딕"/>
      <family val="3"/>
      <charset val="129"/>
    </font>
    <font>
      <b/>
      <sz val="8"/>
      <color rgb="FFFFFFFF"/>
      <name val="맑은 고딕"/>
      <family val="3"/>
      <charset val="129"/>
    </font>
    <font>
      <b/>
      <sz val="5"/>
      <color rgb="FFFFFFFF"/>
      <name val="맑은 고딕"/>
      <family val="3"/>
      <charset val="129"/>
    </font>
    <font>
      <b/>
      <sz val="6"/>
      <color rgb="FFFFFFFF"/>
      <name val="맑은 고딕"/>
      <family val="3"/>
      <charset val="129"/>
    </font>
    <font>
      <b/>
      <sz val="5"/>
      <color rgb="FF263A43"/>
      <name val="맑은 고딕"/>
      <family val="3"/>
      <charset val="129"/>
    </font>
    <font>
      <b/>
      <sz val="9"/>
      <color rgb="FF8A4F13"/>
      <name val="맑은 고딕"/>
      <family val="3"/>
      <charset val="129"/>
    </font>
    <font>
      <sz val="9"/>
      <color rgb="FF27424D"/>
      <name val="맑은 고딕"/>
      <family val="3"/>
      <charset val="129"/>
    </font>
    <font>
      <b/>
      <sz val="7"/>
      <color rgb="FFFFFFFF"/>
      <name val="맑은 고딕"/>
      <family val="3"/>
      <charset val="129"/>
    </font>
    <font>
      <b/>
      <sz val="20"/>
      <color rgb="FFFFFFFF"/>
      <name val="맑은 고딕"/>
      <family val="3"/>
      <charset val="129"/>
    </font>
    <font>
      <sz val="9"/>
      <color rgb="FF648090"/>
      <name val="맑은 고딕"/>
      <family val="3"/>
      <charset val="129"/>
    </font>
    <font>
      <b/>
      <sz val="12"/>
      <color rgb="FF65A765"/>
      <name val="맑은 고딕"/>
      <family val="3"/>
      <charset val="129"/>
    </font>
    <font>
      <b/>
      <sz val="12"/>
      <color rgb="FFD94B4B"/>
      <name val="맑은 고딕"/>
      <family val="3"/>
      <charset val="129"/>
    </font>
    <font>
      <b/>
      <sz val="12"/>
      <color rgb="FFD89B31"/>
      <name val="맑은 고딕"/>
      <family val="3"/>
      <charset val="129"/>
    </font>
    <font>
      <b/>
      <sz val="12"/>
      <color rgb="FF3B91A8"/>
      <name val="맑은 고딕"/>
      <family val="3"/>
      <charset val="129"/>
    </font>
    <font>
      <b/>
      <sz val="12"/>
      <color rgb="FF7A58A6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8"/>
      <color rgb="FFFFFFFF"/>
      <name val="맑은 고딕"/>
      <family val="3"/>
      <charset val="129"/>
    </font>
    <font>
      <sz val="7.5"/>
      <color rgb="FF20323B"/>
      <name val="맑은 고딕"/>
      <family val="3"/>
      <charset val="129"/>
    </font>
    <font>
      <b/>
      <sz val="8.5"/>
      <color rgb="FF7A4B18"/>
      <name val="맑은 고딕"/>
      <family val="3"/>
      <charset val="129"/>
    </font>
    <font>
      <sz val="8"/>
      <color rgb="FF20323B"/>
      <name val="맑은 고딕"/>
      <family val="3"/>
      <charset val="129"/>
    </font>
    <font>
      <b/>
      <sz val="6.5"/>
      <color rgb="FFFFFFFF"/>
      <name val="맑은 고딕"/>
      <family val="3"/>
      <charset val="129"/>
    </font>
    <font>
      <sz val="7.5"/>
      <color rgb="FF648090"/>
      <name val="맑은 고딕"/>
      <family val="3"/>
      <charset val="129"/>
    </font>
    <font>
      <b/>
      <sz val="9"/>
      <color rgb="FF805017"/>
      <name val="맑은 고딕"/>
      <family val="3"/>
      <charset val="129"/>
    </font>
    <font>
      <sz val="7.3"/>
      <color rgb="FF20323B"/>
      <name val="맑은 고딕"/>
      <family val="3"/>
      <charset val="129"/>
    </font>
  </fonts>
  <fills count="118">
    <fill>
      <patternFill patternType="none"/>
    </fill>
    <fill>
      <patternFill patternType="gray125"/>
    </fill>
    <fill>
      <patternFill patternType="solid">
        <fgColor rgb="FF102F3D"/>
      </patternFill>
    </fill>
    <fill>
      <patternFill patternType="solid">
        <fgColor rgb="FFE5EFF2"/>
      </patternFill>
    </fill>
    <fill>
      <patternFill patternType="solid">
        <fgColor rgb="FFEAE1D8"/>
      </patternFill>
    </fill>
    <fill>
      <patternFill patternType="solid">
        <fgColor rgb="FFFAE9D7"/>
      </patternFill>
    </fill>
    <fill>
      <patternFill patternType="solid">
        <fgColor rgb="FFD9E5F5"/>
      </patternFill>
    </fill>
    <fill>
      <patternFill patternType="solid">
        <fgColor rgb="FFE6DFF1"/>
      </patternFill>
    </fill>
    <fill>
      <patternFill patternType="solid">
        <fgColor rgb="FF194456"/>
      </patternFill>
    </fill>
    <fill>
      <patternFill patternType="solid">
        <fgColor rgb="FFEAF2F4"/>
      </patternFill>
    </fill>
    <fill>
      <patternFill patternType="solid">
        <fgColor rgb="FFE5DAD0"/>
      </patternFill>
    </fill>
    <fill>
      <patternFill patternType="solid">
        <fgColor rgb="FFF9E5CE"/>
      </patternFill>
    </fill>
    <fill>
      <patternFill patternType="solid">
        <fgColor rgb="FFD8E9DE"/>
      </patternFill>
    </fill>
    <fill>
      <patternFill patternType="solid">
        <fgColor rgb="FFD1DFF3"/>
      </patternFill>
    </fill>
    <fill>
      <patternFill patternType="solid">
        <fgColor rgb="FFE0D8EE"/>
      </patternFill>
    </fill>
    <fill>
      <patternFill patternType="solid">
        <fgColor rgb="FFE7F1F4"/>
      </patternFill>
    </fill>
    <fill>
      <patternFill patternType="solid">
        <fgColor rgb="FFE8F4EC"/>
      </patternFill>
    </fill>
    <fill>
      <patternFill patternType="solid">
        <fgColor rgb="FFFFF2D7"/>
      </patternFill>
    </fill>
    <fill>
      <patternFill patternType="solid">
        <fgColor rgb="FFFCE7E4"/>
      </patternFill>
    </fill>
    <fill>
      <patternFill patternType="solid">
        <fgColor rgb="FF8B5A2B"/>
      </patternFill>
    </fill>
    <fill>
      <patternFill patternType="solid">
        <fgColor rgb="FFE58A24"/>
      </patternFill>
    </fill>
    <fill>
      <patternFill patternType="solid">
        <fgColor rgb="FF4F9D69"/>
      </patternFill>
    </fill>
    <fill>
      <patternFill patternType="solid">
        <fgColor rgb="FF2E70C9"/>
      </patternFill>
    </fill>
    <fill>
      <patternFill patternType="solid">
        <fgColor rgb="FF7652B5"/>
      </patternFill>
    </fill>
    <fill>
      <patternFill patternType="solid">
        <fgColor rgb="FFEBE2DA"/>
      </patternFill>
    </fill>
    <fill>
      <patternFill patternType="solid">
        <fgColor rgb="FF0A4D5A"/>
      </patternFill>
    </fill>
    <fill>
      <patternFill patternType="solid">
        <fgColor rgb="FF0C5A68"/>
      </patternFill>
    </fill>
    <fill>
      <patternFill patternType="solid">
        <fgColor rgb="FF986D44"/>
      </patternFill>
    </fill>
    <fill>
      <patternFill patternType="solid">
        <fgColor rgb="FFA6815D"/>
      </patternFill>
    </fill>
    <fill>
      <patternFill patternType="solid">
        <fgColor rgb="FFB49577"/>
      </patternFill>
    </fill>
    <fill>
      <patternFill patternType="solid">
        <fgColor rgb="FFBFA48A"/>
      </patternFill>
    </fill>
    <fill>
      <patternFill patternType="solid">
        <fgColor rgb="FFFAEBD9"/>
      </patternFill>
    </fill>
    <fill>
      <patternFill patternType="solid">
        <fgColor rgb="FF667A62"/>
      </patternFill>
    </fill>
    <fill>
      <patternFill patternType="solid">
        <fgColor rgb="FF444C53"/>
      </patternFill>
    </fill>
    <fill>
      <patternFill patternType="solid">
        <fgColor rgb="FFE8983E"/>
      </patternFill>
    </fill>
    <fill>
      <patternFill patternType="solid">
        <fgColor rgb="FFEBA658"/>
      </patternFill>
    </fill>
    <fill>
      <patternFill patternType="solid">
        <fgColor rgb="FFEEB472"/>
      </patternFill>
    </fill>
    <fill>
      <patternFill patternType="solid">
        <fgColor rgb="FFF0BE86"/>
      </patternFill>
    </fill>
    <fill>
      <patternFill patternType="solid">
        <fgColor rgb="FFE1EEE5"/>
      </patternFill>
    </fill>
    <fill>
      <patternFill patternType="solid">
        <fgColor rgb="FF617664"/>
      </patternFill>
    </fill>
    <fill>
      <patternFill patternType="solid">
        <fgColor rgb="FF59616A"/>
      </patternFill>
    </fill>
    <fill>
      <patternFill patternType="solid">
        <fgColor rgb="FF3F714E"/>
      </patternFill>
    </fill>
    <fill>
      <patternFill patternType="solid">
        <fgColor rgb="FF64A87B"/>
      </patternFill>
    </fill>
    <fill>
      <patternFill patternType="solid">
        <fgColor rgb="FF79B48D"/>
      </patternFill>
    </fill>
    <fill>
      <patternFill patternType="solid">
        <fgColor rgb="FF8EC09F"/>
      </patternFill>
    </fill>
    <fill>
      <patternFill patternType="solid">
        <fgColor rgb="FFDBE6F5"/>
      </patternFill>
    </fill>
    <fill>
      <patternFill patternType="solid">
        <fgColor rgb="FF3E4651"/>
      </patternFill>
    </fill>
    <fill>
      <patternFill patternType="solid">
        <fgColor rgb="FF35404D"/>
      </patternFill>
    </fill>
    <fill>
      <patternFill patternType="solid">
        <fgColor rgb="FF4781CF"/>
      </patternFill>
    </fill>
    <fill>
      <patternFill patternType="solid">
        <fgColor rgb="FF6092D5"/>
      </patternFill>
    </fill>
    <fill>
      <patternFill patternType="solid">
        <fgColor rgb="FF79A3DC"/>
      </patternFill>
    </fill>
    <fill>
      <patternFill patternType="solid">
        <fgColor rgb="FF8CB0E1"/>
      </patternFill>
    </fill>
    <fill>
      <patternFill patternType="solid">
        <fgColor rgb="FFE7E1F2"/>
      </patternFill>
    </fill>
    <fill>
      <patternFill patternType="solid">
        <fgColor rgb="FF201B2C"/>
      </patternFill>
    </fill>
    <fill>
      <patternFill patternType="solid">
        <fgColor rgb="FF302B3E"/>
      </patternFill>
    </fill>
    <fill>
      <patternFill patternType="solid">
        <fgColor rgb="FF8666BD"/>
      </patternFill>
    </fill>
    <fill>
      <patternFill patternType="solid">
        <fgColor rgb="FF967BC6"/>
      </patternFill>
    </fill>
    <fill>
      <patternFill patternType="solid">
        <fgColor rgb="FFA790CF"/>
      </patternFill>
    </fill>
    <fill>
      <patternFill patternType="solid">
        <fgColor rgb="FFB39FD6"/>
      </patternFill>
    </fill>
    <fill>
      <patternFill patternType="solid">
        <fgColor rgb="FF102F3D"/>
      </patternFill>
    </fill>
    <fill>
      <patternFill patternType="solid">
        <fgColor rgb="FFE5EFF2"/>
      </patternFill>
    </fill>
    <fill>
      <patternFill patternType="solid">
        <fgColor rgb="FFFFF2D7"/>
      </patternFill>
    </fill>
    <fill>
      <patternFill patternType="solid">
        <fgColor rgb="FFF5F8F9"/>
      </patternFill>
    </fill>
    <fill>
      <patternFill patternType="solid">
        <fgColor rgb="FF194456"/>
      </patternFill>
    </fill>
    <fill>
      <patternFill patternType="solid">
        <fgColor rgb="FFEFE7DE"/>
      </patternFill>
    </fill>
    <fill>
      <patternFill patternType="solid">
        <fgColor rgb="FFF7FAFB"/>
      </patternFill>
    </fill>
    <fill>
      <patternFill patternType="solid">
        <fgColor rgb="FFE2EFE7"/>
      </patternFill>
    </fill>
    <fill>
      <patternFill patternType="solid">
        <fgColor rgb="FFE9E3F3"/>
      </patternFill>
    </fill>
    <fill>
      <patternFill patternType="solid">
        <fgColor rgb="FFDCEBEF"/>
      </patternFill>
    </fill>
    <fill>
      <patternFill patternType="solid">
        <fgColor rgb="FFEAF2F4"/>
      </patternFill>
    </fill>
    <fill>
      <patternFill patternType="solid">
        <fgColor rgb="FF9C6A35"/>
      </patternFill>
    </fill>
    <fill>
      <patternFill patternType="solid">
        <fgColor rgb="FFE58A24"/>
      </patternFill>
    </fill>
    <fill>
      <patternFill patternType="solid">
        <fgColor rgb="FF4F9D69"/>
      </patternFill>
    </fill>
    <fill>
      <patternFill patternType="solid">
        <fgColor rgb="FF2E70C9"/>
      </patternFill>
    </fill>
    <fill>
      <patternFill patternType="solid">
        <fgColor rgb="FF7652B5"/>
      </patternFill>
    </fill>
    <fill>
      <patternFill patternType="solid">
        <fgColor rgb="FF173442"/>
      </patternFill>
    </fill>
    <fill>
      <patternFill patternType="solid">
        <fgColor rgb="FF194456"/>
      </patternFill>
    </fill>
    <fill>
      <patternFill patternType="solid">
        <fgColor rgb="FFB48F67"/>
      </patternFill>
    </fill>
    <fill>
      <patternFill patternType="solid">
        <fgColor rgb="FFEBA75A"/>
      </patternFill>
    </fill>
    <fill>
      <patternFill patternType="solid">
        <fgColor rgb="FF7BB58E"/>
      </patternFill>
    </fill>
    <fill>
      <patternFill patternType="solid">
        <fgColor rgb="FF6293D6"/>
      </patternFill>
    </fill>
    <fill>
      <patternFill patternType="solid">
        <fgColor rgb="FF987DC7"/>
      </patternFill>
    </fill>
    <fill>
      <patternFill patternType="solid">
        <fgColor rgb="FF123543"/>
      </patternFill>
    </fill>
    <fill>
      <patternFill patternType="solid">
        <fgColor rgb="FFDCE9ED"/>
      </patternFill>
    </fill>
    <fill>
      <patternFill patternType="solid">
        <fgColor rgb="FF174A59"/>
      </patternFill>
    </fill>
    <fill>
      <patternFill patternType="solid">
        <fgColor rgb="FFF3BE3E"/>
      </patternFill>
    </fill>
    <fill>
      <patternFill patternType="solid">
        <fgColor rgb="FFEEF4F5"/>
      </patternFill>
    </fill>
    <fill>
      <patternFill patternType="solid">
        <fgColor rgb="FF365965"/>
      </patternFill>
    </fill>
    <fill>
      <patternFill patternType="solid">
        <fgColor rgb="FFF6F9FA"/>
      </patternFill>
    </fill>
    <fill>
      <patternFill patternType="solid">
        <fgColor rgb="FFE8F0F3"/>
      </patternFill>
    </fill>
    <fill>
      <patternFill patternType="solid">
        <fgColor rgb="FFFFF1D5"/>
      </patternFill>
    </fill>
    <fill>
      <patternFill patternType="solid">
        <fgColor rgb="FFD94B4B"/>
      </patternFill>
    </fill>
    <fill>
      <patternFill patternType="solid">
        <fgColor rgb="FF2878D0"/>
      </patternFill>
    </fill>
    <fill>
      <patternFill patternType="solid">
        <fgColor rgb="FF3F9B61"/>
      </patternFill>
    </fill>
    <fill>
      <patternFill patternType="solid">
        <fgColor rgb="FFE89524"/>
      </patternFill>
    </fill>
    <fill>
      <patternFill patternType="solid">
        <fgColor rgb="FF8254B5"/>
      </patternFill>
    </fill>
    <fill>
      <patternFill patternType="solid">
        <fgColor rgb="FF34383D"/>
      </patternFill>
    </fill>
    <fill>
      <patternFill patternType="solid">
        <fgColor rgb="FF6E9448"/>
      </patternFill>
    </fill>
    <fill>
      <patternFill patternType="solid">
        <fgColor rgb="FF2F7382"/>
      </patternFill>
    </fill>
    <fill>
      <patternFill patternType="solid">
        <fgColor rgb="FF65A765"/>
      </patternFill>
    </fill>
    <fill>
      <patternFill patternType="solid">
        <fgColor rgb="FFE3EEF1"/>
      </patternFill>
    </fill>
    <fill>
      <patternFill patternType="solid">
        <fgColor rgb="FF173442"/>
      </patternFill>
    </fill>
    <fill>
      <patternFill patternType="solid">
        <fgColor rgb="FF102F3D"/>
      </patternFill>
    </fill>
    <fill>
      <patternFill patternType="solid">
        <fgColor rgb="FFE5EFF2"/>
      </patternFill>
    </fill>
    <fill>
      <patternFill patternType="solid">
        <fgColor rgb="FFF4F8F9"/>
      </patternFill>
    </fill>
    <fill>
      <patternFill patternType="solid">
        <fgColor rgb="FF194456"/>
      </patternFill>
    </fill>
    <fill>
      <patternFill patternType="solid">
        <fgColor rgb="FFF7FAFB"/>
      </patternFill>
    </fill>
    <fill>
      <patternFill patternType="solid">
        <fgColor rgb="FFEAF1F3"/>
      </patternFill>
    </fill>
    <fill>
      <patternFill patternType="solid">
        <fgColor rgb="FFF4E4CA"/>
      </patternFill>
    </fill>
    <fill>
      <patternFill patternType="solid">
        <fgColor rgb="FF143944"/>
      </patternFill>
    </fill>
    <fill>
      <patternFill patternType="solid">
        <fgColor rgb="FF65A765"/>
      </patternFill>
    </fill>
    <fill>
      <patternFill patternType="solid">
        <fgColor rgb="FFD94B4B"/>
      </patternFill>
    </fill>
    <fill>
      <patternFill patternType="solid">
        <fgColor rgb="FF7A58A6"/>
      </patternFill>
    </fill>
    <fill>
      <patternFill patternType="solid">
        <fgColor rgb="FF3B91A8"/>
      </patternFill>
    </fill>
    <fill>
      <patternFill patternType="solid">
        <fgColor rgb="FFD7B94D"/>
      </patternFill>
    </fill>
    <fill>
      <patternFill patternType="solid">
        <fgColor rgb="FFD89B31"/>
      </patternFill>
    </fill>
    <fill>
      <patternFill patternType="solid">
        <fgColor rgb="FF65849A"/>
      </patternFill>
    </fill>
    <fill>
      <patternFill patternType="solid">
        <fgColor rgb="FFF9EBCB"/>
      </patternFill>
    </fill>
  </fills>
  <borders count="51">
    <border>
      <left/>
      <right/>
      <top/>
      <bottom/>
      <diagonal/>
    </border>
    <border>
      <left style="medium">
        <color rgb="FF8B5A2B"/>
      </left>
      <right style="medium">
        <color rgb="FF8B5A2B"/>
      </right>
      <top style="medium">
        <color rgb="FF8B5A2B"/>
      </top>
      <bottom/>
      <diagonal/>
    </border>
    <border>
      <left style="medium">
        <color rgb="FF8B5A2B"/>
      </left>
      <right style="medium">
        <color rgb="FF8B5A2B"/>
      </right>
      <top/>
      <bottom style="medium">
        <color rgb="FF8B5A2B"/>
      </bottom>
      <diagonal/>
    </border>
    <border>
      <left style="medium">
        <color rgb="FFE58A24"/>
      </left>
      <right style="medium">
        <color rgb="FFE58A24"/>
      </right>
      <top style="medium">
        <color rgb="FFE58A24"/>
      </top>
      <bottom/>
      <diagonal/>
    </border>
    <border>
      <left style="medium">
        <color rgb="FFE58A24"/>
      </left>
      <right style="medium">
        <color rgb="FFE58A24"/>
      </right>
      <top/>
      <bottom style="medium">
        <color rgb="FFE58A24"/>
      </bottom>
      <diagonal/>
    </border>
    <border>
      <left style="medium">
        <color rgb="FF2E70C9"/>
      </left>
      <right style="medium">
        <color rgb="FF2E70C9"/>
      </right>
      <top style="medium">
        <color rgb="FF2E70C9"/>
      </top>
      <bottom/>
      <diagonal/>
    </border>
    <border>
      <left style="medium">
        <color rgb="FF2E70C9"/>
      </left>
      <right style="medium">
        <color rgb="FF2E70C9"/>
      </right>
      <top/>
      <bottom style="medium">
        <color rgb="FF2E70C9"/>
      </bottom>
      <diagonal/>
    </border>
    <border>
      <left style="medium">
        <color rgb="FF7652B5"/>
      </left>
      <right style="medium">
        <color rgb="FF7652B5"/>
      </right>
      <top style="medium">
        <color rgb="FF7652B5"/>
      </top>
      <bottom/>
      <diagonal/>
    </border>
    <border>
      <left style="medium">
        <color rgb="FF7652B5"/>
      </left>
      <right style="medium">
        <color rgb="FF7652B5"/>
      </right>
      <top/>
      <bottom style="medium">
        <color rgb="FF7652B5"/>
      </bottom>
      <diagonal/>
    </border>
    <border>
      <left/>
      <right/>
      <top/>
      <bottom style="medium">
        <color rgb="FF102F3D"/>
      </bottom>
      <diagonal/>
    </border>
    <border>
      <left style="thin">
        <color rgb="FF78909A"/>
      </left>
      <right style="thin">
        <color rgb="FF78909A"/>
      </right>
      <top style="thin">
        <color rgb="FF78909A"/>
      </top>
      <bottom style="thin">
        <color rgb="FF78909A"/>
      </bottom>
      <diagonal/>
    </border>
    <border>
      <left/>
      <right/>
      <top style="medium">
        <color rgb="FF7652B5"/>
      </top>
      <bottom/>
      <diagonal/>
    </border>
    <border>
      <left/>
      <right style="medium">
        <color rgb="FF7652B5"/>
      </right>
      <top style="medium">
        <color rgb="FF7652B5"/>
      </top>
      <bottom/>
      <diagonal/>
    </border>
    <border>
      <left/>
      <right/>
      <top/>
      <bottom style="medium">
        <color rgb="FF7652B5"/>
      </bottom>
      <diagonal/>
    </border>
    <border>
      <left/>
      <right style="medium">
        <color rgb="FF7652B5"/>
      </right>
      <top/>
      <bottom style="medium">
        <color rgb="FF7652B5"/>
      </bottom>
      <diagonal/>
    </border>
    <border>
      <left/>
      <right/>
      <top style="medium">
        <color rgb="FFE58A24"/>
      </top>
      <bottom/>
      <diagonal/>
    </border>
    <border>
      <left/>
      <right style="medium">
        <color rgb="FFE58A24"/>
      </right>
      <top style="medium">
        <color rgb="FFE58A24"/>
      </top>
      <bottom/>
      <diagonal/>
    </border>
    <border>
      <left/>
      <right/>
      <top/>
      <bottom style="medium">
        <color rgb="FF8B5A2B"/>
      </bottom>
      <diagonal/>
    </border>
    <border>
      <left/>
      <right style="medium">
        <color rgb="FF8B5A2B"/>
      </right>
      <top/>
      <bottom style="medium">
        <color rgb="FF8B5A2B"/>
      </bottom>
      <diagonal/>
    </border>
    <border>
      <left/>
      <right/>
      <top/>
      <bottom style="medium">
        <color rgb="FF2E70C9"/>
      </bottom>
      <diagonal/>
    </border>
    <border>
      <left/>
      <right style="medium">
        <color rgb="FF2E70C9"/>
      </right>
      <top/>
      <bottom style="medium">
        <color rgb="FF2E70C9"/>
      </bottom>
      <diagonal/>
    </border>
    <border>
      <left/>
      <right/>
      <top style="medium">
        <color rgb="FF8B5A2B"/>
      </top>
      <bottom/>
      <diagonal/>
    </border>
    <border>
      <left/>
      <right style="medium">
        <color rgb="FF8B5A2B"/>
      </right>
      <top style="medium">
        <color rgb="FF8B5A2B"/>
      </top>
      <bottom/>
      <diagonal/>
    </border>
    <border>
      <left/>
      <right/>
      <top style="medium">
        <color rgb="FF2E70C9"/>
      </top>
      <bottom/>
      <diagonal/>
    </border>
    <border>
      <left/>
      <right style="medium">
        <color rgb="FF2E70C9"/>
      </right>
      <top style="medium">
        <color rgb="FF2E70C9"/>
      </top>
      <bottom/>
      <diagonal/>
    </border>
    <border>
      <left/>
      <right/>
      <top/>
      <bottom style="medium">
        <color rgb="FFE58A24"/>
      </bottom>
      <diagonal/>
    </border>
    <border>
      <left/>
      <right style="medium">
        <color rgb="FFE58A24"/>
      </right>
      <top/>
      <bottom style="medium">
        <color rgb="FFE58A24"/>
      </bottom>
      <diagonal/>
    </border>
    <border>
      <left style="hair">
        <color rgb="FF355866"/>
      </left>
      <right style="hair">
        <color rgb="FF355866"/>
      </right>
      <top style="hair">
        <color rgb="FF355866"/>
      </top>
      <bottom style="hair">
        <color rgb="FF355866"/>
      </bottom>
      <diagonal/>
    </border>
    <border>
      <left/>
      <right/>
      <top style="hair">
        <color rgb="FF355866"/>
      </top>
      <bottom/>
      <diagonal/>
    </border>
    <border>
      <left/>
      <right style="hair">
        <color rgb="FF355866"/>
      </right>
      <top style="hair">
        <color rgb="FF355866"/>
      </top>
      <bottom/>
      <diagonal/>
    </border>
    <border>
      <left style="hair">
        <color rgb="FF355866"/>
      </left>
      <right/>
      <top/>
      <bottom style="hair">
        <color rgb="FF355866"/>
      </bottom>
      <diagonal/>
    </border>
    <border>
      <left/>
      <right/>
      <top/>
      <bottom style="hair">
        <color rgb="FF355866"/>
      </bottom>
      <diagonal/>
    </border>
    <border>
      <left/>
      <right style="hair">
        <color rgb="FF355866"/>
      </right>
      <top/>
      <bottom style="hair">
        <color rgb="FF355866"/>
      </bottom>
      <diagonal/>
    </border>
    <border>
      <left/>
      <right/>
      <top/>
      <bottom/>
      <diagonal/>
    </border>
    <border>
      <left style="hair">
        <color rgb="FF70767C"/>
      </left>
      <right style="hair">
        <color rgb="FF70767C"/>
      </right>
      <top style="hair">
        <color rgb="FF70767C"/>
      </top>
      <bottom style="hair">
        <color rgb="FF70767C"/>
      </bottom>
      <diagonal/>
    </border>
    <border>
      <left style="medium">
        <color rgb="FFD9EEF4"/>
      </left>
      <right style="medium">
        <color rgb="FFD9EEF4"/>
      </right>
      <top style="medium">
        <color rgb="FFD9EEF4"/>
      </top>
      <bottom style="medium">
        <color rgb="FFD9EEF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hair">
        <color rgb="FF355866"/>
      </left>
      <right style="hair">
        <color rgb="FF355866"/>
      </right>
      <top style="hair">
        <color rgb="FF355866"/>
      </top>
      <bottom style="hair">
        <color rgb="FF355866"/>
      </bottom>
      <diagonal/>
    </border>
    <border>
      <left/>
      <right/>
      <top/>
      <bottom/>
      <diagonal/>
    </border>
    <border>
      <left style="medium">
        <color rgb="FF65A765"/>
      </left>
      <right style="thin">
        <color rgb="FFC7D7DC"/>
      </right>
      <top style="thin">
        <color rgb="FFC7D7DC"/>
      </top>
      <bottom style="thin">
        <color rgb="FFC7D7DC"/>
      </bottom>
      <diagonal/>
    </border>
    <border>
      <left style="thin">
        <color rgb="FFC7D7DC"/>
      </left>
      <right style="thin">
        <color rgb="FFC7D7DC"/>
      </right>
      <top style="thin">
        <color rgb="FFC7D7DC"/>
      </top>
      <bottom style="thin">
        <color rgb="FFC7D7DC"/>
      </bottom>
      <diagonal/>
    </border>
    <border>
      <left style="medium">
        <color rgb="FFD94B4B"/>
      </left>
      <right style="thin">
        <color rgb="FFC7D7DC"/>
      </right>
      <top style="thin">
        <color rgb="FFC7D7DC"/>
      </top>
      <bottom style="thin">
        <color rgb="FFC7D7DC"/>
      </bottom>
      <diagonal/>
    </border>
    <border>
      <left style="medium">
        <color rgb="FFD89B31"/>
      </left>
      <right style="thin">
        <color rgb="FFC7D7DC"/>
      </right>
      <top style="thin">
        <color rgb="FFC7D7DC"/>
      </top>
      <bottom style="thin">
        <color rgb="FFC7D7DC"/>
      </bottom>
      <diagonal/>
    </border>
    <border>
      <left style="medium">
        <color rgb="FF3B91A8"/>
      </left>
      <right style="thin">
        <color rgb="FFC7D7DC"/>
      </right>
      <top style="thin">
        <color rgb="FFC7D7DC"/>
      </top>
      <bottom style="thin">
        <color rgb="FFC7D7DC"/>
      </bottom>
      <diagonal/>
    </border>
    <border>
      <left style="medium">
        <color rgb="FF7A58A6"/>
      </left>
      <right style="thin">
        <color rgb="FFC7D7DC"/>
      </right>
      <top style="thin">
        <color rgb="FFC7D7DC"/>
      </top>
      <bottom style="thin">
        <color rgb="FFC7D7DC"/>
      </bottom>
      <diagonal/>
    </border>
    <border>
      <left/>
      <right/>
      <top/>
      <bottom style="medium">
        <color rgb="FF102F3D"/>
      </bottom>
      <diagonal/>
    </border>
    <border>
      <left/>
      <right/>
      <top/>
      <bottom style="thin">
        <color rgb="FFC7D7DC"/>
      </bottom>
      <diagonal/>
    </border>
    <border>
      <left/>
      <right/>
      <top style="medium">
        <color rgb="FFD89B31"/>
      </top>
      <bottom style="medium">
        <color rgb="FFD89B31"/>
      </bottom>
      <diagonal/>
    </border>
    <border>
      <left style="hair">
        <color rgb="FF2C5360"/>
      </left>
      <right style="hair">
        <color rgb="FF2C5360"/>
      </right>
      <top style="hair">
        <color rgb="FF2C5360"/>
      </top>
      <bottom style="hair">
        <color rgb="FF2C536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33"/>
  </cellStyleXfs>
  <cellXfs count="311">
    <xf numFmtId="0" fontId="0" fillId="0" borderId="0" xfId="0" applyBorder="1"/>
    <xf numFmtId="0" fontId="15" fillId="8" borderId="9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6" fillId="10" borderId="0" xfId="0" applyFont="1" applyFill="1" applyBorder="1" applyAlignment="1">
      <alignment horizontal="left" vertical="center" wrapText="1"/>
    </xf>
    <xf numFmtId="1" fontId="14" fillId="0" borderId="0" xfId="0" applyNumberFormat="1" applyFont="1" applyBorder="1" applyAlignment="1">
      <alignment horizontal="center" vertical="center" wrapText="1"/>
    </xf>
    <xf numFmtId="176" fontId="14" fillId="0" borderId="0" xfId="0" applyNumberFormat="1" applyFont="1" applyBorder="1" applyAlignment="1">
      <alignment horizontal="center" vertical="center" wrapText="1"/>
    </xf>
    <xf numFmtId="0" fontId="14" fillId="0" borderId="0" xfId="0" applyFont="1" applyBorder="1" applyAlignment="1">
      <alignment horizontal="left" vertical="center" wrapText="1"/>
    </xf>
    <xf numFmtId="0" fontId="17" fillId="11" borderId="0" xfId="0" applyFont="1" applyFill="1" applyBorder="1" applyAlignment="1">
      <alignment horizontal="left" vertical="center" wrapText="1"/>
    </xf>
    <xf numFmtId="0" fontId="18" fillId="12" borderId="0" xfId="0" applyFont="1" applyFill="1" applyBorder="1" applyAlignment="1">
      <alignment horizontal="left" vertical="center" wrapText="1"/>
    </xf>
    <xf numFmtId="0" fontId="19" fillId="13" borderId="0" xfId="0" applyFont="1" applyFill="1" applyBorder="1" applyAlignment="1">
      <alignment horizontal="left" vertical="center" wrapText="1"/>
    </xf>
    <xf numFmtId="0" fontId="20" fillId="14" borderId="0" xfId="0" applyFont="1" applyFill="1" applyBorder="1" applyAlignment="1">
      <alignment horizontal="left" vertical="center" wrapText="1"/>
    </xf>
    <xf numFmtId="0" fontId="15" fillId="19" borderId="0" xfId="0" applyFont="1" applyFill="1" applyBorder="1" applyAlignment="1">
      <alignment horizontal="center" vertical="center" wrapText="1"/>
    </xf>
    <xf numFmtId="0" fontId="28" fillId="25" borderId="10" xfId="0" applyFont="1" applyFill="1" applyBorder="1" applyAlignment="1">
      <alignment horizontal="center" vertical="center" wrapText="1"/>
    </xf>
    <xf numFmtId="0" fontId="28" fillId="26" borderId="10" xfId="0" applyFont="1" applyFill="1" applyBorder="1" applyAlignment="1">
      <alignment horizontal="center" vertical="center" wrapText="1"/>
    </xf>
    <xf numFmtId="176" fontId="32" fillId="0" borderId="0" xfId="0" applyNumberFormat="1" applyFont="1" applyBorder="1" applyAlignment="1">
      <alignment horizontal="center" vertical="center" wrapText="1"/>
    </xf>
    <xf numFmtId="0" fontId="32" fillId="0" borderId="0" xfId="0" applyFont="1" applyBorder="1" applyAlignment="1">
      <alignment horizontal="center" vertical="center" wrapText="1"/>
    </xf>
    <xf numFmtId="0" fontId="32" fillId="0" borderId="0" xfId="0" applyFont="1" applyBorder="1" applyAlignment="1">
      <alignment horizontal="left" vertical="center" wrapText="1"/>
    </xf>
    <xf numFmtId="0" fontId="15" fillId="27" borderId="0" xfId="0" applyFont="1" applyFill="1" applyBorder="1" applyAlignment="1">
      <alignment horizontal="center" vertical="center" wrapText="1"/>
    </xf>
    <xf numFmtId="0" fontId="15" fillId="28" borderId="0" xfId="0" applyFont="1" applyFill="1" applyBorder="1" applyAlignment="1">
      <alignment horizontal="center" vertical="center" wrapText="1"/>
    </xf>
    <xf numFmtId="0" fontId="15" fillId="29" borderId="0" xfId="0" applyFont="1" applyFill="1" applyBorder="1" applyAlignment="1">
      <alignment horizontal="center" vertical="center" wrapText="1"/>
    </xf>
    <xf numFmtId="0" fontId="15" fillId="30" borderId="0" xfId="0" applyFont="1" applyFill="1" applyBorder="1" applyAlignment="1">
      <alignment horizontal="center" vertical="center" wrapText="1"/>
    </xf>
    <xf numFmtId="0" fontId="16" fillId="24" borderId="0" xfId="0" applyFont="1" applyFill="1" applyBorder="1" applyAlignment="1">
      <alignment vertical="center" wrapText="1"/>
    </xf>
    <xf numFmtId="0" fontId="15" fillId="20" borderId="0" xfId="0" applyFont="1" applyFill="1" applyBorder="1" applyAlignment="1">
      <alignment horizontal="center" vertical="center" wrapText="1"/>
    </xf>
    <xf numFmtId="0" fontId="28" fillId="32" borderId="10" xfId="0" applyFont="1" applyFill="1" applyBorder="1" applyAlignment="1">
      <alignment horizontal="center" vertical="center" wrapText="1"/>
    </xf>
    <xf numFmtId="0" fontId="28" fillId="33" borderId="10" xfId="0" applyFont="1" applyFill="1" applyBorder="1" applyAlignment="1">
      <alignment horizontal="center" vertical="center" wrapText="1"/>
    </xf>
    <xf numFmtId="0" fontId="15" fillId="34" borderId="0" xfId="0" applyFont="1" applyFill="1" applyBorder="1" applyAlignment="1">
      <alignment horizontal="center" vertical="center" wrapText="1"/>
    </xf>
    <xf numFmtId="0" fontId="15" fillId="35" borderId="0" xfId="0" applyFont="1" applyFill="1" applyBorder="1" applyAlignment="1">
      <alignment horizontal="center" vertical="center" wrapText="1"/>
    </xf>
    <xf numFmtId="0" fontId="15" fillId="36" borderId="0" xfId="0" applyFont="1" applyFill="1" applyBorder="1" applyAlignment="1">
      <alignment horizontal="center" vertical="center" wrapText="1"/>
    </xf>
    <xf numFmtId="0" fontId="15" fillId="37" borderId="0" xfId="0" applyFont="1" applyFill="1" applyBorder="1" applyAlignment="1">
      <alignment horizontal="center" vertical="center" wrapText="1"/>
    </xf>
    <xf numFmtId="0" fontId="17" fillId="31" borderId="0" xfId="0" applyFont="1" applyFill="1" applyBorder="1" applyAlignment="1">
      <alignment vertical="center" wrapText="1"/>
    </xf>
    <xf numFmtId="0" fontId="15" fillId="21" borderId="0" xfId="0" applyFont="1" applyFill="1" applyBorder="1" applyAlignment="1">
      <alignment horizontal="center" vertical="center" wrapText="1"/>
    </xf>
    <xf numFmtId="0" fontId="28" fillId="39" borderId="10" xfId="0" applyFont="1" applyFill="1" applyBorder="1" applyAlignment="1">
      <alignment horizontal="center" vertical="center" wrapText="1"/>
    </xf>
    <xf numFmtId="0" fontId="28" fillId="40" borderId="10" xfId="0" applyFont="1" applyFill="1" applyBorder="1" applyAlignment="1">
      <alignment horizontal="center" vertical="center" wrapText="1"/>
    </xf>
    <xf numFmtId="0" fontId="28" fillId="41" borderId="10" xfId="0" applyFont="1" applyFill="1" applyBorder="1" applyAlignment="1">
      <alignment horizontal="center" vertical="center" wrapText="1"/>
    </xf>
    <xf numFmtId="0" fontId="15" fillId="42" borderId="0" xfId="0" applyFont="1" applyFill="1" applyBorder="1" applyAlignment="1">
      <alignment horizontal="center" vertical="center" wrapText="1"/>
    </xf>
    <xf numFmtId="0" fontId="15" fillId="43" borderId="0" xfId="0" applyFont="1" applyFill="1" applyBorder="1" applyAlignment="1">
      <alignment horizontal="center" vertical="center" wrapText="1"/>
    </xf>
    <xf numFmtId="0" fontId="15" fillId="44" borderId="0" xfId="0" applyFont="1" applyFill="1" applyBorder="1" applyAlignment="1">
      <alignment horizontal="center" vertical="center" wrapText="1"/>
    </xf>
    <xf numFmtId="0" fontId="18" fillId="38" borderId="0" xfId="0" applyFont="1" applyFill="1" applyBorder="1" applyAlignment="1">
      <alignment vertical="center" wrapText="1"/>
    </xf>
    <xf numFmtId="0" fontId="15" fillId="22" borderId="0" xfId="0" applyFont="1" applyFill="1" applyBorder="1" applyAlignment="1">
      <alignment horizontal="center" vertical="center" wrapText="1"/>
    </xf>
    <xf numFmtId="0" fontId="28" fillId="46" borderId="10" xfId="0" applyFont="1" applyFill="1" applyBorder="1" applyAlignment="1">
      <alignment horizontal="center" vertical="center" wrapText="1"/>
    </xf>
    <xf numFmtId="0" fontId="28" fillId="47" borderId="10" xfId="0" applyFont="1" applyFill="1" applyBorder="1" applyAlignment="1">
      <alignment horizontal="center" vertical="center" wrapText="1"/>
    </xf>
    <xf numFmtId="0" fontId="15" fillId="48" borderId="0" xfId="0" applyFont="1" applyFill="1" applyBorder="1" applyAlignment="1">
      <alignment horizontal="center" vertical="center" wrapText="1"/>
    </xf>
    <xf numFmtId="0" fontId="15" fillId="49" borderId="0" xfId="0" applyFont="1" applyFill="1" applyBorder="1" applyAlignment="1">
      <alignment horizontal="center" vertical="center" wrapText="1"/>
    </xf>
    <xf numFmtId="0" fontId="15" fillId="50" borderId="0" xfId="0" applyFont="1" applyFill="1" applyBorder="1" applyAlignment="1">
      <alignment horizontal="center" vertical="center" wrapText="1"/>
    </xf>
    <xf numFmtId="0" fontId="15" fillId="51" borderId="0" xfId="0" applyFont="1" applyFill="1" applyBorder="1" applyAlignment="1">
      <alignment horizontal="center" vertical="center" wrapText="1"/>
    </xf>
    <xf numFmtId="0" fontId="19" fillId="45" borderId="0" xfId="0" applyFont="1" applyFill="1" applyBorder="1" applyAlignment="1">
      <alignment vertical="center" wrapText="1"/>
    </xf>
    <xf numFmtId="0" fontId="15" fillId="23" borderId="0" xfId="0" applyFont="1" applyFill="1" applyBorder="1" applyAlignment="1">
      <alignment horizontal="center" vertical="center" wrapText="1"/>
    </xf>
    <xf numFmtId="0" fontId="28" fillId="53" borderId="10" xfId="0" applyFont="1" applyFill="1" applyBorder="1" applyAlignment="1">
      <alignment horizontal="center" vertical="center" wrapText="1"/>
    </xf>
    <xf numFmtId="0" fontId="28" fillId="54" borderId="10" xfId="0" applyFont="1" applyFill="1" applyBorder="1" applyAlignment="1">
      <alignment horizontal="center" vertical="center" wrapText="1"/>
    </xf>
    <xf numFmtId="0" fontId="15" fillId="55" borderId="0" xfId="0" applyFont="1" applyFill="1" applyBorder="1" applyAlignment="1">
      <alignment horizontal="center" vertical="center" wrapText="1"/>
    </xf>
    <xf numFmtId="0" fontId="15" fillId="56" borderId="0" xfId="0" applyFont="1" applyFill="1" applyBorder="1" applyAlignment="1">
      <alignment horizontal="center" vertical="center" wrapText="1"/>
    </xf>
    <xf numFmtId="0" fontId="15" fillId="57" borderId="0" xfId="0" applyFont="1" applyFill="1" applyBorder="1" applyAlignment="1">
      <alignment horizontal="center" vertical="center" wrapText="1"/>
    </xf>
    <xf numFmtId="0" fontId="15" fillId="58" borderId="0" xfId="0" applyFont="1" applyFill="1" applyBorder="1" applyAlignment="1">
      <alignment horizontal="center" vertical="center" wrapText="1"/>
    </xf>
    <xf numFmtId="0" fontId="20" fillId="52" borderId="0" xfId="0" applyFont="1" applyFill="1" applyBorder="1" applyAlignment="1">
      <alignment vertical="center" wrapText="1"/>
    </xf>
    <xf numFmtId="0" fontId="37" fillId="10" borderId="0" xfId="0" applyFont="1" applyFill="1" applyBorder="1" applyAlignment="1">
      <alignment horizontal="center" vertical="center" wrapText="1"/>
    </xf>
    <xf numFmtId="0" fontId="38" fillId="11" borderId="0" xfId="0" applyFont="1" applyFill="1" applyBorder="1" applyAlignment="1">
      <alignment horizontal="center" vertical="center" wrapText="1"/>
    </xf>
    <xf numFmtId="0" fontId="39" fillId="12" borderId="0" xfId="0" applyFont="1" applyFill="1" applyBorder="1" applyAlignment="1">
      <alignment horizontal="center" vertical="center" wrapText="1"/>
    </xf>
    <xf numFmtId="0" fontId="40" fillId="13" borderId="0" xfId="0" applyFont="1" applyFill="1" applyBorder="1" applyAlignment="1">
      <alignment horizontal="center" vertical="center" wrapText="1"/>
    </xf>
    <xf numFmtId="0" fontId="41" fillId="14" borderId="0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vertical="center" wrapText="1"/>
    </xf>
    <xf numFmtId="0" fontId="45" fillId="63" borderId="0" xfId="0" applyFont="1" applyFill="1" applyBorder="1" applyAlignment="1">
      <alignment horizontal="center" vertical="center" wrapText="1"/>
    </xf>
    <xf numFmtId="0" fontId="49" fillId="63" borderId="0" xfId="0" applyFont="1" applyFill="1" applyBorder="1"/>
    <xf numFmtId="0" fontId="0" fillId="63" borderId="0" xfId="0" applyFill="1" applyBorder="1"/>
    <xf numFmtId="0" fontId="51" fillId="64" borderId="0" xfId="0" applyFont="1" applyFill="1" applyBorder="1" applyAlignment="1">
      <alignment horizontal="center" vertical="center"/>
    </xf>
    <xf numFmtId="0" fontId="52" fillId="64" borderId="0" xfId="0" applyFont="1" applyFill="1" applyBorder="1" applyAlignment="1">
      <alignment horizontal="left" vertical="center"/>
    </xf>
    <xf numFmtId="177" fontId="51" fillId="64" borderId="0" xfId="0" applyNumberFormat="1" applyFont="1" applyFill="1" applyBorder="1" applyAlignment="1">
      <alignment horizontal="center" vertical="center"/>
    </xf>
    <xf numFmtId="0" fontId="51" fillId="64" borderId="0" xfId="0" applyFont="1" applyFill="1" applyBorder="1" applyAlignment="1">
      <alignment horizontal="left" vertical="center"/>
    </xf>
    <xf numFmtId="0" fontId="58" fillId="69" borderId="0" xfId="0" applyFont="1" applyFill="1" applyBorder="1" applyAlignment="1">
      <alignment horizontal="left" vertical="center"/>
    </xf>
    <xf numFmtId="0" fontId="51" fillId="69" borderId="0" xfId="0" applyFont="1" applyFill="1" applyBorder="1" applyAlignment="1">
      <alignment horizontal="center" vertical="center"/>
    </xf>
    <xf numFmtId="0" fontId="51" fillId="65" borderId="0" xfId="0" applyFont="1" applyFill="1" applyBorder="1" applyAlignment="1">
      <alignment horizontal="center" vertical="center"/>
    </xf>
    <xf numFmtId="0" fontId="53" fillId="65" borderId="0" xfId="0" applyFont="1" applyFill="1" applyBorder="1" applyAlignment="1">
      <alignment horizontal="left" vertical="center"/>
    </xf>
    <xf numFmtId="177" fontId="51" fillId="65" borderId="0" xfId="0" applyNumberFormat="1" applyFont="1" applyFill="1" applyBorder="1" applyAlignment="1">
      <alignment horizontal="center" vertical="center"/>
    </xf>
    <xf numFmtId="0" fontId="51" fillId="65" borderId="0" xfId="0" applyFont="1" applyFill="1" applyBorder="1" applyAlignment="1">
      <alignment horizontal="left" vertical="center"/>
    </xf>
    <xf numFmtId="0" fontId="58" fillId="65" borderId="0" xfId="0" applyFont="1" applyFill="1" applyBorder="1" applyAlignment="1">
      <alignment horizontal="left" vertical="center"/>
    </xf>
    <xf numFmtId="0" fontId="51" fillId="66" borderId="0" xfId="0" applyFont="1" applyFill="1" applyBorder="1" applyAlignment="1">
      <alignment horizontal="center" vertical="center"/>
    </xf>
    <xf numFmtId="0" fontId="54" fillId="66" borderId="0" xfId="0" applyFont="1" applyFill="1" applyBorder="1" applyAlignment="1">
      <alignment horizontal="left" vertical="center"/>
    </xf>
    <xf numFmtId="177" fontId="51" fillId="66" borderId="0" xfId="0" applyNumberFormat="1" applyFont="1" applyFill="1" applyBorder="1" applyAlignment="1">
      <alignment horizontal="center" vertical="center"/>
    </xf>
    <xf numFmtId="0" fontId="51" fillId="66" borderId="0" xfId="0" applyFont="1" applyFill="1" applyBorder="1" applyAlignment="1">
      <alignment horizontal="left" vertical="center"/>
    </xf>
    <xf numFmtId="0" fontId="55" fillId="65" borderId="0" xfId="0" applyFont="1" applyFill="1" applyBorder="1" applyAlignment="1">
      <alignment horizontal="left" vertical="center"/>
    </xf>
    <xf numFmtId="0" fontId="51" fillId="67" borderId="0" xfId="0" applyFont="1" applyFill="1" applyBorder="1" applyAlignment="1">
      <alignment horizontal="center" vertical="center"/>
    </xf>
    <xf numFmtId="0" fontId="56" fillId="67" borderId="0" xfId="0" applyFont="1" applyFill="1" applyBorder="1" applyAlignment="1">
      <alignment horizontal="left" vertical="center"/>
    </xf>
    <xf numFmtId="177" fontId="51" fillId="67" borderId="0" xfId="0" applyNumberFormat="1" applyFont="1" applyFill="1" applyBorder="1" applyAlignment="1">
      <alignment horizontal="center" vertical="center"/>
    </xf>
    <xf numFmtId="0" fontId="51" fillId="67" borderId="0" xfId="0" applyFont="1" applyFill="1" applyBorder="1" applyAlignment="1">
      <alignment horizontal="left" vertical="center"/>
    </xf>
    <xf numFmtId="0" fontId="57" fillId="68" borderId="0" xfId="0" applyFont="1" applyFill="1" applyBorder="1" applyAlignment="1">
      <alignment horizontal="center" vertical="center"/>
    </xf>
    <xf numFmtId="177" fontId="57" fillId="68" borderId="0" xfId="0" applyNumberFormat="1" applyFont="1" applyFill="1" applyBorder="1" applyAlignment="1">
      <alignment horizontal="center" vertical="center"/>
    </xf>
    <xf numFmtId="0" fontId="28" fillId="75" borderId="27" xfId="0" applyFont="1" applyFill="1" applyBorder="1" applyAlignment="1">
      <alignment horizontal="center" vertical="center"/>
    </xf>
    <xf numFmtId="0" fontId="71" fillId="87" borderId="0" xfId="0" applyFont="1" applyFill="1" applyBorder="1" applyAlignment="1">
      <alignment horizontal="center" vertical="center"/>
    </xf>
    <xf numFmtId="0" fontId="72" fillId="88" borderId="0" xfId="0" applyFont="1" applyFill="1" applyBorder="1" applyAlignment="1">
      <alignment horizontal="center" vertical="center" wrapText="1"/>
    </xf>
    <xf numFmtId="0" fontId="72" fillId="89" borderId="0" xfId="0" applyFont="1" applyFill="1" applyBorder="1" applyAlignment="1">
      <alignment horizontal="center" vertical="center" wrapText="1"/>
    </xf>
    <xf numFmtId="0" fontId="79" fillId="0" borderId="33" xfId="0" applyFont="1" applyAlignment="1">
      <alignment horizontal="center" vertical="center"/>
    </xf>
    <xf numFmtId="0" fontId="79" fillId="96" borderId="34" xfId="0" applyFont="1" applyFill="1" applyBorder="1" applyAlignment="1">
      <alignment horizontal="center" vertical="center"/>
    </xf>
    <xf numFmtId="0" fontId="83" fillId="92" borderId="36" xfId="0" applyFont="1" applyFill="1" applyBorder="1" applyAlignment="1">
      <alignment horizontal="center" vertical="center"/>
    </xf>
    <xf numFmtId="0" fontId="82" fillId="92" borderId="36" xfId="0" applyFont="1" applyFill="1" applyBorder="1" applyAlignment="1">
      <alignment horizontal="center" vertical="center"/>
    </xf>
    <xf numFmtId="0" fontId="83" fillId="95" borderId="36" xfId="0" applyFont="1" applyFill="1" applyBorder="1" applyAlignment="1">
      <alignment horizontal="center" vertical="center"/>
    </xf>
    <xf numFmtId="0" fontId="82" fillId="95" borderId="36" xfId="0" applyFont="1" applyFill="1" applyBorder="1" applyAlignment="1">
      <alignment horizontal="center" vertical="center"/>
    </xf>
    <xf numFmtId="0" fontId="84" fillId="85" borderId="36" xfId="0" applyFont="1" applyFill="1" applyBorder="1" applyAlignment="1">
      <alignment horizontal="center" vertical="center"/>
    </xf>
    <xf numFmtId="0" fontId="82" fillId="91" borderId="36" xfId="0" applyFont="1" applyFill="1" applyBorder="1" applyAlignment="1">
      <alignment horizontal="center" vertical="center"/>
    </xf>
    <xf numFmtId="0" fontId="83" fillId="91" borderId="36" xfId="0" applyFont="1" applyFill="1" applyBorder="1" applyAlignment="1">
      <alignment horizontal="center" vertical="center"/>
    </xf>
    <xf numFmtId="0" fontId="83" fillId="93" borderId="36" xfId="0" applyFont="1" applyFill="1" applyBorder="1" applyAlignment="1">
      <alignment horizontal="center" vertical="center"/>
    </xf>
    <xf numFmtId="0" fontId="79" fillId="97" borderId="35" xfId="0" applyFont="1" applyFill="1" applyBorder="1" applyAlignment="1">
      <alignment horizontal="center" vertical="center"/>
    </xf>
    <xf numFmtId="0" fontId="79" fillId="98" borderId="35" xfId="0" applyFont="1" applyFill="1" applyBorder="1" applyAlignment="1">
      <alignment horizontal="center" vertical="center"/>
    </xf>
    <xf numFmtId="0" fontId="83" fillId="99" borderId="36" xfId="0" applyFont="1" applyFill="1" applyBorder="1" applyAlignment="1">
      <alignment horizontal="center" vertical="center"/>
    </xf>
    <xf numFmtId="0" fontId="83" fillId="94" borderId="36" xfId="0" applyFont="1" applyFill="1" applyBorder="1" applyAlignment="1">
      <alignment horizontal="center" vertical="center"/>
    </xf>
    <xf numFmtId="0" fontId="82" fillId="99" borderId="36" xfId="0" applyFont="1" applyFill="1" applyBorder="1" applyAlignment="1">
      <alignment horizontal="center" vertical="center"/>
    </xf>
    <xf numFmtId="0" fontId="82" fillId="98" borderId="35" xfId="0" applyFont="1" applyFill="1" applyBorder="1" applyAlignment="1">
      <alignment horizontal="center" vertical="center"/>
    </xf>
    <xf numFmtId="0" fontId="82" fillId="93" borderId="36" xfId="0" applyFont="1" applyFill="1" applyBorder="1" applyAlignment="1">
      <alignment horizontal="center" vertical="center"/>
    </xf>
    <xf numFmtId="0" fontId="82" fillId="94" borderId="36" xfId="0" applyFont="1" applyFill="1" applyBorder="1" applyAlignment="1">
      <alignment horizontal="center" vertical="center"/>
    </xf>
    <xf numFmtId="0" fontId="28" fillId="101" borderId="37" xfId="0" applyFont="1" applyFill="1" applyBorder="1" applyAlignment="1">
      <alignment horizontal="center" vertical="center"/>
    </xf>
    <xf numFmtId="0" fontId="87" fillId="91" borderId="36" xfId="0" applyFont="1" applyFill="1" applyBorder="1" applyAlignment="1">
      <alignment horizontal="center" vertical="center"/>
    </xf>
    <xf numFmtId="0" fontId="62" fillId="101" borderId="37" xfId="0" applyFont="1" applyFill="1" applyBorder="1" applyAlignment="1">
      <alignment horizontal="center" vertical="center"/>
    </xf>
    <xf numFmtId="0" fontId="63" fillId="101" borderId="37" xfId="0" applyFont="1" applyFill="1" applyBorder="1" applyAlignment="1">
      <alignment horizontal="center" vertical="center"/>
    </xf>
    <xf numFmtId="0" fontId="50" fillId="101" borderId="37" xfId="0" applyFont="1" applyFill="1" applyBorder="1" applyAlignment="1">
      <alignment horizontal="center" vertical="center"/>
    </xf>
    <xf numFmtId="0" fontId="47" fillId="101" borderId="37" xfId="0" applyFont="1" applyFill="1" applyBorder="1" applyAlignment="1">
      <alignment horizontal="center" vertical="center"/>
    </xf>
    <xf numFmtId="0" fontId="60" fillId="101" borderId="37" xfId="0" applyFont="1" applyFill="1" applyBorder="1" applyAlignment="1">
      <alignment horizontal="center" vertical="center"/>
    </xf>
    <xf numFmtId="0" fontId="87" fillId="85" borderId="36" xfId="0" applyFont="1" applyFill="1" applyBorder="1" applyAlignment="1">
      <alignment horizontal="center" vertical="center"/>
    </xf>
    <xf numFmtId="0" fontId="87" fillId="99" borderId="36" xfId="0" applyFont="1" applyFill="1" applyBorder="1" applyAlignment="1">
      <alignment horizontal="center" vertical="center"/>
    </xf>
    <xf numFmtId="0" fontId="29" fillId="101" borderId="37" xfId="0" applyFont="1" applyFill="1" applyBorder="1" applyAlignment="1">
      <alignment horizontal="center" vertical="center"/>
    </xf>
    <xf numFmtId="0" fontId="87" fillId="92" borderId="36" xfId="0" applyFont="1" applyFill="1" applyBorder="1" applyAlignment="1">
      <alignment horizontal="center" vertical="center"/>
    </xf>
    <xf numFmtId="0" fontId="87" fillId="93" borderId="36" xfId="0" applyFont="1" applyFill="1" applyBorder="1" applyAlignment="1">
      <alignment horizontal="center" vertical="center"/>
    </xf>
    <xf numFmtId="0" fontId="87" fillId="94" borderId="36" xfId="0" applyFont="1" applyFill="1" applyBorder="1" applyAlignment="1">
      <alignment horizontal="center" vertical="center"/>
    </xf>
    <xf numFmtId="0" fontId="87" fillId="95" borderId="36" xfId="0" applyFont="1" applyFill="1" applyBorder="1" applyAlignment="1">
      <alignment horizontal="center" vertical="center"/>
    </xf>
    <xf numFmtId="0" fontId="46" fillId="101" borderId="37" xfId="0" applyFont="1" applyFill="1" applyBorder="1" applyAlignment="1">
      <alignment horizontal="center" vertical="center"/>
    </xf>
    <xf numFmtId="0" fontId="103" fillId="0" borderId="0" xfId="0" applyFont="1" applyBorder="1" applyAlignment="1">
      <alignment horizontal="left" vertical="center" wrapText="1"/>
    </xf>
    <xf numFmtId="0" fontId="96" fillId="105" borderId="45" xfId="0" applyFont="1" applyFill="1" applyBorder="1" applyAlignment="1">
      <alignment horizontal="center" vertical="center" wrapText="1"/>
    </xf>
    <xf numFmtId="0" fontId="97" fillId="106" borderId="46" xfId="0" applyFont="1" applyFill="1" applyBorder="1" applyAlignment="1">
      <alignment horizontal="center" vertical="center" wrapText="1"/>
    </xf>
    <xf numFmtId="0" fontId="97" fillId="106" borderId="46" xfId="0" applyFont="1" applyFill="1" applyBorder="1" applyAlignment="1">
      <alignment horizontal="left" vertical="center" wrapText="1"/>
    </xf>
    <xf numFmtId="176" fontId="97" fillId="106" borderId="46" xfId="0" applyNumberFormat="1" applyFont="1" applyFill="1" applyBorder="1" applyAlignment="1">
      <alignment horizontal="center" vertical="center" wrapText="1"/>
    </xf>
    <xf numFmtId="178" fontId="97" fillId="106" borderId="46" xfId="0" applyNumberFormat="1" applyFont="1" applyFill="1" applyBorder="1" applyAlignment="1">
      <alignment horizontal="center" vertical="center" wrapText="1"/>
    </xf>
    <xf numFmtId="0" fontId="97" fillId="107" borderId="46" xfId="0" applyFont="1" applyFill="1" applyBorder="1" applyAlignment="1">
      <alignment horizontal="center" vertical="center" wrapText="1"/>
    </xf>
    <xf numFmtId="0" fontId="97" fillId="107" borderId="46" xfId="0" applyFont="1" applyFill="1" applyBorder="1" applyAlignment="1">
      <alignment horizontal="left" vertical="center" wrapText="1"/>
    </xf>
    <xf numFmtId="176" fontId="97" fillId="107" borderId="46" xfId="0" applyNumberFormat="1" applyFont="1" applyFill="1" applyBorder="1" applyAlignment="1">
      <alignment horizontal="center" vertical="center" wrapText="1"/>
    </xf>
    <xf numFmtId="178" fontId="97" fillId="107" borderId="46" xfId="0" applyNumberFormat="1" applyFont="1" applyFill="1" applyBorder="1" applyAlignment="1">
      <alignment horizontal="center" vertical="center" wrapText="1"/>
    </xf>
    <xf numFmtId="0" fontId="98" fillId="108" borderId="47" xfId="0" applyFont="1" applyFill="1" applyBorder="1" applyAlignment="1">
      <alignment horizontal="center" vertical="center"/>
    </xf>
    <xf numFmtId="176" fontId="98" fillId="108" borderId="47" xfId="0" applyNumberFormat="1" applyFont="1" applyFill="1" applyBorder="1" applyAlignment="1">
      <alignment horizontal="center" vertical="center"/>
    </xf>
    <xf numFmtId="178" fontId="98" fillId="108" borderId="47" xfId="0" applyNumberFormat="1" applyFont="1" applyFill="1" applyBorder="1" applyAlignment="1">
      <alignment horizontal="center" vertical="center"/>
    </xf>
    <xf numFmtId="0" fontId="0" fillId="109" borderId="48" xfId="0" applyFill="1" applyBorder="1"/>
    <xf numFmtId="0" fontId="100" fillId="113" borderId="50" xfId="0" applyFont="1" applyFill="1" applyBorder="1" applyAlignment="1">
      <alignment horizontal="center" vertical="center"/>
    </xf>
    <xf numFmtId="0" fontId="100" fillId="115" borderId="50" xfId="0" applyFont="1" applyFill="1" applyBorder="1" applyAlignment="1">
      <alignment horizontal="center" vertical="center"/>
    </xf>
    <xf numFmtId="0" fontId="100" fillId="112" borderId="50" xfId="0" applyFont="1" applyFill="1" applyBorder="1" applyAlignment="1">
      <alignment horizontal="center" vertical="center"/>
    </xf>
    <xf numFmtId="0" fontId="100" fillId="114" borderId="50" xfId="0" applyFont="1" applyFill="1" applyBorder="1" applyAlignment="1">
      <alignment horizontal="center" vertical="center"/>
    </xf>
    <xf numFmtId="0" fontId="100" fillId="111" borderId="49" xfId="0" applyFont="1" applyFill="1" applyBorder="1" applyAlignment="1">
      <alignment horizontal="center" vertical="center" wrapText="1"/>
    </xf>
    <xf numFmtId="0" fontId="101" fillId="104" borderId="0" xfId="0" applyFont="1" applyFill="1" applyBorder="1" applyAlignment="1">
      <alignment horizontal="center" vertical="center" wrapText="1"/>
    </xf>
    <xf numFmtId="0" fontId="100" fillId="116" borderId="50" xfId="0" applyFont="1" applyFill="1" applyBorder="1" applyAlignment="1">
      <alignment horizontal="center" vertical="center"/>
    </xf>
    <xf numFmtId="0" fontId="100" fillId="110" borderId="49" xfId="0" applyFont="1" applyFill="1" applyBorder="1" applyAlignment="1">
      <alignment horizontal="center" vertical="center" wrapText="1"/>
    </xf>
    <xf numFmtId="0" fontId="97" fillId="0" borderId="0" xfId="0" applyFont="1" applyBorder="1" applyAlignment="1">
      <alignment horizontal="left" vertical="center" wrapText="1"/>
    </xf>
    <xf numFmtId="0" fontId="97" fillId="0" borderId="0" xfId="0" applyFont="1" applyBorder="1" applyAlignment="1">
      <alignment horizontal="center" vertical="center" wrapText="1"/>
    </xf>
    <xf numFmtId="0" fontId="96" fillId="105" borderId="0" xfId="0" applyFont="1" applyFill="1" applyBorder="1" applyAlignment="1">
      <alignment horizontal="center" vertical="center"/>
    </xf>
    <xf numFmtId="0" fontId="12" fillId="8" borderId="33" xfId="0" applyFont="1" applyFill="1" applyAlignment="1">
      <alignment horizontal="left" vertical="center"/>
    </xf>
    <xf numFmtId="0" fontId="0" fillId="0" borderId="0" xfId="0" applyBorder="1"/>
    <xf numFmtId="0" fontId="3" fillId="4" borderId="1" xfId="0" applyFont="1" applyFill="1" applyBorder="1" applyAlignment="1">
      <alignment horizontal="center" vertical="center" wrapText="1"/>
    </xf>
    <xf numFmtId="0" fontId="0" fillId="0" borderId="21" xfId="0" applyBorder="1"/>
    <xf numFmtId="0" fontId="0" fillId="0" borderId="22" xfId="0" applyBorder="1"/>
    <xf numFmtId="0" fontId="8" fillId="6" borderId="5" xfId="0" applyFont="1" applyFill="1" applyBorder="1" applyAlignment="1">
      <alignment horizontal="center" vertical="center" wrapText="1"/>
    </xf>
    <xf numFmtId="0" fontId="0" fillId="0" borderId="23" xfId="0" applyBorder="1"/>
    <xf numFmtId="0" fontId="0" fillId="0" borderId="24" xfId="0" applyBorder="1"/>
    <xf numFmtId="0" fontId="23" fillId="16" borderId="33" xfId="0" applyFont="1" applyFill="1" applyAlignment="1">
      <alignment horizontal="center" vertical="center" wrapText="1"/>
    </xf>
    <xf numFmtId="0" fontId="24" fillId="17" borderId="33" xfId="0" applyFont="1" applyFill="1" applyAlignment="1">
      <alignment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0" fillId="0" borderId="25" xfId="0" applyBorder="1"/>
    <xf numFmtId="0" fontId="0" fillId="0" borderId="26" xfId="0" applyBorder="1"/>
    <xf numFmtId="0" fontId="14" fillId="9" borderId="33" xfId="0" applyFont="1" applyFill="1" applyAlignment="1">
      <alignment horizontal="center" vertical="center" wrapText="1"/>
    </xf>
    <xf numFmtId="0" fontId="13" fillId="8" borderId="33" xfId="0" applyFont="1" applyFill="1" applyAlignment="1">
      <alignment horizontal="center" vertical="center" wrapText="1"/>
    </xf>
    <xf numFmtId="0" fontId="1" fillId="2" borderId="33" xfId="0" applyFont="1" applyFill="1" applyAlignment="1">
      <alignment horizontal="left" vertical="center"/>
    </xf>
    <xf numFmtId="0" fontId="21" fillId="8" borderId="33" xfId="0" applyFont="1" applyFill="1" applyAlignment="1">
      <alignment horizontal="center" vertical="center"/>
    </xf>
    <xf numFmtId="0" fontId="7" fillId="5" borderId="33" xfId="0" applyFont="1" applyFill="1" applyAlignment="1">
      <alignment horizontal="center" vertical="center" wrapText="1"/>
    </xf>
    <xf numFmtId="0" fontId="5" fillId="7" borderId="8" xfId="0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/>
    <xf numFmtId="0" fontId="9" fillId="6" borderId="33" xfId="0" applyFont="1" applyFill="1" applyAlignment="1">
      <alignment horizontal="center" vertical="center" wrapText="1"/>
    </xf>
    <xf numFmtId="0" fontId="4" fillId="4" borderId="33" xfId="0" applyFont="1" applyFill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0" fillId="0" borderId="15" xfId="0" applyBorder="1"/>
    <xf numFmtId="0" fontId="0" fillId="0" borderId="16" xfId="0" applyBorder="1"/>
    <xf numFmtId="0" fontId="2" fillId="3" borderId="33" xfId="0" applyFont="1" applyFill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0" fontId="22" fillId="15" borderId="33" xfId="0" applyFont="1" applyFill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0" fillId="0" borderId="19" xfId="0" applyBorder="1"/>
    <xf numFmtId="0" fontId="0" fillId="0" borderId="20" xfId="0" applyBorder="1"/>
    <xf numFmtId="0" fontId="11" fillId="7" borderId="33" xfId="0" applyFont="1" applyFill="1" applyAlignment="1">
      <alignment horizontal="center" vertical="center" wrapText="1"/>
    </xf>
    <xf numFmtId="0" fontId="25" fillId="18" borderId="33" xfId="0" applyFont="1" applyFill="1" applyAlignment="1">
      <alignment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0" fontId="71" fillId="87" borderId="33" xfId="0" applyFont="1" applyFill="1" applyAlignment="1">
      <alignment horizontal="center" vertical="center"/>
    </xf>
    <xf numFmtId="0" fontId="68" fillId="85" borderId="33" xfId="0" applyFont="1" applyFill="1" applyAlignment="1">
      <alignment horizontal="center" vertical="center"/>
    </xf>
    <xf numFmtId="0" fontId="74" fillId="89" borderId="33" xfId="0" applyFont="1" applyFill="1" applyAlignment="1">
      <alignment horizontal="center" vertical="center" wrapText="1"/>
    </xf>
    <xf numFmtId="0" fontId="69" fillId="86" borderId="33" xfId="0" applyFont="1" applyFill="1" applyAlignment="1">
      <alignment vertical="center" wrapText="1"/>
    </xf>
    <xf numFmtId="0" fontId="76" fillId="89" borderId="33" xfId="0" applyFont="1" applyFill="1" applyAlignment="1">
      <alignment horizontal="center" vertical="center" wrapText="1"/>
    </xf>
    <xf numFmtId="0" fontId="72" fillId="88" borderId="33" xfId="0" applyFont="1" applyFill="1" applyAlignment="1">
      <alignment horizontal="center" vertical="center" wrapText="1"/>
    </xf>
    <xf numFmtId="0" fontId="72" fillId="89" borderId="33" xfId="0" applyFont="1" applyFill="1" applyAlignment="1">
      <alignment horizontal="center" vertical="center" wrapText="1"/>
    </xf>
    <xf numFmtId="0" fontId="66" fillId="83" borderId="33" xfId="0" applyFont="1" applyFill="1" applyAlignment="1">
      <alignment vertical="center"/>
    </xf>
    <xf numFmtId="0" fontId="77" fillId="88" borderId="33" xfId="0" applyFont="1" applyFill="1" applyAlignment="1">
      <alignment horizontal="center" vertical="center" wrapText="1"/>
    </xf>
    <xf numFmtId="0" fontId="78" fillId="90" borderId="33" xfId="0" applyFont="1" applyFill="1" applyAlignment="1">
      <alignment vertical="center" wrapText="1"/>
    </xf>
    <xf numFmtId="0" fontId="65" fillId="82" borderId="33" xfId="0" applyFont="1" applyFill="1" applyAlignment="1">
      <alignment horizontal="left" vertical="center"/>
    </xf>
    <xf numFmtId="0" fontId="73" fillId="88" borderId="33" xfId="0" applyFont="1" applyFill="1" applyAlignment="1">
      <alignment horizontal="center" vertical="center" wrapText="1"/>
    </xf>
    <xf numFmtId="0" fontId="67" fillId="84" borderId="33" xfId="0" applyFont="1" applyFill="1" applyAlignment="1">
      <alignment horizontal="center" vertical="center"/>
    </xf>
    <xf numFmtId="0" fontId="70" fillId="82" borderId="33" xfId="0" applyFont="1" applyFill="1" applyAlignment="1">
      <alignment vertical="center"/>
    </xf>
    <xf numFmtId="0" fontId="75" fillId="88" borderId="33" xfId="0" applyFont="1" applyFill="1" applyAlignment="1">
      <alignment horizontal="center" vertical="center" wrapText="1"/>
    </xf>
    <xf numFmtId="0" fontId="85" fillId="90" borderId="33" xfId="0" applyFont="1" applyFill="1" applyAlignment="1">
      <alignment horizontal="center" vertical="center"/>
    </xf>
    <xf numFmtId="0" fontId="81" fillId="95" borderId="33" xfId="0" applyFont="1" applyFill="1" applyAlignment="1">
      <alignment horizontal="center" vertical="center" wrapText="1"/>
    </xf>
    <xf numFmtId="0" fontId="81" fillId="92" borderId="33" xfId="0" applyFont="1" applyFill="1" applyAlignment="1">
      <alignment horizontal="center" vertical="center" wrapText="1"/>
    </xf>
    <xf numFmtId="0" fontId="81" fillId="94" borderId="33" xfId="0" applyFont="1" applyFill="1" applyAlignment="1">
      <alignment horizontal="center" vertical="center" wrapText="1"/>
    </xf>
    <xf numFmtId="0" fontId="86" fillId="100" borderId="33" xfId="0" applyFont="1" applyFill="1" applyAlignment="1">
      <alignment horizontal="center" vertical="center" wrapText="1"/>
    </xf>
    <xf numFmtId="0" fontId="81" fillId="93" borderId="33" xfId="0" applyFont="1" applyFill="1" applyAlignment="1">
      <alignment horizontal="center" vertical="center" wrapText="1"/>
    </xf>
    <xf numFmtId="0" fontId="81" fillId="91" borderId="33" xfId="0" applyFont="1" applyFill="1" applyAlignment="1">
      <alignment horizontal="center" vertical="center" wrapText="1"/>
    </xf>
    <xf numFmtId="0" fontId="80" fillId="83" borderId="33" xfId="0" applyFont="1" applyFill="1" applyAlignment="1">
      <alignment horizontal="left" vertical="center"/>
    </xf>
    <xf numFmtId="0" fontId="15" fillId="19" borderId="33" xfId="0" applyFont="1" applyFill="1" applyAlignment="1">
      <alignment horizontal="center" vertical="center" wrapText="1"/>
    </xf>
    <xf numFmtId="0" fontId="13" fillId="8" borderId="33" xfId="0" applyFont="1" applyFill="1" applyAlignment="1">
      <alignment horizontal="center" vertical="center"/>
    </xf>
    <xf numFmtId="0" fontId="27" fillId="24" borderId="33" xfId="0" applyFont="1" applyFill="1" applyAlignment="1">
      <alignment horizontal="center" vertical="center" wrapText="1"/>
    </xf>
    <xf numFmtId="0" fontId="14" fillId="9" borderId="33" xfId="0" applyFont="1" applyFill="1" applyAlignment="1">
      <alignment vertical="center" wrapText="1"/>
    </xf>
    <xf numFmtId="0" fontId="31" fillId="9" borderId="33" xfId="0" applyFont="1" applyFill="1" applyAlignment="1">
      <alignment vertical="center" wrapText="1"/>
    </xf>
    <xf numFmtId="0" fontId="30" fillId="28" borderId="33" xfId="0" applyFont="1" applyFill="1" applyAlignment="1">
      <alignment horizontal="center" vertical="center" wrapText="1"/>
    </xf>
    <xf numFmtId="0" fontId="30" fillId="19" borderId="33" xfId="0" applyFont="1" applyFill="1" applyAlignment="1">
      <alignment horizontal="center" vertical="center" wrapText="1"/>
    </xf>
    <xf numFmtId="0" fontId="64" fillId="70" borderId="37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61" fillId="77" borderId="37" xfId="0" applyFont="1" applyFill="1" applyBorder="1" applyAlignment="1">
      <alignment horizontal="center" vertical="center" wrapText="1"/>
    </xf>
    <xf numFmtId="0" fontId="30" fillId="27" borderId="33" xfId="0" applyFont="1" applyFill="1" applyAlignment="1">
      <alignment horizontal="center" vertical="center" wrapText="1"/>
    </xf>
    <xf numFmtId="0" fontId="30" fillId="30" borderId="33" xfId="0" applyFont="1" applyFill="1" applyAlignment="1">
      <alignment horizontal="center" vertical="center" wrapText="1"/>
    </xf>
    <xf numFmtId="0" fontId="64" fillId="76" borderId="37" xfId="0" applyFont="1" applyFill="1" applyBorder="1" applyAlignment="1">
      <alignment horizontal="center" vertical="center" wrapText="1"/>
    </xf>
    <xf numFmtId="0" fontId="30" fillId="29" borderId="33" xfId="0" applyFont="1" applyFill="1" applyAlignment="1">
      <alignment horizontal="center" vertical="center" wrapText="1"/>
    </xf>
    <xf numFmtId="0" fontId="95" fillId="105" borderId="38" xfId="0" applyFont="1" applyFill="1" applyBorder="1" applyAlignment="1">
      <alignment horizontal="left" vertical="center"/>
    </xf>
    <xf numFmtId="0" fontId="0" fillId="105" borderId="38" xfId="0" applyFill="1" applyBorder="1"/>
    <xf numFmtId="0" fontId="99" fillId="106" borderId="38" xfId="0" applyFont="1" applyFill="1" applyBorder="1" applyAlignment="1">
      <alignment horizontal="center" vertical="center" wrapText="1"/>
    </xf>
    <xf numFmtId="0" fontId="0" fillId="106" borderId="38" xfId="0" applyFill="1" applyBorder="1"/>
    <xf numFmtId="0" fontId="99" fillId="107" borderId="38" xfId="0" applyFont="1" applyFill="1" applyBorder="1" applyAlignment="1">
      <alignment horizontal="left" vertical="center" wrapText="1"/>
    </xf>
    <xf numFmtId="0" fontId="0" fillId="107" borderId="38" xfId="0" applyFill="1" applyBorder="1"/>
    <xf numFmtId="0" fontId="96" fillId="105" borderId="38" xfId="0" applyFont="1" applyFill="1" applyBorder="1" applyAlignment="1">
      <alignment horizontal="center" vertical="center"/>
    </xf>
    <xf numFmtId="0" fontId="99" fillId="106" borderId="38" xfId="0" applyFont="1" applyFill="1" applyBorder="1" applyAlignment="1">
      <alignment horizontal="left" vertical="center" wrapText="1"/>
    </xf>
    <xf numFmtId="0" fontId="99" fillId="107" borderId="38" xfId="0" applyFont="1" applyFill="1" applyBorder="1" applyAlignment="1">
      <alignment horizontal="center" vertical="center" wrapText="1"/>
    </xf>
    <xf numFmtId="0" fontId="98" fillId="108" borderId="47" xfId="0" applyFont="1" applyFill="1" applyBorder="1" applyAlignment="1">
      <alignment horizontal="center" vertical="center"/>
    </xf>
    <xf numFmtId="1" fontId="94" fillId="104" borderId="44" xfId="0" applyNumberFormat="1" applyFont="1" applyFill="1" applyBorder="1" applyAlignment="1">
      <alignment horizontal="center" vertical="center" wrapText="1"/>
    </xf>
    <xf numFmtId="0" fontId="0" fillId="104" borderId="40" xfId="0" applyFill="1" applyBorder="1"/>
    <xf numFmtId="0" fontId="0" fillId="104" borderId="44" xfId="0" applyFill="1" applyBorder="1"/>
    <xf numFmtId="0" fontId="91" fillId="104" borderId="41" xfId="0" applyFont="1" applyFill="1" applyBorder="1" applyAlignment="1">
      <alignment horizontal="center" vertical="center" wrapText="1"/>
    </xf>
    <xf numFmtId="0" fontId="0" fillId="104" borderId="41" xfId="0" applyFill="1" applyBorder="1"/>
    <xf numFmtId="0" fontId="90" fillId="104" borderId="39" xfId="0" applyFont="1" applyFill="1" applyBorder="1" applyAlignment="1">
      <alignment horizontal="center" vertical="center" wrapText="1"/>
    </xf>
    <xf numFmtId="0" fontId="0" fillId="104" borderId="39" xfId="0" applyFill="1" applyBorder="1"/>
    <xf numFmtId="0" fontId="92" fillId="104" borderId="42" xfId="0" applyFont="1" applyFill="1" applyBorder="1" applyAlignment="1">
      <alignment horizontal="center" vertical="center" wrapText="1"/>
    </xf>
    <xf numFmtId="0" fontId="0" fillId="104" borderId="42" xfId="0" applyFill="1" applyBorder="1"/>
    <xf numFmtId="0" fontId="89" fillId="103" borderId="38" xfId="0" applyFont="1" applyFill="1" applyBorder="1" applyAlignment="1">
      <alignment horizontal="left" vertical="center"/>
    </xf>
    <xf numFmtId="0" fontId="0" fillId="103" borderId="38" xfId="0" applyFill="1" applyBorder="1"/>
    <xf numFmtId="0" fontId="88" fillId="102" borderId="38" xfId="0" applyFont="1" applyFill="1" applyBorder="1" applyAlignment="1">
      <alignment horizontal="left" vertical="center"/>
    </xf>
    <xf numFmtId="0" fontId="0" fillId="102" borderId="38" xfId="0" applyFill="1" applyBorder="1"/>
    <xf numFmtId="0" fontId="93" fillId="104" borderId="43" xfId="0" applyFont="1" applyFill="1" applyBorder="1" applyAlignment="1">
      <alignment horizontal="center" vertical="center" wrapText="1"/>
    </xf>
    <xf numFmtId="0" fontId="0" fillId="104" borderId="43" xfId="0" applyFill="1" applyBorder="1"/>
    <xf numFmtId="0" fontId="96" fillId="113" borderId="38" xfId="0" applyFont="1" applyFill="1" applyBorder="1" applyAlignment="1">
      <alignment horizontal="center" vertical="center"/>
    </xf>
    <xf numFmtId="0" fontId="0" fillId="113" borderId="38" xfId="0" applyFill="1" applyBorder="1"/>
    <xf numFmtId="0" fontId="99" fillId="104" borderId="38" xfId="0" applyFont="1" applyFill="1" applyBorder="1" applyAlignment="1">
      <alignment horizontal="left" vertical="center"/>
    </xf>
    <xf numFmtId="0" fontId="0" fillId="104" borderId="38" xfId="0" applyFill="1" applyBorder="1"/>
    <xf numFmtId="0" fontId="102" fillId="117" borderId="38" xfId="0" applyFont="1" applyFill="1" applyBorder="1" applyAlignment="1">
      <alignment horizontal="left" vertical="center" wrapText="1"/>
    </xf>
    <xf numFmtId="0" fontId="0" fillId="117" borderId="38" xfId="0" applyFill="1" applyBorder="1"/>
    <xf numFmtId="1" fontId="99" fillId="106" borderId="38" xfId="0" applyNumberFormat="1" applyFont="1" applyFill="1" applyBorder="1" applyAlignment="1">
      <alignment horizontal="center" vertical="center" wrapText="1"/>
    </xf>
    <xf numFmtId="0" fontId="89" fillId="103" borderId="38" xfId="0" applyFont="1" applyFill="1" applyBorder="1" applyAlignment="1">
      <alignment horizontal="left" vertical="center" wrapText="1"/>
    </xf>
    <xf numFmtId="1" fontId="99" fillId="107" borderId="38" xfId="0" applyNumberFormat="1" applyFont="1" applyFill="1" applyBorder="1" applyAlignment="1">
      <alignment horizontal="center" vertical="center" wrapText="1"/>
    </xf>
    <xf numFmtId="0" fontId="96" fillId="112" borderId="38" xfId="0" applyFont="1" applyFill="1" applyBorder="1" applyAlignment="1">
      <alignment horizontal="center" vertical="center"/>
    </xf>
    <xf numFmtId="0" fontId="0" fillId="112" borderId="38" xfId="0" applyFill="1" applyBorder="1"/>
    <xf numFmtId="0" fontId="96" fillId="115" borderId="38" xfId="0" applyFont="1" applyFill="1" applyBorder="1" applyAlignment="1">
      <alignment horizontal="center" vertical="center"/>
    </xf>
    <xf numFmtId="0" fontId="0" fillId="115" borderId="38" xfId="0" applyFill="1" applyBorder="1"/>
    <xf numFmtId="0" fontId="96" fillId="116" borderId="38" xfId="0" applyFont="1" applyFill="1" applyBorder="1" applyAlignment="1">
      <alignment horizontal="center" vertical="center"/>
    </xf>
    <xf numFmtId="0" fontId="0" fillId="116" borderId="38" xfId="0" applyFill="1" applyBorder="1"/>
    <xf numFmtId="0" fontId="96" fillId="114" borderId="38" xfId="0" applyFont="1" applyFill="1" applyBorder="1" applyAlignment="1">
      <alignment horizontal="center" vertical="center"/>
    </xf>
    <xf numFmtId="0" fontId="0" fillId="114" borderId="38" xfId="0" applyFill="1" applyBorder="1"/>
    <xf numFmtId="0" fontId="15" fillId="20" borderId="33" xfId="0" applyFont="1" applyFill="1" applyAlignment="1">
      <alignment horizontal="center" vertical="center" wrapText="1"/>
    </xf>
    <xf numFmtId="0" fontId="33" fillId="31" borderId="33" xfId="0" applyFont="1" applyFill="1" applyAlignment="1">
      <alignment horizontal="center" vertical="center" wrapText="1"/>
    </xf>
    <xf numFmtId="0" fontId="30" fillId="35" borderId="33" xfId="0" applyFont="1" applyFill="1" applyAlignment="1">
      <alignment horizontal="center" vertical="center" wrapText="1"/>
    </xf>
    <xf numFmtId="0" fontId="30" fillId="20" borderId="33" xfId="0" applyFont="1" applyFill="1" applyAlignment="1">
      <alignment horizontal="center" vertical="center" wrapText="1"/>
    </xf>
    <xf numFmtId="0" fontId="64" fillId="71" borderId="37" xfId="0" applyFont="1" applyFill="1" applyBorder="1" applyAlignment="1">
      <alignment horizontal="center" vertical="center"/>
    </xf>
    <xf numFmtId="0" fontId="61" fillId="78" borderId="37" xfId="0" applyFont="1" applyFill="1" applyBorder="1" applyAlignment="1">
      <alignment horizontal="center" vertical="center" wrapText="1"/>
    </xf>
    <xf numFmtId="0" fontId="30" fillId="34" borderId="33" xfId="0" applyFont="1" applyFill="1" applyAlignment="1">
      <alignment horizontal="center" vertical="center" wrapText="1"/>
    </xf>
    <xf numFmtId="0" fontId="30" fillId="37" borderId="33" xfId="0" applyFont="1" applyFill="1" applyAlignment="1">
      <alignment horizontal="center" vertical="center" wrapText="1"/>
    </xf>
    <xf numFmtId="0" fontId="30" fillId="36" borderId="33" xfId="0" applyFont="1" applyFill="1" applyAlignment="1">
      <alignment horizontal="center" vertical="center" wrapText="1"/>
    </xf>
    <xf numFmtId="0" fontId="15" fillId="21" borderId="33" xfId="0" applyFont="1" applyFill="1" applyAlignment="1">
      <alignment horizontal="center" vertical="center" wrapText="1"/>
    </xf>
    <xf numFmtId="0" fontId="34" fillId="38" borderId="33" xfId="0" applyFont="1" applyFill="1" applyAlignment="1">
      <alignment horizontal="center" vertical="center" wrapText="1"/>
    </xf>
    <xf numFmtId="0" fontId="30" fillId="43" borderId="33" xfId="0" applyFont="1" applyFill="1" applyAlignment="1">
      <alignment horizontal="center" vertical="center" wrapText="1"/>
    </xf>
    <xf numFmtId="0" fontId="30" fillId="21" borderId="33" xfId="0" applyFont="1" applyFill="1" applyAlignment="1">
      <alignment horizontal="center" vertical="center" wrapText="1"/>
    </xf>
    <xf numFmtId="0" fontId="64" fillId="72" borderId="37" xfId="0" applyFont="1" applyFill="1" applyBorder="1" applyAlignment="1">
      <alignment horizontal="center" vertical="center"/>
    </xf>
    <xf numFmtId="0" fontId="61" fillId="79" borderId="37" xfId="0" applyFont="1" applyFill="1" applyBorder="1" applyAlignment="1">
      <alignment horizontal="center" vertical="center" wrapText="1"/>
    </xf>
    <xf numFmtId="0" fontId="30" fillId="42" borderId="33" xfId="0" applyFont="1" applyFill="1" applyAlignment="1">
      <alignment horizontal="center" vertical="center" wrapText="1"/>
    </xf>
    <xf numFmtId="0" fontId="30" fillId="44" borderId="33" xfId="0" applyFont="1" applyFill="1" applyAlignment="1">
      <alignment horizontal="center" vertical="center" wrapText="1"/>
    </xf>
    <xf numFmtId="0" fontId="15" fillId="22" borderId="33" xfId="0" applyFont="1" applyFill="1" applyAlignment="1">
      <alignment horizontal="center" vertical="center" wrapText="1"/>
    </xf>
    <xf numFmtId="0" fontId="35" fillId="45" borderId="33" xfId="0" applyFont="1" applyFill="1" applyAlignment="1">
      <alignment horizontal="center" vertical="center" wrapText="1"/>
    </xf>
    <xf numFmtId="0" fontId="30" fillId="49" borderId="33" xfId="0" applyFont="1" applyFill="1" applyAlignment="1">
      <alignment horizontal="center" vertical="center" wrapText="1"/>
    </xf>
    <xf numFmtId="0" fontId="30" fillId="22" borderId="33" xfId="0" applyFont="1" applyFill="1" applyAlignment="1">
      <alignment horizontal="center" vertical="center" wrapText="1"/>
    </xf>
    <xf numFmtId="0" fontId="64" fillId="73" borderId="37" xfId="0" applyFont="1" applyFill="1" applyBorder="1" applyAlignment="1">
      <alignment horizontal="center" vertical="center"/>
    </xf>
    <xf numFmtId="0" fontId="61" fillId="80" borderId="37" xfId="0" applyFont="1" applyFill="1" applyBorder="1" applyAlignment="1">
      <alignment horizontal="center" vertical="center" wrapText="1"/>
    </xf>
    <xf numFmtId="0" fontId="30" fillId="48" borderId="33" xfId="0" applyFont="1" applyFill="1" applyAlignment="1">
      <alignment horizontal="center" vertical="center" wrapText="1"/>
    </xf>
    <xf numFmtId="0" fontId="30" fillId="51" borderId="33" xfId="0" applyFont="1" applyFill="1" applyAlignment="1">
      <alignment horizontal="center" vertical="center" wrapText="1"/>
    </xf>
    <xf numFmtId="0" fontId="30" fillId="50" borderId="33" xfId="0" applyFont="1" applyFill="1" applyAlignment="1">
      <alignment horizontal="center" vertical="center" wrapText="1"/>
    </xf>
    <xf numFmtId="0" fontId="15" fillId="23" borderId="33" xfId="0" applyFont="1" applyFill="1" applyAlignment="1">
      <alignment horizontal="center" vertical="center" wrapText="1"/>
    </xf>
    <xf numFmtId="0" fontId="36" fillId="52" borderId="33" xfId="0" applyFont="1" applyFill="1" applyAlignment="1">
      <alignment horizontal="center" vertical="center" wrapText="1"/>
    </xf>
    <xf numFmtId="0" fontId="30" fillId="56" borderId="33" xfId="0" applyFont="1" applyFill="1" applyAlignment="1">
      <alignment horizontal="center" vertical="center" wrapText="1"/>
    </xf>
    <xf numFmtId="0" fontId="30" fillId="23" borderId="33" xfId="0" applyFont="1" applyFill="1" applyAlignment="1">
      <alignment horizontal="center" vertical="center" wrapText="1"/>
    </xf>
    <xf numFmtId="0" fontId="64" fillId="74" borderId="37" xfId="0" applyFont="1" applyFill="1" applyBorder="1" applyAlignment="1">
      <alignment horizontal="center" vertical="center"/>
    </xf>
    <xf numFmtId="0" fontId="61" fillId="81" borderId="37" xfId="0" applyFont="1" applyFill="1" applyBorder="1" applyAlignment="1">
      <alignment horizontal="center" vertical="center" wrapText="1"/>
    </xf>
    <xf numFmtId="0" fontId="30" fillId="55" borderId="33" xfId="0" applyFont="1" applyFill="1" applyAlignment="1">
      <alignment horizontal="center" vertical="center" wrapText="1"/>
    </xf>
    <xf numFmtId="0" fontId="30" fillId="58" borderId="33" xfId="0" applyFont="1" applyFill="1" applyAlignment="1">
      <alignment horizontal="center" vertical="center" wrapText="1"/>
    </xf>
    <xf numFmtId="0" fontId="30" fillId="57" borderId="33" xfId="0" applyFont="1" applyFill="1" applyAlignment="1">
      <alignment horizontal="center" vertical="center" wrapText="1"/>
    </xf>
    <xf numFmtId="0" fontId="59" fillId="62" borderId="33" xfId="0" applyFont="1" applyFill="1" applyAlignment="1">
      <alignment vertical="center" wrapText="1"/>
    </xf>
    <xf numFmtId="0" fontId="48" fillId="61" borderId="33" xfId="0" applyFont="1" applyFill="1" applyAlignment="1">
      <alignment vertical="center" wrapText="1"/>
    </xf>
    <xf numFmtId="0" fontId="43" fillId="59" borderId="33" xfId="0" applyFont="1" applyFill="1" applyAlignment="1">
      <alignment vertical="center"/>
    </xf>
    <xf numFmtId="0" fontId="49" fillId="63" borderId="33" xfId="0" applyFont="1" applyFill="1"/>
    <xf numFmtId="0" fontId="44" fillId="60" borderId="33" xfId="0" applyFont="1" applyFill="1" applyAlignment="1">
      <alignment vertical="center"/>
    </xf>
    <xf numFmtId="0" fontId="26" fillId="9" borderId="33" xfId="0" applyFont="1" applyFill="1" applyAlignment="1">
      <alignment vertical="center" wrapText="1"/>
    </xf>
    <xf numFmtId="0" fontId="2" fillId="3" borderId="33" xfId="0" applyFont="1" applyFill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6858000" cy="31718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12192000" cy="6858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mpaignChapterTable" displayName="CampaignChapterTable" ref="A14:I19">
  <autoFilter ref="A14:I19" xr:uid="{00000000-0009-0000-0100-000001000000}"/>
  <tableColumns count="9">
    <tableColumn id="1" xr3:uid="{00000000-0010-0000-0000-000001000000}" name="No"/>
    <tableColumn id="2" xr3:uid="{00000000-0010-0000-0000-000002000000}" name="챕터"/>
    <tableColumn id="3" xr3:uid="{00000000-0010-0000-0000-000003000000}" name="목표(초)"/>
    <tableColumn id="4" xr3:uid="{00000000-0010-0000-0000-000004000000}" name="목표(분)"/>
    <tableColumn id="5" xr3:uid="{00000000-0010-0000-0000-000005000000}" name="구현 상태"/>
    <tableColumn id="6" xr3:uid="{00000000-0010-0000-0000-000006000000}" name="사망 시"/>
    <tableColumn id="7" xr3:uid="{00000000-0010-0000-0000-000007000000}" name="핵심 동선"/>
    <tableColumn id="8" xr3:uid="{00000000-0010-0000-0000-000008000000}" name="피날레"/>
    <tableColumn id="9" xr3:uid="{00000000-0010-0000-0000-000009000000}" name="설계 근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hapter1PacingTable" displayName="Chapter1PacingTable" ref="A27:K32">
  <autoFilter ref="A27:K32" xr:uid="{00000000-0009-0000-0100-000002000000}"/>
  <tableColumns count="11">
    <tableColumn id="1" xr3:uid="{00000000-0010-0000-0100-000001000000}" name="단계"/>
    <tableColumn id="2" xr3:uid="{00000000-0010-0000-0100-000002000000}" name="시작(초)"/>
    <tableColumn id="3" xr3:uid="{00000000-0010-0000-0100-000003000000}" name="종료(초)"/>
    <tableColumn id="4" xr3:uid="{00000000-0010-0000-0100-000004000000}" name="구간시간"/>
    <tableColumn id="5" xr3:uid="{00000000-0010-0000-0100-000005000000}" name="표시"/>
    <tableColumn id="6" xr3:uid="{00000000-0010-0000-0100-000006000000}" name="동선"/>
    <tableColumn id="7" xr3:uid="{00000000-0010-0000-0100-000007000000}" name="전투"/>
    <tableColumn id="8" xr3:uid="{00000000-0010-0000-0100-000008000000}" name="주요 오브젝트"/>
    <tableColumn id="9" xr3:uid="{00000000-0010-0000-0100-000009000000}" name="휴식/보급"/>
    <tableColumn id="10" xr3:uid="{00000000-0010-0000-0100-00000A000000}" name="종료 이벤트"/>
    <tableColumn id="11" xr3:uid="{00000000-0010-0000-0100-00000B000000}" name="구현 상태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hapter2PacingTable" displayName="Chapter2PacingTable" ref="A27:K32">
  <autoFilter ref="A27:K32" xr:uid="{00000000-0009-0000-0100-000003000000}"/>
  <tableColumns count="11">
    <tableColumn id="1" xr3:uid="{00000000-0010-0000-0200-000001000000}" name="단계"/>
    <tableColumn id="2" xr3:uid="{00000000-0010-0000-0200-000002000000}" name="시작(초)"/>
    <tableColumn id="3" xr3:uid="{00000000-0010-0000-0200-000003000000}" name="종료(초)"/>
    <tableColumn id="4" xr3:uid="{00000000-0010-0000-0200-000004000000}" name="구간시간"/>
    <tableColumn id="5" xr3:uid="{00000000-0010-0000-0200-000005000000}" name="표시"/>
    <tableColumn id="6" xr3:uid="{00000000-0010-0000-0200-000006000000}" name="동선"/>
    <tableColumn id="7" xr3:uid="{00000000-0010-0000-0200-000007000000}" name="전투"/>
    <tableColumn id="8" xr3:uid="{00000000-0010-0000-0200-000008000000}" name="주요 오브젝트"/>
    <tableColumn id="9" xr3:uid="{00000000-0010-0000-0200-000009000000}" name="휴식/보급"/>
    <tableColumn id="10" xr3:uid="{00000000-0010-0000-0200-00000A000000}" name="종료 이벤트"/>
    <tableColumn id="11" xr3:uid="{00000000-0010-0000-0200-00000B000000}" name="구현 상태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hapter3PacingTable" displayName="Chapter3PacingTable" ref="A27:K31">
  <autoFilter ref="A27:K31" xr:uid="{00000000-0009-0000-0100-000004000000}"/>
  <tableColumns count="11">
    <tableColumn id="1" xr3:uid="{00000000-0010-0000-0300-000001000000}" name="단계"/>
    <tableColumn id="2" xr3:uid="{00000000-0010-0000-0300-000002000000}" name="시작(초)"/>
    <tableColumn id="3" xr3:uid="{00000000-0010-0000-0300-000003000000}" name="종료(초)"/>
    <tableColumn id="4" xr3:uid="{00000000-0010-0000-0300-000004000000}" name="구간시간"/>
    <tableColumn id="5" xr3:uid="{00000000-0010-0000-0300-000005000000}" name="표시"/>
    <tableColumn id="6" xr3:uid="{00000000-0010-0000-0300-000006000000}" name="동선"/>
    <tableColumn id="7" xr3:uid="{00000000-0010-0000-0300-000007000000}" name="전투"/>
    <tableColumn id="8" xr3:uid="{00000000-0010-0000-0300-000008000000}" name="주요 오브젝트"/>
    <tableColumn id="9" xr3:uid="{00000000-0010-0000-0300-000009000000}" name="휴식/보급"/>
    <tableColumn id="10" xr3:uid="{00000000-0010-0000-0300-00000A000000}" name="종료 이벤트"/>
    <tableColumn id="11" xr3:uid="{00000000-0010-0000-0300-00000B000000}" name="구현 상태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hapter4PacingTable" displayName="Chapter4PacingTable" ref="A27:K32">
  <autoFilter ref="A27:K32" xr:uid="{00000000-0009-0000-0100-000005000000}"/>
  <tableColumns count="11">
    <tableColumn id="1" xr3:uid="{00000000-0010-0000-0400-000001000000}" name="단계"/>
    <tableColumn id="2" xr3:uid="{00000000-0010-0000-0400-000002000000}" name="시작(초)"/>
    <tableColumn id="3" xr3:uid="{00000000-0010-0000-0400-000003000000}" name="종료(초)"/>
    <tableColumn id="4" xr3:uid="{00000000-0010-0000-0400-000004000000}" name="구간시간"/>
    <tableColumn id="5" xr3:uid="{00000000-0010-0000-0400-000005000000}" name="표시"/>
    <tableColumn id="6" xr3:uid="{00000000-0010-0000-0400-000006000000}" name="동선"/>
    <tableColumn id="7" xr3:uid="{00000000-0010-0000-0400-000007000000}" name="전투"/>
    <tableColumn id="8" xr3:uid="{00000000-0010-0000-0400-000008000000}" name="주요 오브젝트"/>
    <tableColumn id="9" xr3:uid="{00000000-0010-0000-0400-000009000000}" name="휴식/보급"/>
    <tableColumn id="10" xr3:uid="{00000000-0010-0000-0400-00000A000000}" name="종료 이벤트"/>
    <tableColumn id="11" xr3:uid="{00000000-0010-0000-0400-00000B000000}" name="구현 상태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hapter5PacingTable" displayName="Chapter5PacingTable" ref="A27:K32">
  <autoFilter ref="A27:K32" xr:uid="{00000000-0009-0000-0100-000006000000}"/>
  <tableColumns count="11">
    <tableColumn id="1" xr3:uid="{00000000-0010-0000-0500-000001000000}" name="단계"/>
    <tableColumn id="2" xr3:uid="{00000000-0010-0000-0500-000002000000}" name="시작(초)"/>
    <tableColumn id="3" xr3:uid="{00000000-0010-0000-0500-000003000000}" name="종료(초)"/>
    <tableColumn id="4" xr3:uid="{00000000-0010-0000-0500-000004000000}" name="구간시간"/>
    <tableColumn id="5" xr3:uid="{00000000-0010-0000-0500-000005000000}" name="표시"/>
    <tableColumn id="6" xr3:uid="{00000000-0010-0000-0500-000006000000}" name="동선"/>
    <tableColumn id="7" xr3:uid="{00000000-0010-0000-0500-000007000000}" name="전투"/>
    <tableColumn id="8" xr3:uid="{00000000-0010-0000-0500-000008000000}" name="주요 오브젝트"/>
    <tableColumn id="9" xr3:uid="{00000000-0010-0000-0500-000009000000}" name="휴식/보급"/>
    <tableColumn id="10" xr3:uid="{00000000-0010-0000-0500-00000A000000}" name="종료 이벤트"/>
    <tableColumn id="11" xr3:uid="{00000000-0010-0000-0500-00000B000000}" name="구현 상태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AllChapterObjectTable" displayName="AllChapterObjectTable" ref="A4:L28">
  <autoFilter ref="A4:L28" xr:uid="{00000000-0009-0000-0100-000007000000}"/>
  <tableColumns count="12">
    <tableColumn id="1" xr3:uid="{00000000-0010-0000-0600-000001000000}" name="ID"/>
    <tableColumn id="2" xr3:uid="{00000000-0010-0000-0600-000002000000}" name="챕터"/>
    <tableColumn id="3" xr3:uid="{00000000-0010-0000-0600-000003000000}" name="단계"/>
    <tableColumn id="4" xr3:uid="{00000000-0010-0000-0600-000004000000}" name="시간"/>
    <tableColumn id="5" xr3:uid="{00000000-0010-0000-0600-000005000000}" name="동선"/>
    <tableColumn id="6" xr3:uid="{00000000-0010-0000-0600-000006000000}" name="전투"/>
    <tableColumn id="7" xr3:uid="{00000000-0010-0000-0600-000007000000}" name="주요 오브젝트"/>
    <tableColumn id="8" xr3:uid="{00000000-0010-0000-0600-000008000000}" name="휴식/보급"/>
    <tableColumn id="9" xr3:uid="{00000000-0010-0000-0600-000009000000}" name="피날레"/>
    <tableColumn id="10" xr3:uid="{00000000-0010-0000-0600-00000A000000}" name="중앙 확보폭"/>
    <tableColumn id="11" xr3:uid="{00000000-0010-0000-0600-00000B000000}" name="구현 상태"/>
    <tableColumn id="12" xr3:uid="{00000000-0010-0000-0600-00000C000000}" name="배치 주의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ScaleDistanceTable" displayName="ScaleDistanceTable" ref="A4:L9">
  <autoFilter ref="A4:L9" xr:uid="{00000000-0009-0000-0100-000008000000}"/>
  <tableColumns count="12">
    <tableColumn id="1" xr3:uid="{00000000-0010-0000-0700-000001000000}" name="No"/>
    <tableColumn id="2" xr3:uid="{00000000-0010-0000-0700-000002000000}" name="챕터"/>
    <tableColumn id="3" xr3:uid="{00000000-0010-0000-0700-000003000000}" name="목표(초)"/>
    <tableColumn id="4" xr3:uid="{00000000-0010-0000-0700-000004000000}" name="표시"/>
    <tableColumn id="5" xr3:uid="{00000000-0010-0000-0700-000005000000}" name="이론 필요거리(u)"/>
    <tableColumn id="6" xr3:uid="{00000000-0010-0000-0700-000006000000}" name="재시작"/>
    <tableColumn id="7" xr3:uid="{00000000-0010-0000-0700-000007000000}" name="총 모듈"/>
    <tableColumn id="8" xr3:uid="{00000000-0010-0000-0700-000008000000}" name="추가 모듈"/>
    <tableColumn id="9" xr3:uid="{00000000-0010-0000-0700-000009000000}" name="계획거리(u)"/>
    <tableColumn id="10" xr3:uid="{00000000-0010-0000-0700-00000A000000}" name="예상시간(초)"/>
    <tableColumn id="11" xr3:uid="{00000000-0010-0000-0700-00000B000000}" name="지도셀"/>
    <tableColumn id="12" xr3:uid="{00000000-0010-0000-0700-00000C000000}" name="판정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ampaignSourcesTable" displayName="CampaignSourcesTable" ref="A4:F13">
  <autoFilter ref="A4:F13" xr:uid="{00000000-0009-0000-0100-000009000000}"/>
  <tableColumns count="6">
    <tableColumn id="1" xr3:uid="{00000000-0010-0000-0800-000001000000}" name="구분"/>
    <tableColumn id="2" xr3:uid="{00000000-0010-0000-0800-000002000000}" name="챕터"/>
    <tableColumn id="3" xr3:uid="{00000000-0010-0000-0800-000003000000}" name="경로"/>
    <tableColumn id="4" xr3:uid="{00000000-0010-0000-0800-000004000000}" name="확인 내용"/>
    <tableColumn id="5" xr3:uid="{00000000-0010-0000-0800-000005000000}" name="설계 적용"/>
    <tableColumn id="6" xr3:uid="{00000000-0010-0000-0800-000006000000}" name="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9"/>
  <sheetViews>
    <sheetView showGridLines="0" tabSelected="1" workbookViewId="0">
      <pane ySplit="13" topLeftCell="A14" activePane="bottomLeft" state="frozen"/>
      <selection pane="bottomLeft" sqref="A1:Q1"/>
    </sheetView>
  </sheetViews>
  <sheetFormatPr defaultRowHeight="16.5" x14ac:dyDescent="0.3"/>
  <cols>
    <col min="1" max="1" width="10.5" customWidth="1"/>
    <col min="2" max="2" width="13" customWidth="1"/>
    <col min="3" max="6" width="10.5" customWidth="1"/>
    <col min="7" max="8" width="24" customWidth="1"/>
    <col min="9" max="9" width="31" customWidth="1"/>
    <col min="10" max="17" width="10.5" customWidth="1"/>
  </cols>
  <sheetData>
    <row r="1" spans="1:17" ht="38.1" customHeight="1" x14ac:dyDescent="0.3">
      <c r="A1" s="162" t="s">
        <v>0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</row>
    <row r="2" spans="1:17" ht="27.95" customHeight="1" x14ac:dyDescent="0.3">
      <c r="A2" s="173" t="s">
        <v>1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</row>
    <row r="4" spans="1:17" x14ac:dyDescent="0.3">
      <c r="A4" s="149" t="s">
        <v>2</v>
      </c>
      <c r="B4" s="150"/>
      <c r="C4" s="150"/>
      <c r="D4" s="151"/>
      <c r="E4" s="170" t="s">
        <v>3</v>
      </c>
      <c r="F4" s="171"/>
      <c r="G4" s="171"/>
      <c r="H4" s="172"/>
      <c r="I4" s="152" t="s">
        <v>4</v>
      </c>
      <c r="J4" s="153"/>
      <c r="K4" s="153"/>
      <c r="L4" s="154"/>
      <c r="M4" s="183" t="s">
        <v>5</v>
      </c>
      <c r="N4" s="184"/>
      <c r="O4" s="184"/>
      <c r="P4" s="184"/>
      <c r="Q4" s="185"/>
    </row>
    <row r="5" spans="1:17" x14ac:dyDescent="0.3">
      <c r="A5" s="169">
        <f>설정_계산!B10</f>
        <v>5</v>
      </c>
      <c r="B5" s="148"/>
      <c r="C5" s="148"/>
      <c r="D5" s="148"/>
      <c r="E5" s="164" t="str">
        <f>설정_계산!D10</f>
        <v>20:00</v>
      </c>
      <c r="F5" s="148"/>
      <c r="G5" s="148"/>
      <c r="H5" s="148"/>
      <c r="I5" s="168">
        <f>MAX(설정_계산!$C$5:$C$9)/60</f>
        <v>5</v>
      </c>
      <c r="J5" s="148"/>
      <c r="K5" s="148"/>
      <c r="L5" s="148"/>
      <c r="M5" s="181" t="s">
        <v>6</v>
      </c>
      <c r="N5" s="148"/>
      <c r="O5" s="148"/>
      <c r="P5" s="148"/>
      <c r="Q5" s="148"/>
    </row>
    <row r="6" spans="1:17" x14ac:dyDescent="0.3">
      <c r="A6" s="148"/>
      <c r="B6" s="148"/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</row>
    <row r="7" spans="1:17" x14ac:dyDescent="0.3">
      <c r="A7" s="174" t="s">
        <v>7</v>
      </c>
      <c r="B7" s="175"/>
      <c r="C7" s="175"/>
      <c r="D7" s="176"/>
      <c r="E7" s="157" t="s">
        <v>8</v>
      </c>
      <c r="F7" s="158"/>
      <c r="G7" s="158"/>
      <c r="H7" s="159"/>
      <c r="I7" s="178" t="s">
        <v>9</v>
      </c>
      <c r="J7" s="179"/>
      <c r="K7" s="179"/>
      <c r="L7" s="180"/>
      <c r="M7" s="165" t="s">
        <v>10</v>
      </c>
      <c r="N7" s="166"/>
      <c r="O7" s="166"/>
      <c r="P7" s="166"/>
      <c r="Q7" s="167"/>
    </row>
    <row r="9" spans="1:17" ht="24.95" customHeight="1" x14ac:dyDescent="0.3">
      <c r="A9" s="147" t="s">
        <v>11</v>
      </c>
      <c r="B9" s="148"/>
      <c r="C9" s="148"/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</row>
    <row r="10" spans="1:17" x14ac:dyDescent="0.3">
      <c r="A10" s="161" t="s">
        <v>12</v>
      </c>
      <c r="B10" s="148"/>
      <c r="C10" s="148"/>
      <c r="D10" s="148"/>
      <c r="E10" s="161" t="s">
        <v>13</v>
      </c>
      <c r="F10" s="148"/>
      <c r="G10" s="148"/>
      <c r="H10" s="148"/>
      <c r="I10" s="161" t="s">
        <v>14</v>
      </c>
      <c r="J10" s="148"/>
      <c r="K10" s="148"/>
      <c r="L10" s="148"/>
      <c r="M10" s="161" t="s">
        <v>15</v>
      </c>
      <c r="N10" s="148"/>
      <c r="O10" s="148"/>
      <c r="P10" s="148"/>
    </row>
    <row r="11" spans="1:17" x14ac:dyDescent="0.3">
      <c r="A11" s="160" t="s">
        <v>16</v>
      </c>
      <c r="B11" s="148"/>
      <c r="C11" s="148"/>
      <c r="D11" s="148"/>
      <c r="E11" s="160" t="s">
        <v>17</v>
      </c>
      <c r="F11" s="148"/>
      <c r="G11" s="148"/>
      <c r="H11" s="148"/>
      <c r="I11" s="160" t="s">
        <v>18</v>
      </c>
      <c r="J11" s="148"/>
      <c r="K11" s="148"/>
      <c r="L11" s="148"/>
      <c r="M11" s="160" t="s">
        <v>19</v>
      </c>
      <c r="N11" s="148"/>
      <c r="O11" s="148"/>
      <c r="P11" s="148"/>
    </row>
    <row r="12" spans="1:17" x14ac:dyDescent="0.3">
      <c r="A12" s="148"/>
      <c r="B12" s="148"/>
      <c r="C12" s="148"/>
      <c r="D12" s="148"/>
      <c r="E12" s="148"/>
      <c r="F12" s="148"/>
      <c r="G12" s="148"/>
      <c r="H12" s="148"/>
      <c r="I12" s="148"/>
      <c r="J12" s="148"/>
      <c r="K12" s="148"/>
      <c r="L12" s="148"/>
      <c r="M12" s="148"/>
      <c r="N12" s="148"/>
      <c r="O12" s="148"/>
      <c r="P12" s="148"/>
    </row>
    <row r="14" spans="1:17" x14ac:dyDescent="0.3">
      <c r="A14" s="1" t="s">
        <v>20</v>
      </c>
      <c r="B14" s="1" t="s">
        <v>2</v>
      </c>
      <c r="C14" s="1" t="s">
        <v>21</v>
      </c>
      <c r="D14" s="1" t="s">
        <v>22</v>
      </c>
      <c r="E14" s="1" t="s">
        <v>23</v>
      </c>
      <c r="F14" s="1" t="s">
        <v>24</v>
      </c>
      <c r="G14" s="1" t="s">
        <v>25</v>
      </c>
      <c r="H14" s="1" t="s">
        <v>26</v>
      </c>
      <c r="I14" s="1" t="s">
        <v>27</v>
      </c>
      <c r="K14" s="163" t="s">
        <v>28</v>
      </c>
      <c r="L14" s="148"/>
      <c r="M14" s="148"/>
      <c r="N14" s="148"/>
      <c r="O14" s="148"/>
      <c r="P14" s="148"/>
      <c r="Q14" s="148"/>
    </row>
    <row r="15" spans="1:17" ht="38.1" customHeight="1" x14ac:dyDescent="0.3">
      <c r="A15" s="2">
        <v>1</v>
      </c>
      <c r="B15" s="3" t="s">
        <v>29</v>
      </c>
      <c r="C15" s="4">
        <f>설정_계산!C5</f>
        <v>270</v>
      </c>
      <c r="D15" s="5">
        <f>C15/60</f>
        <v>4.5</v>
      </c>
      <c r="E15" s="2" t="s">
        <v>30</v>
      </c>
      <c r="F15" s="6" t="s">
        <v>31</v>
      </c>
      <c r="G15" s="6" t="s">
        <v>32</v>
      </c>
      <c r="H15" s="6" t="s">
        <v>33</v>
      </c>
      <c r="I15" s="6" t="s">
        <v>34</v>
      </c>
      <c r="K15" s="148"/>
      <c r="L15" s="148"/>
      <c r="M15" s="148"/>
      <c r="N15" s="148"/>
      <c r="O15" s="148"/>
      <c r="P15" s="148"/>
      <c r="Q15" s="148"/>
    </row>
    <row r="16" spans="1:17" ht="38.1" customHeight="1" x14ac:dyDescent="0.3">
      <c r="A16" s="2">
        <v>2</v>
      </c>
      <c r="B16" s="7" t="s">
        <v>35</v>
      </c>
      <c r="C16" s="4">
        <f>설정_계산!C6</f>
        <v>240</v>
      </c>
      <c r="D16" s="5">
        <f>C16/60</f>
        <v>4</v>
      </c>
      <c r="E16" s="2" t="s">
        <v>36</v>
      </c>
      <c r="F16" s="6" t="s">
        <v>31</v>
      </c>
      <c r="G16" s="6" t="s">
        <v>37</v>
      </c>
      <c r="H16" s="6" t="s">
        <v>38</v>
      </c>
      <c r="I16" s="6" t="s">
        <v>39</v>
      </c>
      <c r="K16" s="148"/>
      <c r="L16" s="148"/>
      <c r="M16" s="148"/>
      <c r="N16" s="148"/>
      <c r="O16" s="148"/>
      <c r="P16" s="148"/>
      <c r="Q16" s="148"/>
    </row>
    <row r="17" spans="1:17" ht="38.1" customHeight="1" x14ac:dyDescent="0.3">
      <c r="A17" s="2">
        <v>3</v>
      </c>
      <c r="B17" s="8" t="s">
        <v>40</v>
      </c>
      <c r="C17" s="4">
        <f>설정_계산!C7</f>
        <v>120</v>
      </c>
      <c r="D17" s="5">
        <f>C17/60</f>
        <v>2</v>
      </c>
      <c r="E17" s="2" t="s">
        <v>41</v>
      </c>
      <c r="F17" s="6" t="s">
        <v>31</v>
      </c>
      <c r="G17" s="6" t="s">
        <v>42</v>
      </c>
      <c r="H17" s="6" t="s">
        <v>43</v>
      </c>
      <c r="I17" s="6" t="s">
        <v>44</v>
      </c>
      <c r="K17" s="177" t="s">
        <v>45</v>
      </c>
      <c r="L17" s="148"/>
      <c r="M17" s="148"/>
      <c r="N17" s="148"/>
      <c r="O17" s="148"/>
      <c r="P17" s="148"/>
      <c r="Q17" s="148"/>
    </row>
    <row r="18" spans="1:17" ht="38.1" customHeight="1" x14ac:dyDescent="0.3">
      <c r="A18" s="2">
        <v>4</v>
      </c>
      <c r="B18" s="9" t="s">
        <v>46</v>
      </c>
      <c r="C18" s="4">
        <f>설정_계산!C8</f>
        <v>270</v>
      </c>
      <c r="D18" s="5">
        <f>C18/60</f>
        <v>4.5</v>
      </c>
      <c r="E18" s="2" t="s">
        <v>41</v>
      </c>
      <c r="F18" s="6" t="s">
        <v>31</v>
      </c>
      <c r="G18" s="6" t="s">
        <v>47</v>
      </c>
      <c r="H18" s="6" t="s">
        <v>48</v>
      </c>
      <c r="I18" s="6" t="s">
        <v>49</v>
      </c>
      <c r="K18" s="148"/>
      <c r="L18" s="148"/>
      <c r="M18" s="148"/>
      <c r="N18" s="148"/>
      <c r="O18" s="148"/>
      <c r="P18" s="148"/>
      <c r="Q18" s="148"/>
    </row>
    <row r="19" spans="1:17" ht="38.1" customHeight="1" x14ac:dyDescent="0.3">
      <c r="A19" s="2">
        <v>5</v>
      </c>
      <c r="B19" s="10" t="s">
        <v>50</v>
      </c>
      <c r="C19" s="4">
        <f>설정_계산!C9</f>
        <v>300</v>
      </c>
      <c r="D19" s="5">
        <f>C19/60</f>
        <v>5</v>
      </c>
      <c r="E19" s="2" t="s">
        <v>41</v>
      </c>
      <c r="F19" s="6" t="s">
        <v>31</v>
      </c>
      <c r="G19" s="6" t="s">
        <v>51</v>
      </c>
      <c r="H19" s="6" t="s">
        <v>52</v>
      </c>
      <c r="I19" s="6" t="s">
        <v>53</v>
      </c>
      <c r="K19" s="148"/>
      <c r="L19" s="148"/>
      <c r="M19" s="148"/>
      <c r="N19" s="148"/>
      <c r="O19" s="148"/>
      <c r="P19" s="148"/>
      <c r="Q19" s="148"/>
    </row>
    <row r="20" spans="1:17" x14ac:dyDescent="0.3">
      <c r="K20" s="148"/>
      <c r="L20" s="148"/>
      <c r="M20" s="148"/>
      <c r="N20" s="148"/>
      <c r="O20" s="148"/>
      <c r="P20" s="148"/>
      <c r="Q20" s="148"/>
    </row>
    <row r="21" spans="1:17" x14ac:dyDescent="0.3">
      <c r="K21" s="155" t="s">
        <v>54</v>
      </c>
      <c r="L21" s="148"/>
      <c r="M21" s="148"/>
      <c r="N21" s="148"/>
      <c r="O21" s="148"/>
      <c r="P21" s="148"/>
      <c r="Q21" s="148"/>
    </row>
    <row r="22" spans="1:17" x14ac:dyDescent="0.3">
      <c r="A22" s="156" t="s">
        <v>55</v>
      </c>
      <c r="B22" s="148"/>
      <c r="C22" s="148"/>
      <c r="D22" s="148"/>
      <c r="E22" s="148"/>
      <c r="F22" s="148"/>
      <c r="G22" s="148"/>
      <c r="H22" s="148"/>
      <c r="I22" s="148"/>
      <c r="K22" s="148"/>
      <c r="L22" s="148"/>
      <c r="M22" s="148"/>
      <c r="N22" s="148"/>
      <c r="O22" s="148"/>
      <c r="P22" s="148"/>
      <c r="Q22" s="148"/>
    </row>
    <row r="23" spans="1:17" x14ac:dyDescent="0.3">
      <c r="A23" s="148"/>
      <c r="B23" s="148"/>
      <c r="C23" s="148"/>
      <c r="D23" s="148"/>
      <c r="E23" s="148"/>
      <c r="F23" s="148"/>
      <c r="G23" s="148"/>
      <c r="H23" s="148"/>
      <c r="I23" s="148"/>
      <c r="K23" s="148"/>
      <c r="L23" s="148"/>
      <c r="M23" s="148"/>
      <c r="N23" s="148"/>
      <c r="O23" s="148"/>
      <c r="P23" s="148"/>
      <c r="Q23" s="148"/>
    </row>
    <row r="24" spans="1:17" x14ac:dyDescent="0.3">
      <c r="A24" s="148"/>
      <c r="B24" s="148"/>
      <c r="C24" s="148"/>
      <c r="D24" s="148"/>
      <c r="E24" s="148"/>
      <c r="F24" s="148"/>
      <c r="G24" s="148"/>
      <c r="H24" s="148"/>
      <c r="I24" s="148"/>
      <c r="K24" s="148"/>
      <c r="L24" s="148"/>
      <c r="M24" s="148"/>
      <c r="N24" s="148"/>
      <c r="O24" s="148"/>
      <c r="P24" s="148"/>
      <c r="Q24" s="148"/>
    </row>
    <row r="25" spans="1:17" x14ac:dyDescent="0.3">
      <c r="A25" s="148"/>
      <c r="B25" s="148"/>
      <c r="C25" s="148"/>
      <c r="D25" s="148"/>
      <c r="E25" s="148"/>
      <c r="F25" s="148"/>
      <c r="G25" s="148"/>
      <c r="H25" s="148"/>
      <c r="I25" s="148"/>
    </row>
    <row r="27" spans="1:17" x14ac:dyDescent="0.3">
      <c r="A27" s="182" t="s">
        <v>56</v>
      </c>
      <c r="B27" s="148"/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</row>
    <row r="28" spans="1:17" x14ac:dyDescent="0.3">
      <c r="A28" s="148"/>
      <c r="B28" s="148"/>
      <c r="C28" s="148"/>
      <c r="D28" s="148"/>
      <c r="E28" s="148"/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</row>
    <row r="29" spans="1:17" x14ac:dyDescent="0.3">
      <c r="A29" s="148"/>
      <c r="B29" s="148"/>
      <c r="C29" s="148"/>
      <c r="D29" s="148"/>
      <c r="E29" s="148"/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</row>
  </sheetData>
  <mergeCells count="28">
    <mergeCell ref="A27:Q29"/>
    <mergeCell ref="A11:D12"/>
    <mergeCell ref="I11:L12"/>
    <mergeCell ref="M4:Q4"/>
    <mergeCell ref="A1:Q1"/>
    <mergeCell ref="K14:Q16"/>
    <mergeCell ref="E5:H6"/>
    <mergeCell ref="E11:H12"/>
    <mergeCell ref="M7:Q7"/>
    <mergeCell ref="I5:L6"/>
    <mergeCell ref="A5:D6"/>
    <mergeCell ref="E4:H4"/>
    <mergeCell ref="A2:Q2"/>
    <mergeCell ref="A7:D7"/>
    <mergeCell ref="I7:L7"/>
    <mergeCell ref="M10:P10"/>
    <mergeCell ref="E10:H10"/>
    <mergeCell ref="M5:Q6"/>
    <mergeCell ref="A9:Q9"/>
    <mergeCell ref="A4:D4"/>
    <mergeCell ref="I4:L4"/>
    <mergeCell ref="K21:Q24"/>
    <mergeCell ref="A22:I25"/>
    <mergeCell ref="E7:H7"/>
    <mergeCell ref="M11:P12"/>
    <mergeCell ref="I10:L10"/>
    <mergeCell ref="A10:D10"/>
    <mergeCell ref="K17:Q20"/>
  </mergeCells>
  <phoneticPr fontId="42" type="noConversion"/>
  <conditionalFormatting sqref="D15:D19">
    <cfRule type="dataBar" priority="1">
      <dataBar>
        <cfvo type="num" val="0"/>
        <cfvo type="max"/>
        <color rgb="FF4C9DB5"/>
      </dataBar>
    </cfRule>
  </conditionalFormatting>
  <pageMargins left="0.2" right="0.2" top="0.3" bottom="0.3" header="0.5" footer="0.5"/>
  <pageSetup scale="54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33"/>
  <sheetViews>
    <sheetView showGridLines="0" workbookViewId="0">
      <pane ySplit="3" topLeftCell="A4" activePane="bottomLeft" state="frozen"/>
      <selection pane="bottomLeft" sqref="A1:N2"/>
    </sheetView>
  </sheetViews>
  <sheetFormatPr defaultRowHeight="16.5" x14ac:dyDescent="0.3"/>
  <cols>
    <col min="1" max="14" width="15" customWidth="1"/>
  </cols>
  <sheetData>
    <row r="1" spans="1:14" ht="27.95" customHeight="1" x14ac:dyDescent="0.3">
      <c r="A1" s="196" t="s">
        <v>57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</row>
    <row r="2" spans="1:14" ht="27.95" customHeight="1" x14ac:dyDescent="0.3">
      <c r="A2" s="148"/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</row>
    <row r="3" spans="1:14" ht="26.1" customHeight="1" x14ac:dyDescent="0.3">
      <c r="A3" s="193" t="s">
        <v>58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</row>
    <row r="4" spans="1:14" ht="21.95" customHeight="1" x14ac:dyDescent="0.3"/>
    <row r="5" spans="1:14" ht="21.95" customHeight="1" x14ac:dyDescent="0.3">
      <c r="H5" s="198" t="s">
        <v>59</v>
      </c>
      <c r="I5" s="148"/>
      <c r="J5" s="148"/>
      <c r="K5" s="148"/>
      <c r="L5" s="148"/>
      <c r="M5" s="148"/>
      <c r="N5" s="148"/>
    </row>
    <row r="6" spans="1:14" ht="21.95" customHeight="1" x14ac:dyDescent="0.3">
      <c r="H6" s="148"/>
      <c r="I6" s="148"/>
      <c r="J6" s="148"/>
      <c r="K6" s="148"/>
      <c r="L6" s="148"/>
      <c r="M6" s="148"/>
      <c r="N6" s="148"/>
    </row>
    <row r="7" spans="1:14" ht="21.95" customHeight="1" x14ac:dyDescent="0.3">
      <c r="H7" s="187" t="s">
        <v>60</v>
      </c>
      <c r="I7" s="189" t="s">
        <v>61</v>
      </c>
      <c r="J7" s="148"/>
      <c r="K7" s="148"/>
      <c r="L7" s="148"/>
      <c r="M7" s="148"/>
      <c r="N7" s="148"/>
    </row>
    <row r="8" spans="1:14" ht="21.95" customHeight="1" x14ac:dyDescent="0.3">
      <c r="H8" s="148"/>
      <c r="I8" s="148"/>
      <c r="J8" s="148"/>
      <c r="K8" s="148"/>
      <c r="L8" s="148"/>
      <c r="M8" s="148"/>
      <c r="N8" s="148"/>
    </row>
    <row r="9" spans="1:14" ht="21.95" customHeight="1" x14ac:dyDescent="0.3">
      <c r="H9" s="187" t="s">
        <v>62</v>
      </c>
      <c r="I9" s="189" t="s">
        <v>63</v>
      </c>
      <c r="J9" s="148"/>
      <c r="K9" s="148"/>
      <c r="L9" s="148"/>
      <c r="M9" s="148"/>
      <c r="N9" s="148"/>
    </row>
    <row r="10" spans="1:14" ht="21.95" customHeight="1" x14ac:dyDescent="0.3">
      <c r="H10" s="148"/>
      <c r="I10" s="148"/>
      <c r="J10" s="148"/>
      <c r="K10" s="148"/>
      <c r="L10" s="148"/>
      <c r="M10" s="148"/>
      <c r="N10" s="148"/>
    </row>
    <row r="11" spans="1:14" ht="21.95" customHeight="1" x14ac:dyDescent="0.3">
      <c r="H11" s="187" t="s">
        <v>64</v>
      </c>
      <c r="I11" s="189" t="s">
        <v>65</v>
      </c>
      <c r="J11" s="148"/>
      <c r="K11" s="148"/>
      <c r="L11" s="148"/>
      <c r="M11" s="148"/>
      <c r="N11" s="148"/>
    </row>
    <row r="12" spans="1:14" ht="21.95" customHeight="1" x14ac:dyDescent="0.3">
      <c r="H12" s="148"/>
      <c r="I12" s="148"/>
      <c r="J12" s="148"/>
      <c r="K12" s="148"/>
      <c r="L12" s="148"/>
      <c r="M12" s="148"/>
      <c r="N12" s="148"/>
    </row>
    <row r="13" spans="1:14" ht="21.95" customHeight="1" x14ac:dyDescent="0.3">
      <c r="H13" s="187" t="s">
        <v>66</v>
      </c>
      <c r="I13" s="189" t="s">
        <v>67</v>
      </c>
      <c r="J13" s="148"/>
      <c r="K13" s="148"/>
      <c r="L13" s="148"/>
      <c r="M13" s="148"/>
      <c r="N13" s="148"/>
    </row>
    <row r="14" spans="1:14" ht="21.95" customHeight="1" x14ac:dyDescent="0.3">
      <c r="H14" s="148"/>
      <c r="I14" s="148"/>
      <c r="J14" s="148"/>
      <c r="K14" s="148"/>
      <c r="L14" s="148"/>
      <c r="M14" s="148"/>
      <c r="N14" s="148"/>
    </row>
    <row r="15" spans="1:14" ht="21.95" customHeight="1" x14ac:dyDescent="0.3">
      <c r="H15" s="187" t="s">
        <v>68</v>
      </c>
      <c r="I15" s="189" t="s">
        <v>69</v>
      </c>
      <c r="J15" s="148"/>
      <c r="K15" s="148"/>
      <c r="L15" s="148"/>
      <c r="M15" s="148"/>
      <c r="N15" s="148"/>
    </row>
    <row r="16" spans="1:14" ht="21.95" customHeight="1" x14ac:dyDescent="0.3">
      <c r="H16" s="148"/>
      <c r="I16" s="148"/>
      <c r="J16" s="148"/>
      <c r="K16" s="148"/>
      <c r="L16" s="148"/>
      <c r="M16" s="148"/>
      <c r="N16" s="148"/>
    </row>
    <row r="17" spans="1:14" ht="21.95" customHeight="1" x14ac:dyDescent="0.3"/>
    <row r="18" spans="1:14" ht="21.95" customHeight="1" x14ac:dyDescent="0.3"/>
    <row r="19" spans="1:14" ht="21.95" customHeight="1" x14ac:dyDescent="0.3"/>
    <row r="20" spans="1:14" ht="21.95" customHeight="1" x14ac:dyDescent="0.3"/>
    <row r="21" spans="1:14" ht="21.95" customHeight="1" x14ac:dyDescent="0.3"/>
    <row r="22" spans="1:14" ht="21.95" customHeight="1" x14ac:dyDescent="0.3">
      <c r="A22" s="199" t="s">
        <v>70</v>
      </c>
      <c r="B22" s="148"/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48"/>
      <c r="N22" s="148"/>
    </row>
    <row r="23" spans="1:14" ht="21.95" customHeight="1" x14ac:dyDescent="0.3">
      <c r="A23" s="86" t="s">
        <v>71</v>
      </c>
      <c r="B23" s="186" t="s">
        <v>72</v>
      </c>
      <c r="C23" s="148"/>
      <c r="D23" s="86" t="s">
        <v>73</v>
      </c>
      <c r="E23" s="86" t="s">
        <v>74</v>
      </c>
      <c r="F23" s="86" t="s">
        <v>75</v>
      </c>
      <c r="G23" s="86" t="s">
        <v>76</v>
      </c>
      <c r="H23" s="86" t="s">
        <v>77</v>
      </c>
      <c r="I23" s="86" t="s">
        <v>78</v>
      </c>
      <c r="J23" s="86" t="s">
        <v>79</v>
      </c>
      <c r="K23" s="186" t="s">
        <v>80</v>
      </c>
      <c r="L23" s="148"/>
      <c r="M23" s="148"/>
      <c r="N23" s="148"/>
    </row>
    <row r="24" spans="1:14" ht="33.950000000000003" customHeight="1" x14ac:dyDescent="0.3">
      <c r="A24" s="87">
        <v>1</v>
      </c>
      <c r="B24" s="197" t="s">
        <v>29</v>
      </c>
      <c r="C24" s="148"/>
      <c r="D24" s="87" t="s">
        <v>81</v>
      </c>
      <c r="E24" s="87">
        <v>142</v>
      </c>
      <c r="F24" s="87">
        <v>71</v>
      </c>
      <c r="G24" s="87">
        <v>7</v>
      </c>
      <c r="H24" s="87" t="s">
        <v>82</v>
      </c>
      <c r="I24" s="87" t="s">
        <v>83</v>
      </c>
      <c r="J24" s="87" t="s">
        <v>84</v>
      </c>
      <c r="K24" s="191" t="s">
        <v>85</v>
      </c>
      <c r="L24" s="148"/>
      <c r="M24" s="148"/>
      <c r="N24" s="148"/>
    </row>
    <row r="25" spans="1:14" ht="33.950000000000003" customHeight="1" x14ac:dyDescent="0.3">
      <c r="A25" s="88">
        <v>2</v>
      </c>
      <c r="B25" s="188" t="s">
        <v>35</v>
      </c>
      <c r="C25" s="148"/>
      <c r="D25" s="88" t="s">
        <v>86</v>
      </c>
      <c r="E25" s="88">
        <v>125</v>
      </c>
      <c r="F25" s="88">
        <v>63</v>
      </c>
      <c r="G25" s="88">
        <v>3</v>
      </c>
      <c r="H25" s="88" t="s">
        <v>87</v>
      </c>
      <c r="I25" s="88" t="s">
        <v>88</v>
      </c>
      <c r="J25" s="88" t="s">
        <v>84</v>
      </c>
      <c r="K25" s="192" t="s">
        <v>37</v>
      </c>
      <c r="L25" s="148"/>
      <c r="M25" s="148"/>
      <c r="N25" s="148"/>
    </row>
    <row r="26" spans="1:14" ht="33.950000000000003" customHeight="1" x14ac:dyDescent="0.3">
      <c r="A26" s="87">
        <v>3</v>
      </c>
      <c r="B26" s="200" t="s">
        <v>40</v>
      </c>
      <c r="C26" s="148"/>
      <c r="D26" s="87" t="s">
        <v>89</v>
      </c>
      <c r="E26" s="87">
        <v>61</v>
      </c>
      <c r="F26" s="87">
        <v>31</v>
      </c>
      <c r="G26" s="87">
        <v>4</v>
      </c>
      <c r="H26" s="87" t="s">
        <v>90</v>
      </c>
      <c r="I26" s="87" t="s">
        <v>91</v>
      </c>
      <c r="J26" s="87" t="s">
        <v>84</v>
      </c>
      <c r="K26" s="191" t="s">
        <v>42</v>
      </c>
      <c r="L26" s="148"/>
      <c r="M26" s="148"/>
      <c r="N26" s="148"/>
    </row>
    <row r="27" spans="1:14" ht="33.950000000000003" customHeight="1" x14ac:dyDescent="0.3">
      <c r="A27" s="88">
        <v>4</v>
      </c>
      <c r="B27" s="190" t="s">
        <v>46</v>
      </c>
      <c r="C27" s="148"/>
      <c r="D27" s="88" t="s">
        <v>81</v>
      </c>
      <c r="E27" s="88">
        <v>141</v>
      </c>
      <c r="F27" s="88">
        <v>71</v>
      </c>
      <c r="G27" s="88">
        <v>5</v>
      </c>
      <c r="H27" s="88" t="s">
        <v>92</v>
      </c>
      <c r="I27" s="88" t="s">
        <v>93</v>
      </c>
      <c r="J27" s="88" t="s">
        <v>84</v>
      </c>
      <c r="K27" s="192" t="s">
        <v>47</v>
      </c>
      <c r="L27" s="148"/>
      <c r="M27" s="148"/>
      <c r="N27" s="148"/>
    </row>
    <row r="28" spans="1:14" ht="33.950000000000003" customHeight="1" x14ac:dyDescent="0.3">
      <c r="A28" s="87">
        <v>5</v>
      </c>
      <c r="B28" s="194" t="s">
        <v>50</v>
      </c>
      <c r="C28" s="148"/>
      <c r="D28" s="87" t="s">
        <v>94</v>
      </c>
      <c r="E28" s="87">
        <v>157</v>
      </c>
      <c r="F28" s="87">
        <v>79</v>
      </c>
      <c r="G28" s="87">
        <v>5</v>
      </c>
      <c r="H28" s="87" t="s">
        <v>95</v>
      </c>
      <c r="I28" s="87" t="s">
        <v>93</v>
      </c>
      <c r="J28" s="87" t="s">
        <v>96</v>
      </c>
      <c r="K28" s="191" t="s">
        <v>51</v>
      </c>
      <c r="L28" s="148"/>
      <c r="M28" s="148"/>
      <c r="N28" s="148"/>
    </row>
    <row r="29" spans="1:14" ht="21.95" customHeight="1" x14ac:dyDescent="0.3"/>
    <row r="30" spans="1:14" ht="21.95" customHeight="1" x14ac:dyDescent="0.3">
      <c r="A30" s="195" t="s">
        <v>97</v>
      </c>
      <c r="B30" s="148"/>
      <c r="C30" s="148"/>
      <c r="D30" s="148"/>
      <c r="E30" s="148"/>
      <c r="F30" s="148"/>
      <c r="G30" s="148"/>
      <c r="H30" s="148"/>
      <c r="I30" s="148"/>
      <c r="J30" s="148"/>
      <c r="K30" s="148"/>
      <c r="L30" s="148"/>
      <c r="M30" s="148"/>
      <c r="N30" s="148"/>
    </row>
    <row r="31" spans="1:14" ht="21.95" customHeight="1" x14ac:dyDescent="0.3">
      <c r="A31" s="148"/>
      <c r="B31" s="148"/>
      <c r="C31" s="148"/>
      <c r="D31" s="148"/>
      <c r="E31" s="148"/>
      <c r="F31" s="148"/>
      <c r="G31" s="148"/>
      <c r="H31" s="148"/>
      <c r="I31" s="148"/>
      <c r="J31" s="148"/>
      <c r="K31" s="148"/>
      <c r="L31" s="148"/>
      <c r="M31" s="148"/>
      <c r="N31" s="148"/>
    </row>
    <row r="32" spans="1:14" ht="21.95" customHeight="1" x14ac:dyDescent="0.3"/>
    <row r="33" ht="21.95" customHeight="1" x14ac:dyDescent="0.3"/>
  </sheetData>
  <mergeCells count="27">
    <mergeCell ref="A30:N31"/>
    <mergeCell ref="A1:N2"/>
    <mergeCell ref="B24:C24"/>
    <mergeCell ref="H5:N6"/>
    <mergeCell ref="A22:N22"/>
    <mergeCell ref="B26:C26"/>
    <mergeCell ref="K27:N27"/>
    <mergeCell ref="I13:N14"/>
    <mergeCell ref="H7:H8"/>
    <mergeCell ref="K24:N24"/>
    <mergeCell ref="A3:N3"/>
    <mergeCell ref="I7:N8"/>
    <mergeCell ref="H13:H14"/>
    <mergeCell ref="H15:H16"/>
    <mergeCell ref="K28:N28"/>
    <mergeCell ref="I15:N16"/>
    <mergeCell ref="I11:N12"/>
    <mergeCell ref="K25:N25"/>
    <mergeCell ref="B23:C23"/>
    <mergeCell ref="K26:N26"/>
    <mergeCell ref="B28:C28"/>
    <mergeCell ref="K23:N23"/>
    <mergeCell ref="H9:H10"/>
    <mergeCell ref="B25:C25"/>
    <mergeCell ref="I9:N10"/>
    <mergeCell ref="B27:C27"/>
    <mergeCell ref="H11:H12"/>
  </mergeCells>
  <phoneticPr fontId="42" type="noConversion"/>
  <pageMargins left="0.2" right="0.2" top="0.3" bottom="0.3" header="0.1" footer="0.1"/>
  <pageSetup paperSize="8" scale="9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X58"/>
  <sheetViews>
    <sheetView showGridLines="0" workbookViewId="0">
      <pane xSplit="1" ySplit="8" topLeftCell="B9" activePane="bottomRight" state="frozen"/>
      <selection pane="topRight"/>
      <selection pane="bottomLeft"/>
      <selection pane="bottomRight" sqref="A1:BX2"/>
    </sheetView>
  </sheetViews>
  <sheetFormatPr defaultRowHeight="16.5" x14ac:dyDescent="0.3"/>
  <cols>
    <col min="1" max="1" width="2.5" customWidth="1"/>
    <col min="2" max="76" width="2.125" customWidth="1"/>
  </cols>
  <sheetData>
    <row r="1" spans="1:76" ht="33.950000000000003" customHeight="1" x14ac:dyDescent="0.3">
      <c r="A1" s="196" t="s">
        <v>98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8"/>
      <c r="AP1" s="148"/>
      <c r="AQ1" s="148"/>
      <c r="AR1" s="148"/>
      <c r="AS1" s="148"/>
      <c r="AT1" s="148"/>
      <c r="AU1" s="148"/>
      <c r="AV1" s="148"/>
      <c r="AW1" s="148"/>
      <c r="AX1" s="148"/>
      <c r="AY1" s="148"/>
      <c r="AZ1" s="148"/>
      <c r="BA1" s="148"/>
      <c r="BB1" s="148"/>
      <c r="BC1" s="148"/>
      <c r="BD1" s="148"/>
      <c r="BE1" s="148"/>
      <c r="BF1" s="148"/>
      <c r="BG1" s="148"/>
      <c r="BH1" s="148"/>
      <c r="BI1" s="148"/>
      <c r="BJ1" s="148"/>
      <c r="BK1" s="148"/>
      <c r="BL1" s="148"/>
      <c r="BM1" s="148"/>
      <c r="BN1" s="148"/>
      <c r="BO1" s="148"/>
      <c r="BP1" s="148"/>
      <c r="BQ1" s="148"/>
      <c r="BR1" s="148"/>
      <c r="BS1" s="148"/>
      <c r="BT1" s="148"/>
      <c r="BU1" s="148"/>
      <c r="BV1" s="148"/>
      <c r="BW1" s="148"/>
      <c r="BX1" s="148"/>
    </row>
    <row r="2" spans="1:76" ht="27.95" customHeight="1" x14ac:dyDescent="0.3">
      <c r="A2" s="148"/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8"/>
      <c r="AP2" s="148"/>
      <c r="AQ2" s="148"/>
      <c r="AR2" s="148"/>
      <c r="AS2" s="148"/>
      <c r="AT2" s="148"/>
      <c r="AU2" s="148"/>
      <c r="AV2" s="148"/>
      <c r="AW2" s="148"/>
      <c r="AX2" s="148"/>
      <c r="AY2" s="148"/>
      <c r="AZ2" s="148"/>
      <c r="BA2" s="148"/>
      <c r="BB2" s="148"/>
      <c r="BC2" s="148"/>
      <c r="BD2" s="148"/>
      <c r="BE2" s="148"/>
      <c r="BF2" s="148"/>
      <c r="BG2" s="148"/>
      <c r="BH2" s="148"/>
      <c r="BI2" s="148"/>
      <c r="BJ2" s="148"/>
      <c r="BK2" s="148"/>
      <c r="BL2" s="148"/>
      <c r="BM2" s="148"/>
      <c r="BN2" s="148"/>
      <c r="BO2" s="148"/>
      <c r="BP2" s="148"/>
      <c r="BQ2" s="148"/>
      <c r="BR2" s="148"/>
      <c r="BS2" s="148"/>
      <c r="BT2" s="148"/>
      <c r="BU2" s="148"/>
      <c r="BV2" s="148"/>
      <c r="BW2" s="148"/>
      <c r="BX2" s="148"/>
    </row>
    <row r="3" spans="1:76" ht="20.100000000000001" customHeight="1" x14ac:dyDescent="0.3">
      <c r="A3" s="208" t="s">
        <v>99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8"/>
      <c r="AX3" s="148"/>
      <c r="AY3" s="148"/>
      <c r="AZ3" s="148"/>
      <c r="BA3" s="148"/>
      <c r="BB3" s="148"/>
      <c r="BC3" s="148"/>
      <c r="BD3" s="148"/>
      <c r="BE3" s="148"/>
      <c r="BF3" s="148"/>
      <c r="BG3" s="148"/>
      <c r="BH3" s="148"/>
      <c r="BI3" s="148"/>
      <c r="BJ3" s="148"/>
      <c r="BK3" s="148"/>
      <c r="BL3" s="148"/>
      <c r="BM3" s="148"/>
      <c r="BN3" s="148"/>
      <c r="BO3" s="148"/>
      <c r="BP3" s="148"/>
      <c r="BQ3" s="148"/>
      <c r="BR3" s="148"/>
      <c r="BS3" s="148"/>
      <c r="BT3" s="148"/>
      <c r="BU3" s="148"/>
      <c r="BV3" s="148"/>
      <c r="BW3" s="148"/>
      <c r="BX3" s="148"/>
    </row>
    <row r="4" spans="1:76" ht="20.100000000000001" customHeight="1" x14ac:dyDescent="0.3">
      <c r="A4" s="89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89"/>
      <c r="BF4" s="89"/>
      <c r="BG4" s="89"/>
      <c r="BH4" s="89"/>
      <c r="BI4" s="89"/>
      <c r="BJ4" s="89"/>
      <c r="BK4" s="89"/>
      <c r="BL4" s="89"/>
      <c r="BM4" s="89"/>
      <c r="BN4" s="89"/>
      <c r="BO4" s="89"/>
      <c r="BP4" s="89"/>
      <c r="BQ4" s="89"/>
      <c r="BR4" s="89"/>
      <c r="BS4" s="89"/>
      <c r="BT4" s="89"/>
      <c r="BU4" s="89"/>
      <c r="BV4" s="89"/>
      <c r="BW4" s="89"/>
      <c r="BX4" s="89"/>
    </row>
    <row r="5" spans="1:76" ht="20.100000000000001" customHeight="1" x14ac:dyDescent="0.3">
      <c r="A5" s="89"/>
      <c r="B5" s="207" t="s">
        <v>100</v>
      </c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203" t="s">
        <v>101</v>
      </c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206" t="s">
        <v>102</v>
      </c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204" t="s">
        <v>103</v>
      </c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  <c r="BG5" s="148"/>
      <c r="BH5" s="148"/>
      <c r="BI5" s="148"/>
      <c r="BJ5" s="202" t="s">
        <v>104</v>
      </c>
      <c r="BK5" s="148"/>
      <c r="BL5" s="148"/>
      <c r="BM5" s="148"/>
      <c r="BN5" s="148"/>
      <c r="BO5" s="148"/>
      <c r="BP5" s="148"/>
      <c r="BQ5" s="148"/>
      <c r="BR5" s="148"/>
      <c r="BS5" s="148"/>
      <c r="BT5" s="148"/>
      <c r="BU5" s="148"/>
      <c r="BV5" s="148"/>
      <c r="BW5" s="148"/>
      <c r="BX5" s="148"/>
    </row>
    <row r="6" spans="1:76" ht="20.100000000000001" customHeight="1" x14ac:dyDescent="0.3">
      <c r="A6" s="89"/>
      <c r="B6" s="148"/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8"/>
      <c r="BO6" s="148"/>
      <c r="BP6" s="148"/>
      <c r="BQ6" s="148"/>
      <c r="BR6" s="148"/>
      <c r="BS6" s="148"/>
      <c r="BT6" s="148"/>
      <c r="BU6" s="148"/>
      <c r="BV6" s="148"/>
      <c r="BW6" s="148"/>
      <c r="BX6" s="148"/>
    </row>
    <row r="7" spans="1:76" ht="20.100000000000001" customHeight="1" x14ac:dyDescent="0.3">
      <c r="A7" s="89"/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48"/>
      <c r="BN7" s="148"/>
      <c r="BO7" s="148"/>
      <c r="BP7" s="148"/>
      <c r="BQ7" s="148"/>
      <c r="BR7" s="148"/>
      <c r="BS7" s="148"/>
      <c r="BT7" s="148"/>
      <c r="BU7" s="148"/>
      <c r="BV7" s="148"/>
      <c r="BW7" s="148"/>
      <c r="BX7" s="148"/>
    </row>
    <row r="8" spans="1:76" ht="20.100000000000001" customHeight="1" x14ac:dyDescent="0.3">
      <c r="A8" s="89"/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89"/>
      <c r="BF8" s="89"/>
      <c r="BG8" s="89"/>
      <c r="BH8" s="89"/>
      <c r="BI8" s="89"/>
      <c r="BJ8" s="89"/>
      <c r="BK8" s="89"/>
      <c r="BL8" s="89"/>
      <c r="BM8" s="89"/>
      <c r="BN8" s="89"/>
      <c r="BO8" s="89"/>
      <c r="BP8" s="89"/>
      <c r="BQ8" s="89"/>
      <c r="BR8" s="89"/>
      <c r="BS8" s="89"/>
      <c r="BT8" s="89"/>
      <c r="BU8" s="89"/>
      <c r="BV8" s="89"/>
      <c r="BW8" s="89"/>
      <c r="BX8" s="89"/>
    </row>
    <row r="9" spans="1:76" ht="9.75" customHeight="1" x14ac:dyDescent="0.3">
      <c r="A9" s="89"/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0"/>
      <c r="BF9" s="90"/>
      <c r="BG9" s="90"/>
      <c r="BH9" s="90"/>
      <c r="BI9" s="90"/>
      <c r="BJ9" s="90"/>
      <c r="BK9" s="90"/>
      <c r="BL9" s="90"/>
      <c r="BM9" s="90"/>
      <c r="BN9" s="90"/>
      <c r="BO9" s="90"/>
      <c r="BP9" s="90"/>
      <c r="BQ9" s="90"/>
      <c r="BR9" s="90"/>
      <c r="BS9" s="90"/>
      <c r="BT9" s="90"/>
      <c r="BU9" s="90"/>
      <c r="BV9" s="90"/>
      <c r="BW9" s="90"/>
      <c r="BX9" s="90"/>
    </row>
    <row r="10" spans="1:76" ht="9.75" customHeight="1" x14ac:dyDescent="0.3">
      <c r="A10" s="89"/>
      <c r="B10" s="90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0"/>
      <c r="BF10" s="90"/>
      <c r="BG10" s="90"/>
      <c r="BH10" s="90"/>
      <c r="BI10" s="90"/>
      <c r="BJ10" s="90"/>
      <c r="BK10" s="90"/>
      <c r="BL10" s="90"/>
      <c r="BM10" s="90"/>
      <c r="BN10" s="90"/>
      <c r="BO10" s="90"/>
      <c r="BP10" s="90"/>
      <c r="BQ10" s="90"/>
      <c r="BR10" s="90"/>
      <c r="BS10" s="90"/>
      <c r="BT10" s="90"/>
      <c r="BU10" s="90"/>
      <c r="BV10" s="90"/>
      <c r="BW10" s="90"/>
      <c r="BX10" s="90"/>
    </row>
    <row r="11" spans="1:76" ht="9.75" customHeight="1" x14ac:dyDescent="0.3">
      <c r="A11" s="89"/>
      <c r="B11" s="90"/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0"/>
      <c r="BF11" s="90"/>
      <c r="BG11" s="90"/>
      <c r="BH11" s="90"/>
      <c r="BI11" s="90"/>
      <c r="BJ11" s="90"/>
      <c r="BK11" s="90"/>
      <c r="BL11" s="90"/>
      <c r="BM11" s="90"/>
      <c r="BN11" s="90"/>
      <c r="BO11" s="90"/>
      <c r="BP11" s="90"/>
      <c r="BQ11" s="90"/>
      <c r="BR11" s="90"/>
      <c r="BS11" s="90"/>
      <c r="BT11" s="90"/>
      <c r="BU11" s="90"/>
      <c r="BV11" s="90"/>
      <c r="BW11" s="90"/>
      <c r="BX11" s="90"/>
    </row>
    <row r="12" spans="1:76" ht="9.75" customHeight="1" x14ac:dyDescent="0.3">
      <c r="A12" s="89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0"/>
      <c r="BF12" s="90"/>
      <c r="BG12" s="90"/>
      <c r="BH12" s="90"/>
      <c r="BI12" s="90"/>
      <c r="BJ12" s="90"/>
      <c r="BK12" s="90"/>
      <c r="BL12" s="90"/>
      <c r="BM12" s="90"/>
      <c r="BN12" s="90"/>
      <c r="BO12" s="90"/>
      <c r="BP12" s="90"/>
      <c r="BQ12" s="90"/>
      <c r="BR12" s="90"/>
      <c r="BS12" s="90"/>
      <c r="BT12" s="90"/>
      <c r="BU12" s="90"/>
      <c r="BV12" s="90"/>
      <c r="BW12" s="90"/>
      <c r="BX12" s="90"/>
    </row>
    <row r="13" spans="1:76" ht="9.75" customHeight="1" x14ac:dyDescent="0.3">
      <c r="A13" s="89"/>
      <c r="B13" s="90"/>
      <c r="C13" s="90"/>
      <c r="D13" s="91" t="s">
        <v>105</v>
      </c>
      <c r="E13" s="92" t="s">
        <v>106</v>
      </c>
      <c r="F13" s="91" t="s">
        <v>105</v>
      </c>
      <c r="G13" s="91" t="s">
        <v>105</v>
      </c>
      <c r="H13" s="91" t="s">
        <v>105</v>
      </c>
      <c r="I13" s="91" t="s">
        <v>105</v>
      </c>
      <c r="J13" s="91" t="s">
        <v>105</v>
      </c>
      <c r="K13" s="91" t="s">
        <v>105</v>
      </c>
      <c r="L13" s="91" t="s">
        <v>105</v>
      </c>
      <c r="M13" s="91" t="s">
        <v>105</v>
      </c>
      <c r="N13" s="91" t="s">
        <v>105</v>
      </c>
      <c r="O13" s="92" t="s">
        <v>107</v>
      </c>
      <c r="P13" s="91" t="s">
        <v>105</v>
      </c>
      <c r="Q13" s="91" t="s">
        <v>105</v>
      </c>
      <c r="R13" s="91" t="s">
        <v>105</v>
      </c>
      <c r="S13" s="91" t="s">
        <v>105</v>
      </c>
      <c r="T13" s="91" t="s">
        <v>105</v>
      </c>
      <c r="U13" s="91" t="s">
        <v>105</v>
      </c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0"/>
      <c r="AQ13" s="90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0"/>
      <c r="BF13" s="90"/>
      <c r="BG13" s="90"/>
      <c r="BH13" s="90"/>
      <c r="BI13" s="90"/>
      <c r="BJ13" s="90"/>
      <c r="BK13" s="90"/>
      <c r="BL13" s="90"/>
      <c r="BM13" s="90"/>
      <c r="BN13" s="90"/>
      <c r="BO13" s="90"/>
      <c r="BP13" s="90"/>
      <c r="BQ13" s="90"/>
      <c r="BR13" s="90"/>
      <c r="BS13" s="90"/>
      <c r="BT13" s="90"/>
      <c r="BU13" s="90"/>
      <c r="BV13" s="90"/>
      <c r="BW13" s="90"/>
      <c r="BX13" s="90"/>
    </row>
    <row r="14" spans="1:76" ht="9.75" customHeight="1" x14ac:dyDescent="0.3">
      <c r="A14" s="89"/>
      <c r="B14" s="90"/>
      <c r="C14" s="90"/>
      <c r="D14" s="91" t="s">
        <v>105</v>
      </c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1" t="s">
        <v>105</v>
      </c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0"/>
      <c r="BF14" s="90"/>
      <c r="BG14" s="90"/>
      <c r="BH14" s="90"/>
      <c r="BI14" s="90"/>
      <c r="BJ14" s="90"/>
      <c r="BK14" s="90"/>
      <c r="BL14" s="90"/>
      <c r="BM14" s="90"/>
      <c r="BN14" s="90"/>
      <c r="BO14" s="90"/>
      <c r="BP14" s="90"/>
      <c r="BQ14" s="90"/>
      <c r="BR14" s="90"/>
      <c r="BS14" s="90"/>
      <c r="BT14" s="90"/>
      <c r="BU14" s="90"/>
      <c r="BV14" s="90"/>
      <c r="BW14" s="90"/>
      <c r="BX14" s="90"/>
    </row>
    <row r="15" spans="1:76" ht="9.75" customHeight="1" x14ac:dyDescent="0.3">
      <c r="A15" s="89"/>
      <c r="B15" s="90"/>
      <c r="C15" s="90"/>
      <c r="D15" s="91" t="s">
        <v>105</v>
      </c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1" t="s">
        <v>105</v>
      </c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0"/>
      <c r="AQ15" s="90"/>
      <c r="AR15" s="90"/>
      <c r="AS15" s="90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0"/>
      <c r="BF15" s="90"/>
      <c r="BG15" s="90"/>
      <c r="BH15" s="90"/>
      <c r="BI15" s="90"/>
      <c r="BJ15" s="90"/>
      <c r="BK15" s="90"/>
      <c r="BL15" s="90"/>
      <c r="BM15" s="90"/>
      <c r="BN15" s="90"/>
      <c r="BO15" s="90"/>
      <c r="BP15" s="90"/>
      <c r="BQ15" s="90"/>
      <c r="BR15" s="90"/>
      <c r="BS15" s="90"/>
      <c r="BT15" s="90"/>
      <c r="BU15" s="90"/>
      <c r="BV15" s="90"/>
      <c r="BW15" s="90"/>
      <c r="BX15" s="90"/>
    </row>
    <row r="16" spans="1:76" ht="9.75" customHeight="1" x14ac:dyDescent="0.3">
      <c r="A16" s="89"/>
      <c r="B16" s="90"/>
      <c r="C16" s="90"/>
      <c r="D16" s="91" t="s">
        <v>105</v>
      </c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1" t="s">
        <v>105</v>
      </c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0"/>
      <c r="AQ16" s="90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0"/>
      <c r="BF16" s="90"/>
      <c r="BG16" s="90"/>
      <c r="BH16" s="90"/>
      <c r="BI16" s="90"/>
      <c r="BJ16" s="90"/>
      <c r="BK16" s="90"/>
      <c r="BL16" s="90"/>
      <c r="BM16" s="90"/>
      <c r="BN16" s="90"/>
      <c r="BO16" s="90"/>
      <c r="BP16" s="90"/>
      <c r="BQ16" s="90"/>
      <c r="BR16" s="90"/>
      <c r="BS16" s="90"/>
      <c r="BT16" s="90"/>
      <c r="BU16" s="90"/>
      <c r="BV16" s="90"/>
      <c r="BW16" s="90"/>
      <c r="BX16" s="90"/>
    </row>
    <row r="17" spans="1:76" ht="9.75" customHeight="1" x14ac:dyDescent="0.3">
      <c r="A17" s="89"/>
      <c r="B17" s="90"/>
      <c r="C17" s="90"/>
      <c r="D17" s="91" t="s">
        <v>105</v>
      </c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2" t="s">
        <v>108</v>
      </c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0"/>
      <c r="BF17" s="90"/>
      <c r="BG17" s="90"/>
      <c r="BH17" s="90"/>
      <c r="BI17" s="90"/>
      <c r="BJ17" s="90"/>
      <c r="BK17" s="90"/>
      <c r="BL17" s="90"/>
      <c r="BM17" s="90"/>
      <c r="BN17" s="90"/>
      <c r="BO17" s="90"/>
      <c r="BP17" s="90"/>
      <c r="BQ17" s="90"/>
      <c r="BR17" s="90"/>
      <c r="BS17" s="90"/>
      <c r="BT17" s="90"/>
      <c r="BU17" s="90"/>
      <c r="BV17" s="90"/>
      <c r="BW17" s="90"/>
      <c r="BX17" s="90"/>
    </row>
    <row r="18" spans="1:76" ht="9.75" customHeight="1" x14ac:dyDescent="0.3">
      <c r="A18" s="89"/>
      <c r="B18" s="90"/>
      <c r="C18" s="90"/>
      <c r="D18" s="91" t="s">
        <v>105</v>
      </c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1" t="s">
        <v>105</v>
      </c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0"/>
      <c r="AQ18" s="90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0"/>
      <c r="BF18" s="90"/>
      <c r="BG18" s="90"/>
      <c r="BH18" s="90"/>
      <c r="BI18" s="90"/>
      <c r="BJ18" s="90"/>
      <c r="BK18" s="90"/>
      <c r="BL18" s="90"/>
      <c r="BM18" s="90"/>
      <c r="BN18" s="90"/>
      <c r="BO18" s="90"/>
      <c r="BP18" s="90"/>
      <c r="BQ18" s="90"/>
      <c r="BR18" s="90"/>
      <c r="BS18" s="90"/>
      <c r="BT18" s="90"/>
      <c r="BU18" s="90"/>
      <c r="BV18" s="90"/>
      <c r="BW18" s="90"/>
      <c r="BX18" s="90"/>
    </row>
    <row r="19" spans="1:76" ht="9.75" customHeight="1" x14ac:dyDescent="0.3">
      <c r="A19" s="89"/>
      <c r="B19" s="90"/>
      <c r="C19" s="90"/>
      <c r="D19" s="91" t="s">
        <v>105</v>
      </c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1" t="s">
        <v>105</v>
      </c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0"/>
      <c r="BF19" s="90"/>
      <c r="BG19" s="90"/>
      <c r="BH19" s="90"/>
      <c r="BI19" s="90"/>
      <c r="BJ19" s="90"/>
      <c r="BK19" s="90"/>
      <c r="BL19" s="90"/>
      <c r="BM19" s="90"/>
      <c r="BN19" s="90"/>
      <c r="BO19" s="90"/>
      <c r="BP19" s="90"/>
      <c r="BQ19" s="90"/>
      <c r="BR19" s="90"/>
      <c r="BS19" s="90"/>
      <c r="BT19" s="90"/>
      <c r="BU19" s="90"/>
      <c r="BV19" s="90"/>
      <c r="BW19" s="90"/>
      <c r="BX19" s="90"/>
    </row>
    <row r="20" spans="1:76" ht="9.75" customHeight="1" x14ac:dyDescent="0.3">
      <c r="A20" s="89"/>
      <c r="B20" s="90"/>
      <c r="C20" s="90"/>
      <c r="D20" s="91" t="s">
        <v>105</v>
      </c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1" t="s">
        <v>105</v>
      </c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0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0"/>
      <c r="BF20" s="90"/>
      <c r="BG20" s="90"/>
      <c r="BH20" s="90"/>
      <c r="BI20" s="90"/>
      <c r="BJ20" s="90"/>
      <c r="BK20" s="90"/>
      <c r="BL20" s="90"/>
      <c r="BM20" s="90"/>
      <c r="BN20" s="90"/>
      <c r="BO20" s="90"/>
      <c r="BP20" s="90"/>
      <c r="BQ20" s="90"/>
      <c r="BR20" s="90"/>
      <c r="BS20" s="90"/>
      <c r="BT20" s="90"/>
      <c r="BU20" s="90"/>
      <c r="BV20" s="90"/>
      <c r="BW20" s="90"/>
      <c r="BX20" s="90"/>
    </row>
    <row r="21" spans="1:76" ht="9.75" customHeight="1" x14ac:dyDescent="0.3">
      <c r="A21" s="89"/>
      <c r="B21" s="90"/>
      <c r="C21" s="90"/>
      <c r="D21" s="91" t="s">
        <v>105</v>
      </c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1" t="s">
        <v>105</v>
      </c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0"/>
      <c r="BF21" s="90"/>
      <c r="BG21" s="90"/>
      <c r="BH21" s="90"/>
      <c r="BI21" s="90"/>
      <c r="BJ21" s="90"/>
      <c r="BK21" s="90"/>
      <c r="BL21" s="90"/>
      <c r="BM21" s="90"/>
      <c r="BN21" s="90"/>
      <c r="BO21" s="90"/>
      <c r="BP21" s="90"/>
      <c r="BQ21" s="90"/>
      <c r="BR21" s="90"/>
      <c r="BS21" s="90"/>
      <c r="BT21" s="90"/>
      <c r="BU21" s="90"/>
      <c r="BV21" s="90"/>
      <c r="BW21" s="90"/>
      <c r="BX21" s="90"/>
    </row>
    <row r="22" spans="1:76" ht="9.75" customHeight="1" x14ac:dyDescent="0.3">
      <c r="A22" s="89"/>
      <c r="B22" s="90"/>
      <c r="C22" s="90"/>
      <c r="D22" s="92" t="s">
        <v>109</v>
      </c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1" t="s">
        <v>105</v>
      </c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0"/>
      <c r="AQ22" s="90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0"/>
      <c r="BF22" s="90"/>
      <c r="BG22" s="93" t="s">
        <v>105</v>
      </c>
      <c r="BH22" s="93" t="s">
        <v>105</v>
      </c>
      <c r="BI22" s="93" t="s">
        <v>105</v>
      </c>
      <c r="BJ22" s="94" t="s">
        <v>110</v>
      </c>
      <c r="BK22" s="93" t="s">
        <v>105</v>
      </c>
      <c r="BL22" s="93" t="s">
        <v>105</v>
      </c>
      <c r="BM22" s="93" t="s">
        <v>105</v>
      </c>
      <c r="BN22" s="93" t="s">
        <v>105</v>
      </c>
      <c r="BO22" s="93" t="s">
        <v>105</v>
      </c>
      <c r="BP22" s="93" t="s">
        <v>105</v>
      </c>
      <c r="BQ22" s="93" t="s">
        <v>105</v>
      </c>
      <c r="BR22" s="93" t="s">
        <v>105</v>
      </c>
      <c r="BS22" s="93" t="s">
        <v>105</v>
      </c>
      <c r="BT22" s="94" t="s">
        <v>109</v>
      </c>
      <c r="BU22" s="93" t="s">
        <v>105</v>
      </c>
      <c r="BV22" s="90"/>
      <c r="BW22" s="90"/>
      <c r="BX22" s="90"/>
    </row>
    <row r="23" spans="1:76" ht="9.75" customHeight="1" x14ac:dyDescent="0.3">
      <c r="A23" s="89"/>
      <c r="B23" s="90"/>
      <c r="C23" s="90"/>
      <c r="D23" s="91" t="s">
        <v>105</v>
      </c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1" t="s">
        <v>105</v>
      </c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0"/>
      <c r="AQ23" s="90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0"/>
      <c r="BF23" s="90"/>
      <c r="BG23" s="93" t="s">
        <v>105</v>
      </c>
      <c r="BH23" s="90"/>
      <c r="BI23" s="90"/>
      <c r="BJ23" s="90"/>
      <c r="BK23" s="90"/>
      <c r="BL23" s="90"/>
      <c r="BM23" s="90"/>
      <c r="BN23" s="90"/>
      <c r="BO23" s="90"/>
      <c r="BP23" s="90"/>
      <c r="BQ23" s="90"/>
      <c r="BR23" s="90"/>
      <c r="BS23" s="90"/>
      <c r="BT23" s="90"/>
      <c r="BU23" s="93" t="s">
        <v>105</v>
      </c>
      <c r="BV23" s="90"/>
      <c r="BW23" s="90"/>
      <c r="BX23" s="90"/>
    </row>
    <row r="24" spans="1:76" ht="9.75" customHeight="1" x14ac:dyDescent="0.3">
      <c r="A24" s="89"/>
      <c r="B24" s="90"/>
      <c r="C24" s="90"/>
      <c r="D24" s="91" t="s">
        <v>105</v>
      </c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1" t="s">
        <v>105</v>
      </c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0"/>
      <c r="BF24" s="90"/>
      <c r="BG24" s="93" t="s">
        <v>105</v>
      </c>
      <c r="BH24" s="90"/>
      <c r="BI24" s="90"/>
      <c r="BJ24" s="90"/>
      <c r="BK24" s="90"/>
      <c r="BL24" s="90"/>
      <c r="BM24" s="90"/>
      <c r="BN24" s="90"/>
      <c r="BO24" s="90"/>
      <c r="BP24" s="90"/>
      <c r="BQ24" s="90"/>
      <c r="BR24" s="90"/>
      <c r="BS24" s="90"/>
      <c r="BT24" s="90"/>
      <c r="BU24" s="93" t="s">
        <v>105</v>
      </c>
      <c r="BV24" s="90"/>
      <c r="BW24" s="90"/>
      <c r="BX24" s="90"/>
    </row>
    <row r="25" spans="1:76" ht="9.75" customHeight="1" x14ac:dyDescent="0.3">
      <c r="A25" s="89"/>
      <c r="B25" s="90"/>
      <c r="C25" s="90"/>
      <c r="D25" s="91" t="s">
        <v>105</v>
      </c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1" t="s">
        <v>105</v>
      </c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0"/>
      <c r="BF25" s="90"/>
      <c r="BG25" s="93" t="s">
        <v>105</v>
      </c>
      <c r="BH25" s="90"/>
      <c r="BI25" s="90"/>
      <c r="BJ25" s="90"/>
      <c r="BK25" s="90"/>
      <c r="BL25" s="90"/>
      <c r="BM25" s="90"/>
      <c r="BN25" s="90"/>
      <c r="BO25" s="90"/>
      <c r="BP25" s="90"/>
      <c r="BQ25" s="90"/>
      <c r="BR25" s="90"/>
      <c r="BS25" s="90"/>
      <c r="BT25" s="90"/>
      <c r="BU25" s="93" t="s">
        <v>105</v>
      </c>
      <c r="BV25" s="90"/>
      <c r="BW25" s="90"/>
      <c r="BX25" s="90"/>
    </row>
    <row r="26" spans="1:76" ht="9.75" customHeight="1" x14ac:dyDescent="0.3">
      <c r="A26" s="89"/>
      <c r="B26" s="90"/>
      <c r="C26" s="90"/>
      <c r="D26" s="91" t="s">
        <v>105</v>
      </c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5" t="s">
        <v>111</v>
      </c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0"/>
      <c r="BF26" s="90"/>
      <c r="BG26" s="93" t="s">
        <v>105</v>
      </c>
      <c r="BH26" s="90"/>
      <c r="BI26" s="90"/>
      <c r="BJ26" s="90"/>
      <c r="BK26" s="90"/>
      <c r="BL26" s="90"/>
      <c r="BM26" s="90"/>
      <c r="BN26" s="90"/>
      <c r="BO26" s="90"/>
      <c r="BP26" s="90"/>
      <c r="BQ26" s="90"/>
      <c r="BR26" s="90"/>
      <c r="BS26" s="90"/>
      <c r="BT26" s="90"/>
      <c r="BU26" s="93" t="s">
        <v>105</v>
      </c>
      <c r="BV26" s="90"/>
      <c r="BW26" s="90"/>
      <c r="BX26" s="90"/>
    </row>
    <row r="27" spans="1:76" ht="9.75" customHeight="1" x14ac:dyDescent="0.3">
      <c r="A27" s="89"/>
      <c r="B27" s="90"/>
      <c r="C27" s="90"/>
      <c r="D27" s="91" t="s">
        <v>105</v>
      </c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6" t="s">
        <v>112</v>
      </c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0"/>
      <c r="AQ27" s="90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0"/>
      <c r="BF27" s="90"/>
      <c r="BG27" s="93" t="s">
        <v>105</v>
      </c>
      <c r="BH27" s="90"/>
      <c r="BI27" s="90"/>
      <c r="BJ27" s="90"/>
      <c r="BK27" s="90"/>
      <c r="BL27" s="90"/>
      <c r="BM27" s="90"/>
      <c r="BN27" s="90"/>
      <c r="BO27" s="90"/>
      <c r="BP27" s="90"/>
      <c r="BQ27" s="90"/>
      <c r="BR27" s="90"/>
      <c r="BS27" s="90"/>
      <c r="BT27" s="90"/>
      <c r="BU27" s="93" t="s">
        <v>105</v>
      </c>
      <c r="BV27" s="90"/>
      <c r="BW27" s="90"/>
      <c r="BX27" s="90"/>
    </row>
    <row r="28" spans="1:76" ht="9.75" customHeight="1" x14ac:dyDescent="0.3">
      <c r="A28" s="89"/>
      <c r="B28" s="90"/>
      <c r="C28" s="90"/>
      <c r="D28" s="91" t="s">
        <v>105</v>
      </c>
      <c r="E28" s="91" t="s">
        <v>105</v>
      </c>
      <c r="F28" s="91" t="s">
        <v>105</v>
      </c>
      <c r="G28" s="91" t="s">
        <v>105</v>
      </c>
      <c r="H28" s="92" t="s">
        <v>110</v>
      </c>
      <c r="I28" s="91" t="s">
        <v>105</v>
      </c>
      <c r="J28" s="91" t="s">
        <v>105</v>
      </c>
      <c r="K28" s="91" t="s">
        <v>105</v>
      </c>
      <c r="L28" s="91" t="s">
        <v>105</v>
      </c>
      <c r="M28" s="91" t="s">
        <v>105</v>
      </c>
      <c r="N28" s="91" t="s">
        <v>105</v>
      </c>
      <c r="O28" s="91" t="s">
        <v>105</v>
      </c>
      <c r="P28" s="91" t="s">
        <v>105</v>
      </c>
      <c r="Q28" s="91" t="s">
        <v>105</v>
      </c>
      <c r="R28" s="92" t="s">
        <v>113</v>
      </c>
      <c r="S28" s="91" t="s">
        <v>105</v>
      </c>
      <c r="T28" s="91" t="s">
        <v>105</v>
      </c>
      <c r="U28" s="95" t="s">
        <v>114</v>
      </c>
      <c r="V28" s="97" t="s">
        <v>105</v>
      </c>
      <c r="W28" s="97" t="s">
        <v>105</v>
      </c>
      <c r="X28" s="97" t="s">
        <v>105</v>
      </c>
      <c r="Y28" s="97" t="s">
        <v>105</v>
      </c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0"/>
      <c r="AQ28" s="90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0"/>
      <c r="BF28" s="90"/>
      <c r="BG28" s="93" t="s">
        <v>105</v>
      </c>
      <c r="BH28" s="90"/>
      <c r="BI28" s="90"/>
      <c r="BJ28" s="90"/>
      <c r="BK28" s="90"/>
      <c r="BL28" s="90"/>
      <c r="BM28" s="90"/>
      <c r="BN28" s="90"/>
      <c r="BO28" s="90"/>
      <c r="BP28" s="90"/>
      <c r="BQ28" s="90"/>
      <c r="BR28" s="90"/>
      <c r="BS28" s="90"/>
      <c r="BT28" s="90"/>
      <c r="BU28" s="93" t="s">
        <v>105</v>
      </c>
      <c r="BV28" s="90"/>
      <c r="BW28" s="90"/>
      <c r="BX28" s="90"/>
    </row>
    <row r="29" spans="1:76" ht="9.75" customHeight="1" x14ac:dyDescent="0.3">
      <c r="A29" s="89"/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8" t="s">
        <v>105</v>
      </c>
      <c r="V29" s="90"/>
      <c r="W29" s="90"/>
      <c r="X29" s="90"/>
      <c r="Y29" s="97" t="s">
        <v>105</v>
      </c>
      <c r="Z29" s="90"/>
      <c r="AA29" s="90"/>
      <c r="AB29" s="90"/>
      <c r="AC29" s="90"/>
      <c r="AD29" s="90"/>
      <c r="AE29" s="90"/>
      <c r="AF29" s="99"/>
      <c r="AG29" s="99"/>
      <c r="AH29" s="99"/>
      <c r="AI29" s="100"/>
      <c r="AJ29" s="100"/>
      <c r="AK29" s="100"/>
      <c r="AL29" s="100"/>
      <c r="AM29" s="100"/>
      <c r="AN29" s="100"/>
      <c r="AO29" s="90"/>
      <c r="AP29" s="90"/>
      <c r="AQ29" s="90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0"/>
      <c r="BF29" s="90"/>
      <c r="BG29" s="94" t="s">
        <v>113</v>
      </c>
      <c r="BH29" s="90"/>
      <c r="BI29" s="90"/>
      <c r="BJ29" s="90"/>
      <c r="BK29" s="90"/>
      <c r="BL29" s="90"/>
      <c r="BM29" s="90"/>
      <c r="BN29" s="90"/>
      <c r="BO29" s="90"/>
      <c r="BP29" s="90"/>
      <c r="BQ29" s="90"/>
      <c r="BR29" s="90"/>
      <c r="BS29" s="90"/>
      <c r="BT29" s="90"/>
      <c r="BU29" s="93" t="s">
        <v>105</v>
      </c>
      <c r="BV29" s="90"/>
      <c r="BW29" s="90"/>
      <c r="BX29" s="90"/>
    </row>
    <row r="30" spans="1:76" ht="9.75" customHeight="1" x14ac:dyDescent="0.3">
      <c r="A30" s="89"/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5" t="s">
        <v>115</v>
      </c>
      <c r="N30" s="90"/>
      <c r="O30" s="90"/>
      <c r="P30" s="90"/>
      <c r="Q30" s="90"/>
      <c r="R30" s="90"/>
      <c r="S30" s="90"/>
      <c r="T30" s="90"/>
      <c r="U30" s="98" t="s">
        <v>105</v>
      </c>
      <c r="V30" s="90"/>
      <c r="W30" s="90"/>
      <c r="X30" s="90"/>
      <c r="Y30" s="97" t="s">
        <v>105</v>
      </c>
      <c r="Z30" s="90"/>
      <c r="AA30" s="90"/>
      <c r="AB30" s="90"/>
      <c r="AC30" s="90"/>
      <c r="AD30" s="90"/>
      <c r="AE30" s="90"/>
      <c r="AF30" s="99"/>
      <c r="AG30" s="99"/>
      <c r="AH30" s="99"/>
      <c r="AI30" s="101" t="s">
        <v>116</v>
      </c>
      <c r="AJ30" s="97" t="s">
        <v>105</v>
      </c>
      <c r="AK30" s="97" t="s">
        <v>105</v>
      </c>
      <c r="AL30" s="97" t="s">
        <v>105</v>
      </c>
      <c r="AM30" s="97" t="s">
        <v>105</v>
      </c>
      <c r="AN30" s="97" t="s">
        <v>105</v>
      </c>
      <c r="AO30" s="97" t="s">
        <v>105</v>
      </c>
      <c r="AP30" s="97" t="s">
        <v>105</v>
      </c>
      <c r="AQ30" s="97" t="s">
        <v>105</v>
      </c>
      <c r="AR30" s="96" t="s">
        <v>107</v>
      </c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0"/>
      <c r="BF30" s="90"/>
      <c r="BG30" s="93" t="s">
        <v>105</v>
      </c>
      <c r="BH30" s="90"/>
      <c r="BI30" s="90"/>
      <c r="BJ30" s="90"/>
      <c r="BK30" s="90"/>
      <c r="BL30" s="90"/>
      <c r="BM30" s="90"/>
      <c r="BN30" s="90"/>
      <c r="BO30" s="90"/>
      <c r="BP30" s="90"/>
      <c r="BQ30" s="90"/>
      <c r="BR30" s="90"/>
      <c r="BS30" s="90"/>
      <c r="BT30" s="90"/>
      <c r="BU30" s="93" t="s">
        <v>105</v>
      </c>
      <c r="BV30" s="90"/>
      <c r="BW30" s="90"/>
      <c r="BX30" s="90"/>
    </row>
    <row r="31" spans="1:76" ht="9.75" customHeight="1" x14ac:dyDescent="0.3">
      <c r="A31" s="89"/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102" t="s">
        <v>105</v>
      </c>
      <c r="N31" s="90"/>
      <c r="O31" s="90"/>
      <c r="P31" s="90"/>
      <c r="Q31" s="90"/>
      <c r="R31" s="90"/>
      <c r="S31" s="90"/>
      <c r="T31" s="90"/>
      <c r="U31" s="98" t="s">
        <v>105</v>
      </c>
      <c r="V31" s="90"/>
      <c r="W31" s="90"/>
      <c r="X31" s="90"/>
      <c r="Y31" s="97" t="s">
        <v>105</v>
      </c>
      <c r="Z31" s="90"/>
      <c r="AA31" s="90"/>
      <c r="AB31" s="90"/>
      <c r="AC31" s="90"/>
      <c r="AD31" s="90"/>
      <c r="AE31" s="90"/>
      <c r="AF31" s="99"/>
      <c r="AG31" s="99"/>
      <c r="AH31" s="99"/>
      <c r="AI31" s="103" t="s">
        <v>108</v>
      </c>
      <c r="AJ31" s="100"/>
      <c r="AK31" s="100"/>
      <c r="AL31" s="100"/>
      <c r="AM31" s="100"/>
      <c r="AN31" s="100"/>
      <c r="AO31" s="90"/>
      <c r="AP31" s="90"/>
      <c r="AQ31" s="90"/>
      <c r="AR31" s="97" t="s">
        <v>105</v>
      </c>
      <c r="AS31" s="90"/>
      <c r="AT31" s="90"/>
      <c r="AU31" s="90"/>
      <c r="AV31" s="90"/>
      <c r="AW31" s="90"/>
      <c r="AX31" s="90"/>
      <c r="AY31" s="90"/>
      <c r="AZ31" s="90"/>
      <c r="BA31" s="90"/>
      <c r="BB31" s="90"/>
      <c r="BC31" s="90"/>
      <c r="BD31" s="90"/>
      <c r="BE31" s="90"/>
      <c r="BF31" s="90"/>
      <c r="BG31" s="93" t="s">
        <v>105</v>
      </c>
      <c r="BH31" s="90"/>
      <c r="BI31" s="90"/>
      <c r="BJ31" s="90"/>
      <c r="BK31" s="90"/>
      <c r="BL31" s="90"/>
      <c r="BM31" s="90"/>
      <c r="BN31" s="90"/>
      <c r="BO31" s="90"/>
      <c r="BP31" s="90"/>
      <c r="BQ31" s="90"/>
      <c r="BR31" s="90"/>
      <c r="BS31" s="90"/>
      <c r="BT31" s="90"/>
      <c r="BU31" s="94" t="s">
        <v>106</v>
      </c>
      <c r="BV31" s="90"/>
      <c r="BW31" s="90"/>
      <c r="BX31" s="90"/>
    </row>
    <row r="32" spans="1:76" ht="9.75" customHeight="1" x14ac:dyDescent="0.3">
      <c r="A32" s="89"/>
      <c r="B32" s="90"/>
      <c r="C32" s="90"/>
      <c r="D32" s="90"/>
      <c r="E32" s="90"/>
      <c r="F32" s="90"/>
      <c r="G32" s="90"/>
      <c r="H32" s="90"/>
      <c r="I32" s="90"/>
      <c r="J32" s="98" t="s">
        <v>105</v>
      </c>
      <c r="K32" s="98" t="s">
        <v>105</v>
      </c>
      <c r="L32" s="98" t="s">
        <v>105</v>
      </c>
      <c r="M32" s="102" t="s">
        <v>105</v>
      </c>
      <c r="N32" s="90"/>
      <c r="O32" s="90"/>
      <c r="P32" s="90"/>
      <c r="Q32" s="90"/>
      <c r="R32" s="90"/>
      <c r="S32" s="90"/>
      <c r="T32" s="90"/>
      <c r="U32" s="98" t="s">
        <v>105</v>
      </c>
      <c r="V32" s="90"/>
      <c r="W32" s="90"/>
      <c r="X32" s="90"/>
      <c r="Y32" s="97" t="s">
        <v>105</v>
      </c>
      <c r="Z32" s="90"/>
      <c r="AA32" s="90"/>
      <c r="AB32" s="90"/>
      <c r="AC32" s="90"/>
      <c r="AD32" s="90"/>
      <c r="AE32" s="90"/>
      <c r="AF32" s="99"/>
      <c r="AG32" s="99"/>
      <c r="AH32" s="99"/>
      <c r="AI32" s="101" t="s">
        <v>105</v>
      </c>
      <c r="AJ32" s="100"/>
      <c r="AK32" s="100"/>
      <c r="AL32" s="100"/>
      <c r="AM32" s="100"/>
      <c r="AN32" s="100"/>
      <c r="AO32" s="90"/>
      <c r="AP32" s="90"/>
      <c r="AQ32" s="90"/>
      <c r="AR32" s="97" t="s">
        <v>105</v>
      </c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0"/>
      <c r="BE32" s="90"/>
      <c r="BF32" s="90"/>
      <c r="BG32" s="93" t="s">
        <v>105</v>
      </c>
      <c r="BH32" s="90"/>
      <c r="BI32" s="90"/>
      <c r="BJ32" s="90"/>
      <c r="BK32" s="90"/>
      <c r="BL32" s="90"/>
      <c r="BM32" s="90"/>
      <c r="BN32" s="90"/>
      <c r="BO32" s="90"/>
      <c r="BP32" s="90"/>
      <c r="BQ32" s="90"/>
      <c r="BR32" s="90"/>
      <c r="BS32" s="90"/>
      <c r="BT32" s="90"/>
      <c r="BU32" s="93" t="s">
        <v>105</v>
      </c>
      <c r="BV32" s="90"/>
      <c r="BW32" s="90"/>
      <c r="BX32" s="90"/>
    </row>
    <row r="33" spans="1:76" ht="9.75" customHeight="1" x14ac:dyDescent="0.3">
      <c r="A33" s="89"/>
      <c r="B33" s="90"/>
      <c r="C33" s="90"/>
      <c r="D33" s="90"/>
      <c r="E33" s="90"/>
      <c r="F33" s="90"/>
      <c r="G33" s="90"/>
      <c r="H33" s="90"/>
      <c r="I33" s="90"/>
      <c r="J33" s="98" t="s">
        <v>105</v>
      </c>
      <c r="K33" s="90"/>
      <c r="L33" s="90"/>
      <c r="M33" s="102" t="s">
        <v>105</v>
      </c>
      <c r="N33" s="90"/>
      <c r="O33" s="90"/>
      <c r="P33" s="90"/>
      <c r="Q33" s="90"/>
      <c r="R33" s="90"/>
      <c r="S33" s="90"/>
      <c r="T33" s="90"/>
      <c r="U33" s="98" t="s">
        <v>105</v>
      </c>
      <c r="V33" s="90"/>
      <c r="W33" s="90"/>
      <c r="X33" s="90"/>
      <c r="Y33" s="96" t="s">
        <v>113</v>
      </c>
      <c r="Z33" s="90"/>
      <c r="AA33" s="90"/>
      <c r="AB33" s="90"/>
      <c r="AC33" s="90"/>
      <c r="AD33" s="90"/>
      <c r="AE33" s="90"/>
      <c r="AF33" s="99"/>
      <c r="AG33" s="99"/>
      <c r="AH33" s="99"/>
      <c r="AI33" s="101" t="s">
        <v>105</v>
      </c>
      <c r="AJ33" s="104" t="s">
        <v>117</v>
      </c>
      <c r="AK33" s="100"/>
      <c r="AL33" s="100"/>
      <c r="AM33" s="100"/>
      <c r="AN33" s="100"/>
      <c r="AO33" s="90"/>
      <c r="AP33" s="90"/>
      <c r="AQ33" s="90"/>
      <c r="AR33" s="97" t="s">
        <v>105</v>
      </c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90"/>
      <c r="BD33" s="90"/>
      <c r="BE33" s="90"/>
      <c r="BF33" s="90"/>
      <c r="BG33" s="93" t="s">
        <v>105</v>
      </c>
      <c r="BH33" s="93" t="s">
        <v>105</v>
      </c>
      <c r="BI33" s="93" t="s">
        <v>105</v>
      </c>
      <c r="BJ33" s="93" t="s">
        <v>105</v>
      </c>
      <c r="BK33" s="93" t="s">
        <v>105</v>
      </c>
      <c r="BL33" s="93" t="s">
        <v>105</v>
      </c>
      <c r="BM33" s="94" t="s">
        <v>112</v>
      </c>
      <c r="BN33" s="93" t="s">
        <v>105</v>
      </c>
      <c r="BO33" s="93" t="s">
        <v>105</v>
      </c>
      <c r="BP33" s="93" t="s">
        <v>105</v>
      </c>
      <c r="BQ33" s="90"/>
      <c r="BR33" s="90"/>
      <c r="BS33" s="90"/>
      <c r="BT33" s="90"/>
      <c r="BU33" s="93" t="s">
        <v>105</v>
      </c>
      <c r="BV33" s="90"/>
      <c r="BW33" s="90"/>
      <c r="BX33" s="90"/>
    </row>
    <row r="34" spans="1:76" ht="9.75" customHeight="1" x14ac:dyDescent="0.3">
      <c r="A34" s="89"/>
      <c r="B34" s="90"/>
      <c r="C34" s="90"/>
      <c r="D34" s="90"/>
      <c r="E34" s="90"/>
      <c r="F34" s="90"/>
      <c r="G34" s="90"/>
      <c r="H34" s="90"/>
      <c r="I34" s="90"/>
      <c r="J34" s="98" t="s">
        <v>105</v>
      </c>
      <c r="K34" s="90"/>
      <c r="L34" s="90"/>
      <c r="M34" s="102" t="s">
        <v>105</v>
      </c>
      <c r="N34" s="90"/>
      <c r="O34" s="90"/>
      <c r="P34" s="90"/>
      <c r="Q34" s="90"/>
      <c r="R34" s="90"/>
      <c r="S34" s="90"/>
      <c r="T34" s="90"/>
      <c r="U34" s="98" t="s">
        <v>105</v>
      </c>
      <c r="V34" s="90"/>
      <c r="W34" s="90"/>
      <c r="X34" s="90"/>
      <c r="Y34" s="97" t="s">
        <v>105</v>
      </c>
      <c r="Z34" s="90"/>
      <c r="AA34" s="90"/>
      <c r="AB34" s="90"/>
      <c r="AC34" s="90"/>
      <c r="AD34" s="90"/>
      <c r="AE34" s="90"/>
      <c r="AF34" s="99"/>
      <c r="AG34" s="99"/>
      <c r="AH34" s="99"/>
      <c r="AI34" s="101" t="s">
        <v>105</v>
      </c>
      <c r="AJ34" s="100"/>
      <c r="AK34" s="100"/>
      <c r="AL34" s="100"/>
      <c r="AM34" s="100"/>
      <c r="AN34" s="100"/>
      <c r="AO34" s="90"/>
      <c r="AP34" s="90"/>
      <c r="AQ34" s="90"/>
      <c r="AR34" s="97" t="s">
        <v>105</v>
      </c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  <c r="BE34" s="90"/>
      <c r="BF34" s="90"/>
      <c r="BG34" s="90"/>
      <c r="BH34" s="90"/>
      <c r="BI34" s="90"/>
      <c r="BJ34" s="90"/>
      <c r="BK34" s="90"/>
      <c r="BL34" s="90"/>
      <c r="BM34" s="90"/>
      <c r="BN34" s="90"/>
      <c r="BO34" s="90"/>
      <c r="BP34" s="93" t="s">
        <v>105</v>
      </c>
      <c r="BQ34" s="90"/>
      <c r="BR34" s="90"/>
      <c r="BS34" s="90"/>
      <c r="BT34" s="90"/>
      <c r="BU34" s="93" t="s">
        <v>105</v>
      </c>
      <c r="BV34" s="90"/>
      <c r="BW34" s="90"/>
      <c r="BX34" s="90"/>
    </row>
    <row r="35" spans="1:76" ht="9.75" customHeight="1" x14ac:dyDescent="0.3">
      <c r="A35" s="89"/>
      <c r="B35" s="90"/>
      <c r="C35" s="90"/>
      <c r="D35" s="90"/>
      <c r="E35" s="90"/>
      <c r="F35" s="90"/>
      <c r="G35" s="90"/>
      <c r="H35" s="90"/>
      <c r="I35" s="90"/>
      <c r="J35" s="98" t="s">
        <v>105</v>
      </c>
      <c r="K35" s="90"/>
      <c r="L35" s="90"/>
      <c r="M35" s="102" t="s">
        <v>105</v>
      </c>
      <c r="N35" s="90"/>
      <c r="O35" s="90"/>
      <c r="P35" s="90"/>
      <c r="Q35" s="90"/>
      <c r="R35" s="90"/>
      <c r="S35" s="90"/>
      <c r="T35" s="90"/>
      <c r="U35" s="98" t="s">
        <v>105</v>
      </c>
      <c r="V35" s="90"/>
      <c r="W35" s="90"/>
      <c r="X35" s="90"/>
      <c r="Y35" s="97" t="s">
        <v>105</v>
      </c>
      <c r="Z35" s="90"/>
      <c r="AA35" s="90"/>
      <c r="AB35" s="90"/>
      <c r="AC35" s="90"/>
      <c r="AD35" s="90"/>
      <c r="AE35" s="90"/>
      <c r="AF35" s="99"/>
      <c r="AG35" s="99"/>
      <c r="AH35" s="99"/>
      <c r="AI35" s="101" t="s">
        <v>105</v>
      </c>
      <c r="AJ35" s="100"/>
      <c r="AK35" s="100"/>
      <c r="AL35" s="100"/>
      <c r="AM35" s="100"/>
      <c r="AN35" s="100"/>
      <c r="AO35" s="90"/>
      <c r="AP35" s="90"/>
      <c r="AQ35" s="90"/>
      <c r="AR35" s="97" t="s">
        <v>105</v>
      </c>
      <c r="AS35" s="90"/>
      <c r="AT35" s="90"/>
      <c r="AU35" s="90"/>
      <c r="AV35" s="90"/>
      <c r="AW35" s="90"/>
      <c r="AX35" s="90"/>
      <c r="AY35" s="90"/>
      <c r="AZ35" s="90"/>
      <c r="BA35" s="90"/>
      <c r="BB35" s="90"/>
      <c r="BC35" s="90"/>
      <c r="BD35" s="90"/>
      <c r="BE35" s="90"/>
      <c r="BF35" s="90"/>
      <c r="BG35" s="90"/>
      <c r="BH35" s="90"/>
      <c r="BI35" s="90"/>
      <c r="BJ35" s="90"/>
      <c r="BK35" s="90"/>
      <c r="BL35" s="90"/>
      <c r="BM35" s="90"/>
      <c r="BN35" s="90"/>
      <c r="BO35" s="90"/>
      <c r="BP35" s="93" t="s">
        <v>105</v>
      </c>
      <c r="BQ35" s="90"/>
      <c r="BR35" s="90"/>
      <c r="BS35" s="90"/>
      <c r="BT35" s="90"/>
      <c r="BU35" s="93" t="s">
        <v>105</v>
      </c>
      <c r="BV35" s="90"/>
      <c r="BW35" s="90"/>
      <c r="BX35" s="90"/>
    </row>
    <row r="36" spans="1:76" ht="9.75" customHeight="1" x14ac:dyDescent="0.3">
      <c r="A36" s="89"/>
      <c r="B36" s="90"/>
      <c r="C36" s="90"/>
      <c r="D36" s="90"/>
      <c r="E36" s="90"/>
      <c r="F36" s="90"/>
      <c r="G36" s="90"/>
      <c r="H36" s="90"/>
      <c r="I36" s="90"/>
      <c r="J36" s="98" t="s">
        <v>105</v>
      </c>
      <c r="K36" s="90"/>
      <c r="L36" s="90"/>
      <c r="M36" s="102" t="s">
        <v>105</v>
      </c>
      <c r="N36" s="90"/>
      <c r="O36" s="90"/>
      <c r="P36" s="90"/>
      <c r="Q36" s="90"/>
      <c r="R36" s="90"/>
      <c r="S36" s="90"/>
      <c r="T36" s="90"/>
      <c r="U36" s="98" t="s">
        <v>105</v>
      </c>
      <c r="V36" s="90"/>
      <c r="W36" s="90"/>
      <c r="X36" s="90"/>
      <c r="Y36" s="97" t="s">
        <v>105</v>
      </c>
      <c r="Z36" s="90"/>
      <c r="AA36" s="90"/>
      <c r="AB36" s="90"/>
      <c r="AC36" s="90"/>
      <c r="AD36" s="90"/>
      <c r="AE36" s="90"/>
      <c r="AF36" s="99"/>
      <c r="AG36" s="99"/>
      <c r="AH36" s="99"/>
      <c r="AI36" s="101" t="s">
        <v>105</v>
      </c>
      <c r="AJ36" s="101" t="s">
        <v>105</v>
      </c>
      <c r="AK36" s="101" t="s">
        <v>105</v>
      </c>
      <c r="AL36" s="101" t="s">
        <v>105</v>
      </c>
      <c r="AM36" s="101" t="s">
        <v>118</v>
      </c>
      <c r="AN36" s="100"/>
      <c r="AO36" s="90"/>
      <c r="AP36" s="90"/>
      <c r="AQ36" s="90"/>
      <c r="AR36" s="97" t="s">
        <v>105</v>
      </c>
      <c r="AS36" s="90"/>
      <c r="AT36" s="90"/>
      <c r="AU36" s="90"/>
      <c r="AV36" s="90"/>
      <c r="AW36" s="90"/>
      <c r="AX36" s="90"/>
      <c r="AY36" s="90"/>
      <c r="AZ36" s="90"/>
      <c r="BA36" s="90"/>
      <c r="BB36" s="90"/>
      <c r="BC36" s="90"/>
      <c r="BD36" s="90"/>
      <c r="BE36" s="90"/>
      <c r="BF36" s="90"/>
      <c r="BG36" s="90"/>
      <c r="BH36" s="90"/>
      <c r="BI36" s="90"/>
      <c r="BJ36" s="90"/>
      <c r="BK36" s="90"/>
      <c r="BL36" s="90"/>
      <c r="BM36" s="90"/>
      <c r="BN36" s="90"/>
      <c r="BO36" s="90"/>
      <c r="BP36" s="93" t="s">
        <v>105</v>
      </c>
      <c r="BQ36" s="90"/>
      <c r="BR36" s="90"/>
      <c r="BS36" s="90"/>
      <c r="BT36" s="90"/>
      <c r="BU36" s="93" t="s">
        <v>105</v>
      </c>
      <c r="BV36" s="90"/>
      <c r="BW36" s="90"/>
      <c r="BX36" s="90"/>
    </row>
    <row r="37" spans="1:76" ht="9.75" customHeight="1" x14ac:dyDescent="0.3">
      <c r="A37" s="89"/>
      <c r="B37" s="90"/>
      <c r="C37" s="90"/>
      <c r="D37" s="90"/>
      <c r="E37" s="90"/>
      <c r="F37" s="90"/>
      <c r="G37" s="90"/>
      <c r="H37" s="90"/>
      <c r="I37" s="90"/>
      <c r="J37" s="98" t="s">
        <v>105</v>
      </c>
      <c r="K37" s="105" t="s">
        <v>107</v>
      </c>
      <c r="L37" s="98" t="s">
        <v>105</v>
      </c>
      <c r="M37" s="102" t="s">
        <v>105</v>
      </c>
      <c r="N37" s="98" t="s">
        <v>105</v>
      </c>
      <c r="O37" s="98" t="s">
        <v>105</v>
      </c>
      <c r="P37" s="98" t="s">
        <v>105</v>
      </c>
      <c r="Q37" s="98" t="s">
        <v>105</v>
      </c>
      <c r="R37" s="98" t="s">
        <v>105</v>
      </c>
      <c r="S37" s="98" t="s">
        <v>105</v>
      </c>
      <c r="T37" s="98" t="s">
        <v>105</v>
      </c>
      <c r="U37" s="105" t="s">
        <v>108</v>
      </c>
      <c r="V37" s="90"/>
      <c r="W37" s="90"/>
      <c r="X37" s="90"/>
      <c r="Y37" s="97" t="s">
        <v>105</v>
      </c>
      <c r="Z37" s="90"/>
      <c r="AA37" s="90"/>
      <c r="AB37" s="90"/>
      <c r="AC37" s="90"/>
      <c r="AD37" s="90"/>
      <c r="AE37" s="90"/>
      <c r="AF37" s="99"/>
      <c r="AG37" s="99"/>
      <c r="AH37" s="99"/>
      <c r="AI37" s="100"/>
      <c r="AJ37" s="100"/>
      <c r="AK37" s="100"/>
      <c r="AL37" s="100"/>
      <c r="AM37" s="100"/>
      <c r="AN37" s="100"/>
      <c r="AO37" s="90"/>
      <c r="AP37" s="90"/>
      <c r="AQ37" s="90"/>
      <c r="AR37" s="97" t="s">
        <v>105</v>
      </c>
      <c r="AS37" s="90"/>
      <c r="AT37" s="90"/>
      <c r="AU37" s="90"/>
      <c r="AV37" s="90"/>
      <c r="AW37" s="90"/>
      <c r="AX37" s="90"/>
      <c r="AY37" s="90"/>
      <c r="AZ37" s="90"/>
      <c r="BA37" s="90"/>
      <c r="BB37" s="90"/>
      <c r="BC37" s="90"/>
      <c r="BD37" s="90"/>
      <c r="BE37" s="90"/>
      <c r="BF37" s="90"/>
      <c r="BG37" s="90"/>
      <c r="BH37" s="90"/>
      <c r="BI37" s="90"/>
      <c r="BJ37" s="90"/>
      <c r="BK37" s="90"/>
      <c r="BL37" s="90"/>
      <c r="BM37" s="90"/>
      <c r="BN37" s="90"/>
      <c r="BO37" s="90"/>
      <c r="BP37" s="93" t="s">
        <v>105</v>
      </c>
      <c r="BQ37" s="90"/>
      <c r="BR37" s="90"/>
      <c r="BS37" s="90"/>
      <c r="BT37" s="90"/>
      <c r="BU37" s="93" t="s">
        <v>105</v>
      </c>
      <c r="BV37" s="90"/>
      <c r="BW37" s="90"/>
      <c r="BX37" s="90"/>
    </row>
    <row r="38" spans="1:76" ht="9.75" customHeight="1" x14ac:dyDescent="0.3">
      <c r="A38" s="89"/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102" t="s">
        <v>105</v>
      </c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7" t="s">
        <v>105</v>
      </c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  <c r="AN38" s="90"/>
      <c r="AO38" s="90"/>
      <c r="AP38" s="90"/>
      <c r="AQ38" s="90"/>
      <c r="AR38" s="97" t="s">
        <v>105</v>
      </c>
      <c r="AS38" s="90"/>
      <c r="AT38" s="90"/>
      <c r="AU38" s="90"/>
      <c r="AV38" s="90"/>
      <c r="AW38" s="90"/>
      <c r="AX38" s="90"/>
      <c r="AY38" s="90"/>
      <c r="AZ38" s="90"/>
      <c r="BA38" s="90"/>
      <c r="BB38" s="90"/>
      <c r="BC38" s="90"/>
      <c r="BD38" s="90"/>
      <c r="BE38" s="90"/>
      <c r="BF38" s="90"/>
      <c r="BG38" s="90"/>
      <c r="BH38" s="90"/>
      <c r="BI38" s="90"/>
      <c r="BJ38" s="90"/>
      <c r="BK38" s="90"/>
      <c r="BL38" s="90"/>
      <c r="BM38" s="90"/>
      <c r="BN38" s="90"/>
      <c r="BO38" s="90"/>
      <c r="BP38" s="93" t="s">
        <v>105</v>
      </c>
      <c r="BQ38" s="90"/>
      <c r="BR38" s="90"/>
      <c r="BS38" s="90"/>
      <c r="BT38" s="90"/>
      <c r="BU38" s="93" t="s">
        <v>105</v>
      </c>
      <c r="BV38" s="90"/>
      <c r="BW38" s="90"/>
      <c r="BX38" s="90"/>
    </row>
    <row r="39" spans="1:76" ht="9.75" customHeight="1" x14ac:dyDescent="0.3">
      <c r="A39" s="89"/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106" t="s">
        <v>108</v>
      </c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7" t="s">
        <v>105</v>
      </c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  <c r="AN39" s="90"/>
      <c r="AO39" s="90"/>
      <c r="AP39" s="90"/>
      <c r="AQ39" s="90"/>
      <c r="AR39" s="97" t="s">
        <v>105</v>
      </c>
      <c r="AS39" s="90"/>
      <c r="AT39" s="90"/>
      <c r="AU39" s="90"/>
      <c r="AV39" s="90"/>
      <c r="AW39" s="90"/>
      <c r="AX39" s="90"/>
      <c r="AY39" s="90"/>
      <c r="AZ39" s="90"/>
      <c r="BA39" s="90"/>
      <c r="BB39" s="90"/>
      <c r="BC39" s="90"/>
      <c r="BD39" s="90"/>
      <c r="BE39" s="90"/>
      <c r="BF39" s="90"/>
      <c r="BG39" s="90"/>
      <c r="BH39" s="90"/>
      <c r="BI39" s="90"/>
      <c r="BJ39" s="90"/>
      <c r="BK39" s="90"/>
      <c r="BL39" s="90"/>
      <c r="BM39" s="90"/>
      <c r="BN39" s="90"/>
      <c r="BO39" s="90"/>
      <c r="BP39" s="93" t="s">
        <v>119</v>
      </c>
      <c r="BQ39" s="90"/>
      <c r="BR39" s="90"/>
      <c r="BS39" s="90"/>
      <c r="BT39" s="90"/>
      <c r="BU39" s="93" t="s">
        <v>105</v>
      </c>
      <c r="BV39" s="90"/>
      <c r="BW39" s="90"/>
      <c r="BX39" s="90"/>
    </row>
    <row r="40" spans="1:76" ht="9.75" customHeight="1" x14ac:dyDescent="0.3">
      <c r="A40" s="89"/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102" t="s">
        <v>105</v>
      </c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7" t="s">
        <v>105</v>
      </c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  <c r="AR40" s="96" t="s">
        <v>106</v>
      </c>
      <c r="AS40" s="90"/>
      <c r="AT40" s="90"/>
      <c r="AU40" s="90"/>
      <c r="AV40" s="90"/>
      <c r="AW40" s="90"/>
      <c r="AX40" s="90"/>
      <c r="AY40" s="90"/>
      <c r="AZ40" s="90"/>
      <c r="BA40" s="90"/>
      <c r="BB40" s="90"/>
      <c r="BC40" s="90"/>
      <c r="BD40" s="90"/>
      <c r="BE40" s="90"/>
      <c r="BF40" s="90"/>
      <c r="BG40" s="90"/>
      <c r="BH40" s="90"/>
      <c r="BI40" s="90"/>
      <c r="BJ40" s="90"/>
      <c r="BK40" s="90"/>
      <c r="BL40" s="90"/>
      <c r="BM40" s="90"/>
      <c r="BN40" s="90"/>
      <c r="BO40" s="90"/>
      <c r="BP40" s="90"/>
      <c r="BQ40" s="90"/>
      <c r="BR40" s="90"/>
      <c r="BS40" s="90"/>
      <c r="BT40" s="90"/>
      <c r="BU40" s="93" t="s">
        <v>105</v>
      </c>
      <c r="BV40" s="90"/>
      <c r="BW40" s="90"/>
      <c r="BX40" s="90"/>
    </row>
    <row r="41" spans="1:76" ht="9.75" customHeight="1" x14ac:dyDescent="0.3">
      <c r="A41" s="89"/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102" t="s">
        <v>105</v>
      </c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7" t="s">
        <v>105</v>
      </c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7" t="s">
        <v>105</v>
      </c>
      <c r="AS41" s="90"/>
      <c r="AT41" s="90"/>
      <c r="AU41" s="90"/>
      <c r="AV41" s="90"/>
      <c r="AW41" s="90"/>
      <c r="AX41" s="90"/>
      <c r="AY41" s="90"/>
      <c r="AZ41" s="90"/>
      <c r="BA41" s="90"/>
      <c r="BB41" s="90"/>
      <c r="BC41" s="90"/>
      <c r="BD41" s="90"/>
      <c r="BE41" s="90"/>
      <c r="BF41" s="90"/>
      <c r="BG41" s="90"/>
      <c r="BH41" s="90"/>
      <c r="BI41" s="90"/>
      <c r="BJ41" s="90"/>
      <c r="BK41" s="90"/>
      <c r="BL41" s="90"/>
      <c r="BM41" s="90"/>
      <c r="BN41" s="90"/>
      <c r="BO41" s="90"/>
      <c r="BP41" s="90"/>
      <c r="BQ41" s="90"/>
      <c r="BR41" s="90"/>
      <c r="BS41" s="90"/>
      <c r="BT41" s="90"/>
      <c r="BU41" s="94" t="s">
        <v>107</v>
      </c>
      <c r="BV41" s="90"/>
      <c r="BW41" s="90"/>
      <c r="BX41" s="90"/>
    </row>
    <row r="42" spans="1:76" ht="9.75" customHeight="1" x14ac:dyDescent="0.3">
      <c r="A42" s="89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102" t="s">
        <v>105</v>
      </c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7" t="s">
        <v>105</v>
      </c>
      <c r="Z42" s="96" t="s">
        <v>110</v>
      </c>
      <c r="AA42" s="97" t="s">
        <v>105</v>
      </c>
      <c r="AB42" s="97" t="s">
        <v>105</v>
      </c>
      <c r="AC42" s="97" t="s">
        <v>105</v>
      </c>
      <c r="AD42" s="97" t="s">
        <v>105</v>
      </c>
      <c r="AE42" s="97" t="s">
        <v>105</v>
      </c>
      <c r="AF42" s="97" t="s">
        <v>105</v>
      </c>
      <c r="AG42" s="97" t="s">
        <v>105</v>
      </c>
      <c r="AH42" s="97" t="s">
        <v>105</v>
      </c>
      <c r="AI42" s="97" t="s">
        <v>105</v>
      </c>
      <c r="AJ42" s="96" t="s">
        <v>109</v>
      </c>
      <c r="AK42" s="97" t="s">
        <v>105</v>
      </c>
      <c r="AL42" s="97" t="s">
        <v>105</v>
      </c>
      <c r="AM42" s="97" t="s">
        <v>105</v>
      </c>
      <c r="AN42" s="97" t="s">
        <v>105</v>
      </c>
      <c r="AO42" s="97" t="s">
        <v>105</v>
      </c>
      <c r="AP42" s="97" t="s">
        <v>105</v>
      </c>
      <c r="AQ42" s="97" t="s">
        <v>105</v>
      </c>
      <c r="AR42" s="97" t="s">
        <v>105</v>
      </c>
      <c r="AS42" s="90"/>
      <c r="AT42" s="90"/>
      <c r="AU42" s="90"/>
      <c r="AV42" s="90"/>
      <c r="AW42" s="90"/>
      <c r="AX42" s="90"/>
      <c r="AY42" s="90"/>
      <c r="AZ42" s="90"/>
      <c r="BA42" s="90"/>
      <c r="BB42" s="90"/>
      <c r="BC42" s="90"/>
      <c r="BD42" s="90"/>
      <c r="BE42" s="90"/>
      <c r="BF42" s="90"/>
      <c r="BG42" s="90"/>
      <c r="BH42" s="90"/>
      <c r="BI42" s="90"/>
      <c r="BJ42" s="90"/>
      <c r="BK42" s="90"/>
      <c r="BL42" s="90"/>
      <c r="BM42" s="90"/>
      <c r="BN42" s="90"/>
      <c r="BO42" s="90"/>
      <c r="BP42" s="90"/>
      <c r="BQ42" s="90"/>
      <c r="BR42" s="90"/>
      <c r="BS42" s="90"/>
      <c r="BT42" s="90"/>
      <c r="BU42" s="93" t="s">
        <v>105</v>
      </c>
      <c r="BV42" s="90"/>
      <c r="BW42" s="90"/>
      <c r="BX42" s="90"/>
    </row>
    <row r="43" spans="1:76" ht="9.75" customHeight="1" x14ac:dyDescent="0.3">
      <c r="A43" s="89"/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102" t="s">
        <v>105</v>
      </c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90"/>
      <c r="AE43" s="90"/>
      <c r="AF43" s="90"/>
      <c r="AG43" s="90"/>
      <c r="AH43" s="90"/>
      <c r="AI43" s="90"/>
      <c r="AJ43" s="90"/>
      <c r="AK43" s="90"/>
      <c r="AL43" s="90"/>
      <c r="AM43" s="90"/>
      <c r="AN43" s="90"/>
      <c r="AO43" s="90"/>
      <c r="AP43" s="90"/>
      <c r="AQ43" s="90"/>
      <c r="AR43" s="90"/>
      <c r="AS43" s="90"/>
      <c r="AT43" s="90"/>
      <c r="AU43" s="90"/>
      <c r="AV43" s="90"/>
      <c r="AW43" s="90"/>
      <c r="AX43" s="90"/>
      <c r="AY43" s="90"/>
      <c r="AZ43" s="90"/>
      <c r="BA43" s="90"/>
      <c r="BB43" s="90"/>
      <c r="BC43" s="90"/>
      <c r="BD43" s="90"/>
      <c r="BE43" s="90"/>
      <c r="BF43" s="90"/>
      <c r="BG43" s="90"/>
      <c r="BH43" s="90"/>
      <c r="BI43" s="90"/>
      <c r="BJ43" s="90"/>
      <c r="BK43" s="90"/>
      <c r="BL43" s="90"/>
      <c r="BM43" s="90"/>
      <c r="BN43" s="90"/>
      <c r="BO43" s="90"/>
      <c r="BP43" s="90"/>
      <c r="BQ43" s="90"/>
      <c r="BR43" s="90"/>
      <c r="BS43" s="90"/>
      <c r="BT43" s="90"/>
      <c r="BU43" s="93" t="s">
        <v>105</v>
      </c>
      <c r="BV43" s="90"/>
      <c r="BW43" s="90"/>
      <c r="BX43" s="90"/>
    </row>
    <row r="44" spans="1:76" ht="9.75" customHeight="1" x14ac:dyDescent="0.3">
      <c r="A44" s="89"/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102" t="s">
        <v>105</v>
      </c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  <c r="AE44" s="90"/>
      <c r="AF44" s="90"/>
      <c r="AG44" s="90"/>
      <c r="AH44" s="90"/>
      <c r="AI44" s="90"/>
      <c r="AJ44" s="90"/>
      <c r="AK44" s="90"/>
      <c r="AL44" s="90"/>
      <c r="AM44" s="90"/>
      <c r="AN44" s="90"/>
      <c r="AO44" s="90"/>
      <c r="AP44" s="90"/>
      <c r="AQ44" s="90"/>
      <c r="AR44" s="90"/>
      <c r="AS44" s="90"/>
      <c r="AT44" s="90"/>
      <c r="AU44" s="90"/>
      <c r="AV44" s="90"/>
      <c r="AW44" s="90"/>
      <c r="AX44" s="90"/>
      <c r="AY44" s="90"/>
      <c r="AZ44" s="90"/>
      <c r="BA44" s="90"/>
      <c r="BB44" s="90"/>
      <c r="BC44" s="90"/>
      <c r="BD44" s="90"/>
      <c r="BE44" s="90"/>
      <c r="BF44" s="90"/>
      <c r="BG44" s="90"/>
      <c r="BH44" s="90"/>
      <c r="BI44" s="90"/>
      <c r="BJ44" s="90"/>
      <c r="BK44" s="90"/>
      <c r="BL44" s="90"/>
      <c r="BM44" s="90"/>
      <c r="BN44" s="90"/>
      <c r="BO44" s="90"/>
      <c r="BP44" s="90"/>
      <c r="BQ44" s="90"/>
      <c r="BR44" s="90"/>
      <c r="BS44" s="90"/>
      <c r="BT44" s="90"/>
      <c r="BU44" s="93" t="s">
        <v>105</v>
      </c>
      <c r="BV44" s="90"/>
      <c r="BW44" s="90"/>
      <c r="BX44" s="90"/>
    </row>
    <row r="45" spans="1:76" ht="9.75" customHeight="1" x14ac:dyDescent="0.3">
      <c r="A45" s="89"/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102" t="s">
        <v>105</v>
      </c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  <c r="AE45" s="90"/>
      <c r="AF45" s="90"/>
      <c r="AG45" s="90"/>
      <c r="AH45" s="90"/>
      <c r="AI45" s="90"/>
      <c r="AJ45" s="90"/>
      <c r="AK45" s="90"/>
      <c r="AL45" s="90"/>
      <c r="AM45" s="90"/>
      <c r="AN45" s="90"/>
      <c r="AO45" s="90"/>
      <c r="AP45" s="90"/>
      <c r="AQ45" s="90"/>
      <c r="AR45" s="90"/>
      <c r="AS45" s="90"/>
      <c r="AT45" s="90"/>
      <c r="AU45" s="90"/>
      <c r="AV45" s="90"/>
      <c r="AW45" s="90"/>
      <c r="AX45" s="90"/>
      <c r="AY45" s="90"/>
      <c r="AZ45" s="90"/>
      <c r="BA45" s="90"/>
      <c r="BB45" s="90"/>
      <c r="BC45" s="90"/>
      <c r="BD45" s="102" t="s">
        <v>105</v>
      </c>
      <c r="BE45" s="106" t="s">
        <v>112</v>
      </c>
      <c r="BF45" s="95" t="s">
        <v>120</v>
      </c>
      <c r="BG45" s="93" t="s">
        <v>105</v>
      </c>
      <c r="BH45" s="93" t="s">
        <v>105</v>
      </c>
      <c r="BI45" s="93" t="s">
        <v>105</v>
      </c>
      <c r="BJ45" s="93" t="s">
        <v>105</v>
      </c>
      <c r="BK45" s="93" t="s">
        <v>105</v>
      </c>
      <c r="BL45" s="93" t="s">
        <v>105</v>
      </c>
      <c r="BM45" s="93" t="s">
        <v>105</v>
      </c>
      <c r="BN45" s="93" t="s">
        <v>105</v>
      </c>
      <c r="BO45" s="94" t="s">
        <v>108</v>
      </c>
      <c r="BP45" s="93" t="s">
        <v>105</v>
      </c>
      <c r="BQ45" s="93" t="s">
        <v>105</v>
      </c>
      <c r="BR45" s="93" t="s">
        <v>105</v>
      </c>
      <c r="BS45" s="93" t="s">
        <v>105</v>
      </c>
      <c r="BT45" s="93" t="s">
        <v>105</v>
      </c>
      <c r="BU45" s="93" t="s">
        <v>105</v>
      </c>
      <c r="BV45" s="90"/>
      <c r="BW45" s="90"/>
      <c r="BX45" s="90"/>
    </row>
    <row r="46" spans="1:76" ht="9.75" customHeight="1" x14ac:dyDescent="0.3">
      <c r="A46" s="89"/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102" t="s">
        <v>105</v>
      </c>
      <c r="N46" s="102" t="s">
        <v>105</v>
      </c>
      <c r="O46" s="102" t="s">
        <v>105</v>
      </c>
      <c r="P46" s="106" t="s">
        <v>107</v>
      </c>
      <c r="Q46" s="102" t="s">
        <v>105</v>
      </c>
      <c r="R46" s="102" t="s">
        <v>105</v>
      </c>
      <c r="S46" s="102" t="s">
        <v>105</v>
      </c>
      <c r="T46" s="102" t="s">
        <v>105</v>
      </c>
      <c r="U46" s="102" t="s">
        <v>105</v>
      </c>
      <c r="V46" s="102" t="s">
        <v>105</v>
      </c>
      <c r="W46" s="102" t="s">
        <v>105</v>
      </c>
      <c r="X46" s="102" t="s">
        <v>105</v>
      </c>
      <c r="Y46" s="102" t="s">
        <v>105</v>
      </c>
      <c r="Z46" s="106" t="s">
        <v>106</v>
      </c>
      <c r="AA46" s="102" t="s">
        <v>105</v>
      </c>
      <c r="AB46" s="102" t="s">
        <v>105</v>
      </c>
      <c r="AC46" s="102" t="s">
        <v>105</v>
      </c>
      <c r="AD46" s="102" t="s">
        <v>105</v>
      </c>
      <c r="AE46" s="102" t="s">
        <v>105</v>
      </c>
      <c r="AF46" s="102" t="s">
        <v>105</v>
      </c>
      <c r="AG46" s="102" t="s">
        <v>105</v>
      </c>
      <c r="AH46" s="102" t="s">
        <v>105</v>
      </c>
      <c r="AI46" s="102" t="s">
        <v>105</v>
      </c>
      <c r="AJ46" s="106" t="s">
        <v>109</v>
      </c>
      <c r="AK46" s="90"/>
      <c r="AL46" s="90"/>
      <c r="AM46" s="90"/>
      <c r="AN46" s="90"/>
      <c r="AO46" s="90"/>
      <c r="AP46" s="90"/>
      <c r="AQ46" s="90"/>
      <c r="AR46" s="90"/>
      <c r="AS46" s="90"/>
      <c r="AT46" s="90"/>
      <c r="AU46" s="90"/>
      <c r="AV46" s="90"/>
      <c r="AW46" s="90"/>
      <c r="AX46" s="90"/>
      <c r="AY46" s="90"/>
      <c r="AZ46" s="90"/>
      <c r="BA46" s="90"/>
      <c r="BB46" s="90"/>
      <c r="BC46" s="90"/>
      <c r="BD46" s="102" t="s">
        <v>105</v>
      </c>
      <c r="BE46" s="90"/>
      <c r="BF46" s="90"/>
      <c r="BG46" s="90"/>
      <c r="BH46" s="90"/>
      <c r="BI46" s="90"/>
      <c r="BJ46" s="90"/>
      <c r="BK46" s="90"/>
      <c r="BL46" s="90"/>
      <c r="BM46" s="90"/>
      <c r="BN46" s="90"/>
      <c r="BO46" s="90"/>
      <c r="BP46" s="90"/>
      <c r="BQ46" s="90"/>
      <c r="BR46" s="90"/>
      <c r="BS46" s="90"/>
      <c r="BT46" s="90"/>
      <c r="BU46" s="90"/>
      <c r="BV46" s="90"/>
      <c r="BW46" s="90"/>
      <c r="BX46" s="90"/>
    </row>
    <row r="47" spans="1:76" ht="9.75" customHeight="1" x14ac:dyDescent="0.3">
      <c r="A47" s="89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0"/>
      <c r="AE47" s="90"/>
      <c r="AF47" s="90"/>
      <c r="AG47" s="90"/>
      <c r="AH47" s="90"/>
      <c r="AI47" s="90"/>
      <c r="AJ47" s="102" t="s">
        <v>105</v>
      </c>
      <c r="AK47" s="90"/>
      <c r="AL47" s="90"/>
      <c r="AM47" s="90"/>
      <c r="AN47" s="90"/>
      <c r="AO47" s="90"/>
      <c r="AP47" s="90"/>
      <c r="AQ47" s="90"/>
      <c r="AR47" s="90"/>
      <c r="AS47" s="90"/>
      <c r="AT47" s="90"/>
      <c r="AU47" s="90"/>
      <c r="AV47" s="90"/>
      <c r="AW47" s="90"/>
      <c r="AX47" s="90"/>
      <c r="AY47" s="90"/>
      <c r="AZ47" s="90"/>
      <c r="BA47" s="90"/>
      <c r="BB47" s="90"/>
      <c r="BC47" s="90"/>
      <c r="BD47" s="102" t="s">
        <v>105</v>
      </c>
      <c r="BE47" s="90"/>
      <c r="BF47" s="90"/>
      <c r="BG47" s="90"/>
      <c r="BH47" s="90"/>
      <c r="BI47" s="90"/>
      <c r="BJ47" s="90"/>
      <c r="BK47" s="90"/>
      <c r="BL47" s="90"/>
      <c r="BM47" s="90"/>
      <c r="BN47" s="90"/>
      <c r="BO47" s="90"/>
      <c r="BP47" s="90"/>
      <c r="BQ47" s="90"/>
      <c r="BR47" s="90"/>
      <c r="BS47" s="90"/>
      <c r="BT47" s="90"/>
      <c r="BU47" s="90"/>
      <c r="BV47" s="90"/>
      <c r="BW47" s="90"/>
      <c r="BX47" s="90"/>
    </row>
    <row r="48" spans="1:76" ht="9.75" customHeight="1" x14ac:dyDescent="0.3">
      <c r="A48" s="89"/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90"/>
      <c r="AD48" s="90"/>
      <c r="AE48" s="90"/>
      <c r="AF48" s="90"/>
      <c r="AG48" s="90"/>
      <c r="AH48" s="90"/>
      <c r="AI48" s="90"/>
      <c r="AJ48" s="102" t="s">
        <v>105</v>
      </c>
      <c r="AK48" s="90"/>
      <c r="AL48" s="90"/>
      <c r="AM48" s="90"/>
      <c r="AN48" s="90"/>
      <c r="AO48" s="90"/>
      <c r="AP48" s="90"/>
      <c r="AQ48" s="90"/>
      <c r="AR48" s="90"/>
      <c r="AS48" s="90"/>
      <c r="AT48" s="90"/>
      <c r="AU48" s="90"/>
      <c r="AV48" s="90"/>
      <c r="AW48" s="90"/>
      <c r="AX48" s="90"/>
      <c r="AY48" s="90"/>
      <c r="AZ48" s="90"/>
      <c r="BA48" s="90"/>
      <c r="BB48" s="90"/>
      <c r="BC48" s="90"/>
      <c r="BD48" s="102" t="s">
        <v>105</v>
      </c>
      <c r="BE48" s="90"/>
      <c r="BF48" s="90"/>
      <c r="BG48" s="90"/>
      <c r="BH48" s="90"/>
      <c r="BI48" s="90"/>
      <c r="BJ48" s="90"/>
      <c r="BK48" s="90"/>
      <c r="BL48" s="90"/>
      <c r="BM48" s="90"/>
      <c r="BN48" s="90"/>
      <c r="BO48" s="90"/>
      <c r="BP48" s="90"/>
      <c r="BQ48" s="90"/>
      <c r="BR48" s="90"/>
      <c r="BS48" s="90"/>
      <c r="BT48" s="90"/>
      <c r="BU48" s="90"/>
      <c r="BV48" s="90"/>
      <c r="BW48" s="90"/>
      <c r="BX48" s="90"/>
    </row>
    <row r="49" spans="1:76" ht="9.75" customHeight="1" x14ac:dyDescent="0.3">
      <c r="A49" s="89"/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0"/>
      <c r="AC49" s="90"/>
      <c r="AD49" s="90"/>
      <c r="AE49" s="90"/>
      <c r="AF49" s="90"/>
      <c r="AG49" s="90"/>
      <c r="AH49" s="90"/>
      <c r="AI49" s="90"/>
      <c r="AJ49" s="102" t="s">
        <v>105</v>
      </c>
      <c r="AK49" s="90"/>
      <c r="AL49" s="90"/>
      <c r="AM49" s="90"/>
      <c r="AN49" s="90"/>
      <c r="AO49" s="90"/>
      <c r="AP49" s="90"/>
      <c r="AQ49" s="90"/>
      <c r="AR49" s="90"/>
      <c r="AS49" s="90"/>
      <c r="AT49" s="90"/>
      <c r="AU49" s="90"/>
      <c r="AV49" s="90"/>
      <c r="AW49" s="90"/>
      <c r="AX49" s="90"/>
      <c r="AY49" s="90"/>
      <c r="AZ49" s="90"/>
      <c r="BA49" s="90"/>
      <c r="BB49" s="90"/>
      <c r="BC49" s="90"/>
      <c r="BD49" s="102" t="s">
        <v>105</v>
      </c>
      <c r="BE49" s="90"/>
      <c r="BF49" s="90"/>
      <c r="BG49" s="90"/>
      <c r="BH49" s="90"/>
      <c r="BI49" s="90"/>
      <c r="BJ49" s="90"/>
      <c r="BK49" s="90"/>
      <c r="BL49" s="90"/>
      <c r="BM49" s="90"/>
      <c r="BN49" s="90"/>
      <c r="BO49" s="90"/>
      <c r="BP49" s="90"/>
      <c r="BQ49" s="90"/>
      <c r="BR49" s="90"/>
      <c r="BS49" s="90"/>
      <c r="BT49" s="90"/>
      <c r="BU49" s="90"/>
      <c r="BV49" s="90"/>
      <c r="BW49" s="90"/>
      <c r="BX49" s="90"/>
    </row>
    <row r="50" spans="1:76" ht="9.75" customHeight="1" x14ac:dyDescent="0.3">
      <c r="A50" s="89"/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0"/>
      <c r="AE50" s="90"/>
      <c r="AF50" s="90"/>
      <c r="AG50" s="90"/>
      <c r="AH50" s="90"/>
      <c r="AI50" s="90"/>
      <c r="AJ50" s="102" t="s">
        <v>105</v>
      </c>
      <c r="AK50" s="102" t="s">
        <v>105</v>
      </c>
      <c r="AL50" s="102" t="s">
        <v>105</v>
      </c>
      <c r="AM50" s="102" t="s">
        <v>105</v>
      </c>
      <c r="AN50" s="102" t="s">
        <v>105</v>
      </c>
      <c r="AO50" s="102" t="s">
        <v>105</v>
      </c>
      <c r="AP50" s="106" t="s">
        <v>110</v>
      </c>
      <c r="AQ50" s="102" t="s">
        <v>105</v>
      </c>
      <c r="AR50" s="102" t="s">
        <v>105</v>
      </c>
      <c r="AS50" s="102" t="s">
        <v>105</v>
      </c>
      <c r="AT50" s="102" t="s">
        <v>105</v>
      </c>
      <c r="AU50" s="102" t="s">
        <v>105</v>
      </c>
      <c r="AV50" s="102" t="s">
        <v>105</v>
      </c>
      <c r="AW50" s="102" t="s">
        <v>105</v>
      </c>
      <c r="AX50" s="102" t="s">
        <v>105</v>
      </c>
      <c r="AY50" s="102" t="s">
        <v>105</v>
      </c>
      <c r="AZ50" s="106" t="s">
        <v>113</v>
      </c>
      <c r="BA50" s="102" t="s">
        <v>105</v>
      </c>
      <c r="BB50" s="102" t="s">
        <v>105</v>
      </c>
      <c r="BC50" s="102" t="s">
        <v>105</v>
      </c>
      <c r="BD50" s="102" t="s">
        <v>105</v>
      </c>
      <c r="BE50" s="90"/>
      <c r="BF50" s="90"/>
      <c r="BG50" s="90"/>
      <c r="BH50" s="90"/>
      <c r="BI50" s="90"/>
      <c r="BJ50" s="90"/>
      <c r="BK50" s="90"/>
      <c r="BL50" s="90"/>
      <c r="BM50" s="90"/>
      <c r="BN50" s="90"/>
      <c r="BO50" s="90"/>
      <c r="BP50" s="90"/>
      <c r="BQ50" s="90"/>
      <c r="BR50" s="90"/>
      <c r="BS50" s="90"/>
      <c r="BT50" s="90"/>
      <c r="BU50" s="90"/>
      <c r="BV50" s="90"/>
      <c r="BW50" s="90"/>
      <c r="BX50" s="90"/>
    </row>
    <row r="51" spans="1:76" x14ac:dyDescent="0.3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89"/>
      <c r="AJ51" s="89"/>
      <c r="AK51" s="89"/>
      <c r="AL51" s="89"/>
      <c r="AM51" s="89"/>
      <c r="AN51" s="89"/>
      <c r="AO51" s="89"/>
      <c r="AP51" s="89"/>
      <c r="AQ51" s="89"/>
      <c r="AR51" s="89"/>
      <c r="AS51" s="89"/>
      <c r="AT51" s="89"/>
      <c r="AU51" s="89"/>
      <c r="AV51" s="89"/>
      <c r="AW51" s="89"/>
      <c r="AX51" s="89"/>
      <c r="AY51" s="89"/>
      <c r="AZ51" s="89"/>
      <c r="BA51" s="89"/>
      <c r="BB51" s="89"/>
      <c r="BC51" s="89"/>
      <c r="BD51" s="89"/>
      <c r="BE51" s="89"/>
      <c r="BF51" s="89"/>
      <c r="BG51" s="89"/>
      <c r="BH51" s="89"/>
      <c r="BI51" s="89"/>
      <c r="BJ51" s="89"/>
      <c r="BK51" s="89"/>
      <c r="BL51" s="89"/>
      <c r="BM51" s="89"/>
      <c r="BN51" s="89"/>
      <c r="BO51" s="89"/>
      <c r="BP51" s="89"/>
      <c r="BQ51" s="89"/>
      <c r="BR51" s="89"/>
      <c r="BS51" s="89"/>
      <c r="BT51" s="89"/>
      <c r="BU51" s="89"/>
      <c r="BV51" s="89"/>
      <c r="BW51" s="89"/>
      <c r="BX51" s="89"/>
    </row>
    <row r="52" spans="1:76" x14ac:dyDescent="0.3">
      <c r="A52" s="89"/>
      <c r="B52" s="201" t="s">
        <v>121</v>
      </c>
      <c r="C52" s="148"/>
      <c r="D52" s="148"/>
      <c r="E52" s="148"/>
      <c r="F52" s="148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  <c r="AA52" s="148"/>
      <c r="AB52" s="148"/>
      <c r="AC52" s="148"/>
      <c r="AD52" s="148"/>
      <c r="AE52" s="148"/>
      <c r="AF52" s="148"/>
      <c r="AG52" s="148"/>
      <c r="AH52" s="148"/>
      <c r="AI52" s="148"/>
      <c r="AJ52" s="148"/>
      <c r="AK52" s="148"/>
      <c r="AL52" s="148"/>
      <c r="AM52" s="148"/>
      <c r="AN52" s="148"/>
      <c r="AO52" s="148"/>
      <c r="AP52" s="148"/>
      <c r="AQ52" s="148"/>
      <c r="AR52" s="148"/>
      <c r="AS52" s="148"/>
      <c r="AT52" s="148"/>
      <c r="AU52" s="148"/>
      <c r="AV52" s="148"/>
      <c r="AW52" s="148"/>
      <c r="AX52" s="148"/>
      <c r="AY52" s="148"/>
      <c r="AZ52" s="148"/>
      <c r="BA52" s="148"/>
      <c r="BB52" s="148"/>
      <c r="BC52" s="148"/>
      <c r="BD52" s="148"/>
      <c r="BE52" s="148"/>
      <c r="BF52" s="148"/>
      <c r="BG52" s="148"/>
      <c r="BH52" s="148"/>
      <c r="BI52" s="148"/>
      <c r="BJ52" s="148"/>
      <c r="BK52" s="148"/>
      <c r="BL52" s="148"/>
      <c r="BM52" s="148"/>
      <c r="BN52" s="148"/>
      <c r="BO52" s="148"/>
      <c r="BP52" s="148"/>
      <c r="BQ52" s="148"/>
      <c r="BR52" s="148"/>
      <c r="BS52" s="148"/>
      <c r="BT52" s="148"/>
      <c r="BU52" s="148"/>
      <c r="BV52" s="148"/>
      <c r="BW52" s="148"/>
      <c r="BX52" s="148"/>
    </row>
    <row r="53" spans="1:76" x14ac:dyDescent="0.3">
      <c r="A53" s="89"/>
      <c r="B53" s="148"/>
      <c r="C53" s="148"/>
      <c r="D53" s="148"/>
      <c r="E53" s="148"/>
      <c r="F53" s="148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48"/>
      <c r="T53" s="148"/>
      <c r="U53" s="148"/>
      <c r="V53" s="148"/>
      <c r="W53" s="148"/>
      <c r="X53" s="148"/>
      <c r="Y53" s="148"/>
      <c r="Z53" s="148"/>
      <c r="AA53" s="148"/>
      <c r="AB53" s="148"/>
      <c r="AC53" s="148"/>
      <c r="AD53" s="148"/>
      <c r="AE53" s="148"/>
      <c r="AF53" s="148"/>
      <c r="AG53" s="148"/>
      <c r="AH53" s="148"/>
      <c r="AI53" s="148"/>
      <c r="AJ53" s="148"/>
      <c r="AK53" s="148"/>
      <c r="AL53" s="148"/>
      <c r="AM53" s="148"/>
      <c r="AN53" s="148"/>
      <c r="AO53" s="148"/>
      <c r="AP53" s="148"/>
      <c r="AQ53" s="148"/>
      <c r="AR53" s="148"/>
      <c r="AS53" s="148"/>
      <c r="AT53" s="148"/>
      <c r="AU53" s="148"/>
      <c r="AV53" s="148"/>
      <c r="AW53" s="148"/>
      <c r="AX53" s="148"/>
      <c r="AY53" s="148"/>
      <c r="AZ53" s="148"/>
      <c r="BA53" s="148"/>
      <c r="BB53" s="148"/>
      <c r="BC53" s="148"/>
      <c r="BD53" s="148"/>
      <c r="BE53" s="148"/>
      <c r="BF53" s="148"/>
      <c r="BG53" s="148"/>
      <c r="BH53" s="148"/>
      <c r="BI53" s="148"/>
      <c r="BJ53" s="148"/>
      <c r="BK53" s="148"/>
      <c r="BL53" s="148"/>
      <c r="BM53" s="148"/>
      <c r="BN53" s="148"/>
      <c r="BO53" s="148"/>
      <c r="BP53" s="148"/>
      <c r="BQ53" s="148"/>
      <c r="BR53" s="148"/>
      <c r="BS53" s="148"/>
      <c r="BT53" s="148"/>
      <c r="BU53" s="148"/>
      <c r="BV53" s="148"/>
      <c r="BW53" s="148"/>
      <c r="BX53" s="148"/>
    </row>
    <row r="54" spans="1:76" x14ac:dyDescent="0.3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89"/>
      <c r="AJ54" s="89"/>
      <c r="AK54" s="89"/>
      <c r="AL54" s="89"/>
      <c r="AM54" s="8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89"/>
      <c r="BI54" s="89"/>
      <c r="BJ54" s="89"/>
      <c r="BK54" s="89"/>
      <c r="BL54" s="89"/>
      <c r="BM54" s="89"/>
      <c r="BN54" s="89"/>
      <c r="BO54" s="89"/>
      <c r="BP54" s="89"/>
      <c r="BQ54" s="89"/>
      <c r="BR54" s="89"/>
      <c r="BS54" s="89"/>
      <c r="BT54" s="89"/>
      <c r="BU54" s="89"/>
      <c r="BV54" s="89"/>
      <c r="BW54" s="89"/>
      <c r="BX54" s="89"/>
    </row>
    <row r="55" spans="1:76" x14ac:dyDescent="0.3">
      <c r="A55" s="89"/>
      <c r="B55" s="205" t="s">
        <v>122</v>
      </c>
      <c r="C55" s="148"/>
      <c r="D55" s="148"/>
      <c r="E55" s="148"/>
      <c r="F55" s="148"/>
      <c r="G55" s="148"/>
      <c r="H55" s="148"/>
      <c r="I55" s="148"/>
      <c r="J55" s="148"/>
      <c r="K55" s="148"/>
      <c r="L55" s="148"/>
      <c r="M55" s="148"/>
      <c r="N55" s="148"/>
      <c r="O55" s="148"/>
      <c r="P55" s="148"/>
      <c r="Q55" s="148"/>
      <c r="R55" s="148"/>
      <c r="S55" s="148"/>
      <c r="T55" s="148"/>
      <c r="U55" s="148"/>
      <c r="V55" s="148"/>
      <c r="W55" s="148"/>
      <c r="X55" s="148"/>
      <c r="Y55" s="148"/>
      <c r="Z55" s="148"/>
      <c r="AA55" s="148"/>
      <c r="AB55" s="148"/>
      <c r="AC55" s="148"/>
      <c r="AD55" s="148"/>
      <c r="AE55" s="148"/>
      <c r="AF55" s="148"/>
      <c r="AG55" s="148"/>
      <c r="AH55" s="148"/>
      <c r="AI55" s="148"/>
      <c r="AJ55" s="148"/>
      <c r="AK55" s="148"/>
      <c r="AL55" s="148"/>
      <c r="AM55" s="148"/>
      <c r="AN55" s="148"/>
      <c r="AO55" s="148"/>
      <c r="AP55" s="148"/>
      <c r="AQ55" s="148"/>
      <c r="AR55" s="148"/>
      <c r="AS55" s="148"/>
      <c r="AT55" s="148"/>
      <c r="AU55" s="148"/>
      <c r="AV55" s="148"/>
      <c r="AW55" s="148"/>
      <c r="AX55" s="148"/>
      <c r="AY55" s="148"/>
      <c r="AZ55" s="148"/>
      <c r="BA55" s="148"/>
      <c r="BB55" s="148"/>
      <c r="BC55" s="148"/>
      <c r="BD55" s="148"/>
      <c r="BE55" s="148"/>
      <c r="BF55" s="148"/>
      <c r="BG55" s="148"/>
      <c r="BH55" s="148"/>
      <c r="BI55" s="148"/>
      <c r="BJ55" s="148"/>
      <c r="BK55" s="148"/>
      <c r="BL55" s="148"/>
      <c r="BM55" s="148"/>
      <c r="BN55" s="148"/>
      <c r="BO55" s="148"/>
      <c r="BP55" s="148"/>
      <c r="BQ55" s="148"/>
      <c r="BR55" s="148"/>
      <c r="BS55" s="148"/>
      <c r="BT55" s="148"/>
      <c r="BU55" s="148"/>
      <c r="BV55" s="148"/>
      <c r="BW55" s="148"/>
      <c r="BX55" s="148"/>
    </row>
    <row r="56" spans="1:76" x14ac:dyDescent="0.3">
      <c r="A56" s="89"/>
      <c r="B56" s="148"/>
      <c r="C56" s="148"/>
      <c r="D56" s="148"/>
      <c r="E56" s="148"/>
      <c r="F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  <c r="R56" s="148"/>
      <c r="S56" s="148"/>
      <c r="T56" s="148"/>
      <c r="U56" s="148"/>
      <c r="V56" s="148"/>
      <c r="W56" s="148"/>
      <c r="X56" s="148"/>
      <c r="Y56" s="148"/>
      <c r="Z56" s="148"/>
      <c r="AA56" s="148"/>
      <c r="AB56" s="148"/>
      <c r="AC56" s="148"/>
      <c r="AD56" s="148"/>
      <c r="AE56" s="148"/>
      <c r="AF56" s="148"/>
      <c r="AG56" s="148"/>
      <c r="AH56" s="148"/>
      <c r="AI56" s="148"/>
      <c r="AJ56" s="148"/>
      <c r="AK56" s="148"/>
      <c r="AL56" s="148"/>
      <c r="AM56" s="148"/>
      <c r="AN56" s="148"/>
      <c r="AO56" s="148"/>
      <c r="AP56" s="148"/>
      <c r="AQ56" s="148"/>
      <c r="AR56" s="148"/>
      <c r="AS56" s="148"/>
      <c r="AT56" s="148"/>
      <c r="AU56" s="148"/>
      <c r="AV56" s="148"/>
      <c r="AW56" s="148"/>
      <c r="AX56" s="148"/>
      <c r="AY56" s="148"/>
      <c r="AZ56" s="148"/>
      <c r="BA56" s="148"/>
      <c r="BB56" s="148"/>
      <c r="BC56" s="148"/>
      <c r="BD56" s="148"/>
      <c r="BE56" s="148"/>
      <c r="BF56" s="148"/>
      <c r="BG56" s="148"/>
      <c r="BH56" s="148"/>
      <c r="BI56" s="148"/>
      <c r="BJ56" s="148"/>
      <c r="BK56" s="148"/>
      <c r="BL56" s="148"/>
      <c r="BM56" s="148"/>
      <c r="BN56" s="148"/>
      <c r="BO56" s="148"/>
      <c r="BP56" s="148"/>
      <c r="BQ56" s="148"/>
      <c r="BR56" s="148"/>
      <c r="BS56" s="148"/>
      <c r="BT56" s="148"/>
      <c r="BU56" s="148"/>
      <c r="BV56" s="148"/>
      <c r="BW56" s="148"/>
      <c r="BX56" s="148"/>
    </row>
    <row r="57" spans="1:76" x14ac:dyDescent="0.3">
      <c r="A57" s="89"/>
      <c r="B57" s="148"/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148"/>
      <c r="W57" s="148"/>
      <c r="X57" s="148"/>
      <c r="Y57" s="148"/>
      <c r="Z57" s="148"/>
      <c r="AA57" s="148"/>
      <c r="AB57" s="148"/>
      <c r="AC57" s="148"/>
      <c r="AD57" s="148"/>
      <c r="AE57" s="148"/>
      <c r="AF57" s="148"/>
      <c r="AG57" s="148"/>
      <c r="AH57" s="148"/>
      <c r="AI57" s="148"/>
      <c r="AJ57" s="148"/>
      <c r="AK57" s="148"/>
      <c r="AL57" s="148"/>
      <c r="AM57" s="148"/>
      <c r="AN57" s="148"/>
      <c r="AO57" s="148"/>
      <c r="AP57" s="148"/>
      <c r="AQ57" s="148"/>
      <c r="AR57" s="148"/>
      <c r="AS57" s="148"/>
      <c r="AT57" s="148"/>
      <c r="AU57" s="148"/>
      <c r="AV57" s="148"/>
      <c r="AW57" s="148"/>
      <c r="AX57" s="148"/>
      <c r="AY57" s="148"/>
      <c r="AZ57" s="148"/>
      <c r="BA57" s="148"/>
      <c r="BB57" s="148"/>
      <c r="BC57" s="148"/>
      <c r="BD57" s="148"/>
      <c r="BE57" s="148"/>
      <c r="BF57" s="148"/>
      <c r="BG57" s="148"/>
      <c r="BH57" s="148"/>
      <c r="BI57" s="148"/>
      <c r="BJ57" s="148"/>
      <c r="BK57" s="148"/>
      <c r="BL57" s="148"/>
      <c r="BM57" s="148"/>
      <c r="BN57" s="148"/>
      <c r="BO57" s="148"/>
      <c r="BP57" s="148"/>
      <c r="BQ57" s="148"/>
      <c r="BR57" s="148"/>
      <c r="BS57" s="148"/>
      <c r="BT57" s="148"/>
      <c r="BU57" s="148"/>
      <c r="BV57" s="148"/>
      <c r="BW57" s="148"/>
      <c r="BX57" s="148"/>
    </row>
    <row r="58" spans="1:76" x14ac:dyDescent="0.3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89"/>
      <c r="AJ58" s="89"/>
      <c r="AK58" s="89"/>
      <c r="AL58" s="89"/>
      <c r="AM58" s="89"/>
      <c r="AN58" s="89"/>
      <c r="AO58" s="89"/>
      <c r="AP58" s="89"/>
      <c r="AQ58" s="89"/>
      <c r="AR58" s="89"/>
      <c r="AS58" s="89"/>
      <c r="AT58" s="89"/>
      <c r="AU58" s="89"/>
      <c r="AV58" s="89"/>
      <c r="AW58" s="89"/>
      <c r="AX58" s="89"/>
      <c r="AY58" s="89"/>
      <c r="AZ58" s="89"/>
      <c r="BA58" s="89"/>
      <c r="BB58" s="89"/>
      <c r="BC58" s="89"/>
      <c r="BD58" s="89"/>
      <c r="BE58" s="89"/>
      <c r="BF58" s="89"/>
      <c r="BG58" s="89"/>
      <c r="BH58" s="89"/>
      <c r="BI58" s="89"/>
      <c r="BJ58" s="89"/>
      <c r="BK58" s="89"/>
      <c r="BL58" s="89"/>
      <c r="BM58" s="89"/>
      <c r="BN58" s="89"/>
      <c r="BO58" s="89"/>
      <c r="BP58" s="89"/>
      <c r="BQ58" s="89"/>
      <c r="BR58" s="89"/>
      <c r="BS58" s="89"/>
      <c r="BT58" s="89"/>
      <c r="BU58" s="89"/>
      <c r="BV58" s="89"/>
      <c r="BW58" s="89"/>
      <c r="BX58" s="89"/>
    </row>
  </sheetData>
  <mergeCells count="9">
    <mergeCell ref="B55:BX57"/>
    <mergeCell ref="AF5:AT7"/>
    <mergeCell ref="B5:P7"/>
    <mergeCell ref="A3:BX3"/>
    <mergeCell ref="B52:BX53"/>
    <mergeCell ref="BJ5:BX7"/>
    <mergeCell ref="Q5:AE7"/>
    <mergeCell ref="A1:BX2"/>
    <mergeCell ref="AU5:BI7"/>
  </mergeCells>
  <phoneticPr fontId="42" type="noConversion"/>
  <pageMargins left="0.15" right="0.15" top="0.25" bottom="0.25" header="0.1" footer="0.1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M36"/>
  <sheetViews>
    <sheetView showGridLines="0" workbookViewId="0">
      <pane xSplit="1" ySplit="6" topLeftCell="B7" activePane="bottomRight" state="frozen"/>
      <selection pane="topRight"/>
      <selection pane="bottomLeft"/>
      <selection pane="bottomRight" sqref="A1:AM1"/>
    </sheetView>
  </sheetViews>
  <sheetFormatPr defaultRowHeight="16.5" x14ac:dyDescent="0.3"/>
  <cols>
    <col min="1" max="1" width="8" customWidth="1"/>
    <col min="2" max="3" width="10" customWidth="1"/>
    <col min="4" max="4" width="11" customWidth="1"/>
    <col min="5" max="5" width="15" customWidth="1"/>
    <col min="6" max="6" width="22" customWidth="1"/>
    <col min="7" max="7" width="25" customWidth="1"/>
    <col min="8" max="8" width="28" customWidth="1"/>
    <col min="9" max="9" width="20" customWidth="1"/>
    <col min="10" max="10" width="22" customWidth="1"/>
    <col min="11" max="11" width="18" customWidth="1"/>
    <col min="12" max="33" width="3.75" customWidth="1"/>
    <col min="35" max="39" width="8.5" customWidth="1"/>
  </cols>
  <sheetData>
    <row r="1" spans="1:39" ht="38.1" customHeight="1" x14ac:dyDescent="0.3">
      <c r="A1" s="162" t="s">
        <v>123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</row>
    <row r="2" spans="1:39" ht="27.95" customHeight="1" x14ac:dyDescent="0.3">
      <c r="A2" s="173" t="s">
        <v>124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</row>
    <row r="4" spans="1:39" x14ac:dyDescent="0.3">
      <c r="B4" s="209" t="s">
        <v>125</v>
      </c>
      <c r="C4" s="148"/>
      <c r="D4" s="148"/>
      <c r="E4" s="148"/>
      <c r="F4" s="148"/>
      <c r="G4" s="148"/>
      <c r="I4" s="209" t="s">
        <v>23</v>
      </c>
      <c r="J4" s="148"/>
      <c r="K4" s="148"/>
      <c r="L4" s="148"/>
      <c r="M4" s="148"/>
      <c r="N4" s="148"/>
      <c r="P4" s="209" t="s">
        <v>126</v>
      </c>
      <c r="Q4" s="148"/>
      <c r="R4" s="148"/>
      <c r="S4" s="148"/>
      <c r="T4" s="148"/>
      <c r="U4" s="148"/>
      <c r="V4" s="148"/>
      <c r="X4" s="209" t="s">
        <v>26</v>
      </c>
      <c r="Y4" s="148"/>
      <c r="Z4" s="148"/>
      <c r="AA4" s="148"/>
      <c r="AB4" s="148"/>
      <c r="AC4" s="148"/>
      <c r="AD4" s="148"/>
    </row>
    <row r="5" spans="1:39" x14ac:dyDescent="0.3">
      <c r="B5" s="211" t="s">
        <v>81</v>
      </c>
      <c r="C5" s="148"/>
      <c r="D5" s="148"/>
      <c r="E5" s="148"/>
      <c r="F5" s="148"/>
      <c r="G5" s="148"/>
      <c r="I5" s="211" t="s">
        <v>30</v>
      </c>
      <c r="J5" s="148"/>
      <c r="K5" s="148"/>
      <c r="L5" s="148"/>
      <c r="M5" s="148"/>
      <c r="N5" s="148"/>
      <c r="P5" s="211" t="s">
        <v>127</v>
      </c>
      <c r="Q5" s="148"/>
      <c r="R5" s="148"/>
      <c r="S5" s="148"/>
      <c r="T5" s="148"/>
      <c r="U5" s="148"/>
      <c r="V5" s="148"/>
      <c r="X5" s="211" t="s">
        <v>33</v>
      </c>
      <c r="Y5" s="148"/>
      <c r="Z5" s="148"/>
      <c r="AA5" s="148"/>
      <c r="AB5" s="148"/>
      <c r="AC5" s="148"/>
      <c r="AD5" s="148"/>
    </row>
    <row r="7" spans="1:39" ht="21" customHeight="1" x14ac:dyDescent="0.3">
      <c r="B7" s="225" t="s">
        <v>128</v>
      </c>
      <c r="C7" s="217"/>
      <c r="D7" s="217"/>
      <c r="E7" s="217"/>
      <c r="F7" s="217"/>
      <c r="G7" s="217"/>
      <c r="H7" s="218"/>
      <c r="I7" s="85"/>
      <c r="J7" s="222" t="s">
        <v>85</v>
      </c>
      <c r="K7" s="217"/>
      <c r="L7" s="217"/>
      <c r="M7" s="217"/>
      <c r="N7" s="217"/>
      <c r="O7" s="217"/>
      <c r="P7" s="217"/>
      <c r="Q7" s="217"/>
      <c r="R7" s="218"/>
      <c r="S7" s="85"/>
      <c r="T7" s="216" t="s">
        <v>129</v>
      </c>
      <c r="U7" s="217"/>
      <c r="V7" s="217"/>
      <c r="W7" s="217"/>
      <c r="X7" s="217"/>
      <c r="Y7" s="217"/>
      <c r="Z7" s="217"/>
      <c r="AA7" s="217"/>
      <c r="AB7" s="217"/>
      <c r="AC7" s="217"/>
      <c r="AD7" s="217"/>
      <c r="AE7" s="217"/>
      <c r="AF7" s="218"/>
      <c r="AG7" s="13"/>
      <c r="AI7" s="210" t="s">
        <v>130</v>
      </c>
      <c r="AJ7" s="148"/>
      <c r="AK7" s="148"/>
      <c r="AL7" s="148"/>
      <c r="AM7" s="148"/>
    </row>
    <row r="8" spans="1:39" ht="21" customHeight="1" x14ac:dyDescent="0.3">
      <c r="B8" s="219"/>
      <c r="C8" s="220"/>
      <c r="D8" s="220"/>
      <c r="E8" s="220"/>
      <c r="F8" s="220"/>
      <c r="G8" s="220"/>
      <c r="H8" s="221"/>
      <c r="I8" s="85"/>
      <c r="J8" s="219"/>
      <c r="K8" s="220"/>
      <c r="L8" s="220"/>
      <c r="M8" s="220"/>
      <c r="N8" s="220"/>
      <c r="O8" s="220"/>
      <c r="P8" s="220"/>
      <c r="Q8" s="220"/>
      <c r="R8" s="221"/>
      <c r="S8" s="85"/>
      <c r="T8" s="219"/>
      <c r="U8" s="220"/>
      <c r="V8" s="220"/>
      <c r="W8" s="220"/>
      <c r="X8" s="220"/>
      <c r="Y8" s="220"/>
      <c r="Z8" s="220"/>
      <c r="AA8" s="220"/>
      <c r="AB8" s="220"/>
      <c r="AC8" s="220"/>
      <c r="AD8" s="220"/>
      <c r="AE8" s="220"/>
      <c r="AF8" s="221"/>
      <c r="AG8" s="12"/>
      <c r="AI8" s="148"/>
      <c r="AJ8" s="148"/>
      <c r="AK8" s="148"/>
      <c r="AL8" s="148"/>
      <c r="AM8" s="148"/>
    </row>
    <row r="9" spans="1:39" ht="21" customHeight="1" x14ac:dyDescent="0.3"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3"/>
      <c r="AI9" s="215" t="s">
        <v>131</v>
      </c>
      <c r="AJ9" s="148"/>
      <c r="AK9" s="148"/>
      <c r="AL9" s="148"/>
      <c r="AM9" s="148"/>
    </row>
    <row r="10" spans="1:39" ht="21" customHeight="1" x14ac:dyDescent="0.3">
      <c r="B10" s="107"/>
      <c r="C10" s="107"/>
      <c r="D10" s="107"/>
      <c r="E10" s="107"/>
      <c r="F10" s="107"/>
      <c r="G10" s="107"/>
      <c r="H10" s="108" t="s">
        <v>105</v>
      </c>
      <c r="I10" s="108" t="s">
        <v>105</v>
      </c>
      <c r="J10" s="108" t="s">
        <v>105</v>
      </c>
      <c r="K10" s="97" t="s">
        <v>132</v>
      </c>
      <c r="L10" s="108" t="s">
        <v>105</v>
      </c>
      <c r="M10" s="108" t="s">
        <v>105</v>
      </c>
      <c r="N10" s="97" t="s">
        <v>109</v>
      </c>
      <c r="O10" s="108" t="s">
        <v>105</v>
      </c>
      <c r="P10" s="108" t="s">
        <v>105</v>
      </c>
      <c r="Q10" s="108" t="s">
        <v>105</v>
      </c>
      <c r="R10" s="108" t="s">
        <v>105</v>
      </c>
      <c r="S10" s="108" t="s">
        <v>105</v>
      </c>
      <c r="T10" s="108" t="s">
        <v>105</v>
      </c>
      <c r="U10" s="108" t="s">
        <v>105</v>
      </c>
      <c r="V10" s="108" t="s">
        <v>105</v>
      </c>
      <c r="W10" s="108" t="s">
        <v>105</v>
      </c>
      <c r="X10" s="97" t="s">
        <v>106</v>
      </c>
      <c r="Y10" s="97" t="s">
        <v>133</v>
      </c>
      <c r="Z10" s="108" t="s">
        <v>105</v>
      </c>
      <c r="AA10" s="108" t="s">
        <v>105</v>
      </c>
      <c r="AB10" s="108" t="s">
        <v>105</v>
      </c>
      <c r="AC10" s="108" t="s">
        <v>105</v>
      </c>
      <c r="AD10" s="108" t="s">
        <v>105</v>
      </c>
      <c r="AE10" s="108" t="s">
        <v>105</v>
      </c>
      <c r="AF10" s="107"/>
      <c r="AG10" s="12"/>
      <c r="AI10" s="148"/>
      <c r="AJ10" s="148"/>
      <c r="AK10" s="148"/>
      <c r="AL10" s="148"/>
      <c r="AM10" s="148"/>
    </row>
    <row r="11" spans="1:39" ht="21" customHeight="1" x14ac:dyDescent="0.3">
      <c r="B11" s="107"/>
      <c r="C11" s="107"/>
      <c r="D11" s="109"/>
      <c r="E11" s="109"/>
      <c r="F11" s="109"/>
      <c r="G11" s="109"/>
      <c r="H11" s="108" t="s">
        <v>105</v>
      </c>
      <c r="I11" s="109"/>
      <c r="J11" s="109"/>
      <c r="K11" s="110"/>
      <c r="L11" s="109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8" t="s">
        <v>105</v>
      </c>
      <c r="AF11" s="107"/>
      <c r="AG11" s="13"/>
      <c r="AI11" s="148"/>
      <c r="AJ11" s="148"/>
      <c r="AK11" s="148"/>
      <c r="AL11" s="148"/>
      <c r="AM11" s="148"/>
    </row>
    <row r="12" spans="1:39" ht="21" customHeight="1" x14ac:dyDescent="0.3">
      <c r="B12" s="107"/>
      <c r="C12" s="107"/>
      <c r="D12" s="109"/>
      <c r="E12" s="107"/>
      <c r="F12" s="107"/>
      <c r="G12" s="107"/>
      <c r="H12" s="108" t="s">
        <v>105</v>
      </c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8" t="s">
        <v>105</v>
      </c>
      <c r="AF12" s="107"/>
      <c r="AG12" s="12"/>
      <c r="AI12" s="223" t="s">
        <v>134</v>
      </c>
      <c r="AJ12" s="148"/>
      <c r="AK12" s="148"/>
      <c r="AL12" s="148"/>
      <c r="AM12" s="148"/>
    </row>
    <row r="13" spans="1:39" ht="21" customHeight="1" x14ac:dyDescent="0.3">
      <c r="B13" s="107"/>
      <c r="C13" s="107"/>
      <c r="D13" s="109"/>
      <c r="E13" s="107"/>
      <c r="F13" s="107"/>
      <c r="G13" s="107"/>
      <c r="H13" s="108" t="s">
        <v>105</v>
      </c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97" t="s">
        <v>107</v>
      </c>
      <c r="AF13" s="107"/>
      <c r="AG13" s="13"/>
      <c r="AI13" s="148"/>
      <c r="AJ13" s="148"/>
      <c r="AK13" s="148"/>
      <c r="AL13" s="148"/>
      <c r="AM13" s="148"/>
    </row>
    <row r="14" spans="1:39" ht="21" customHeight="1" x14ac:dyDescent="0.3">
      <c r="B14" s="107"/>
      <c r="C14" s="107"/>
      <c r="D14" s="110"/>
      <c r="E14" s="107"/>
      <c r="F14" s="107"/>
      <c r="G14" s="107"/>
      <c r="H14" s="97" t="s">
        <v>110</v>
      </c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11"/>
      <c r="AB14" s="112"/>
      <c r="AC14" s="113"/>
      <c r="AD14" s="113"/>
      <c r="AE14" s="108" t="s">
        <v>105</v>
      </c>
      <c r="AF14" s="107"/>
      <c r="AG14" s="12"/>
      <c r="AI14" s="148"/>
      <c r="AJ14" s="148"/>
      <c r="AK14" s="148"/>
      <c r="AL14" s="148"/>
      <c r="AM14" s="148"/>
    </row>
    <row r="15" spans="1:39" ht="21" customHeight="1" x14ac:dyDescent="0.3">
      <c r="B15" s="107"/>
      <c r="C15" s="107"/>
      <c r="D15" s="109"/>
      <c r="E15" s="107"/>
      <c r="F15" s="107"/>
      <c r="G15" s="107"/>
      <c r="H15" s="108" t="s">
        <v>105</v>
      </c>
      <c r="I15" s="107"/>
      <c r="J15" s="107"/>
      <c r="K15" s="107"/>
      <c r="L15" s="107"/>
      <c r="M15" s="109"/>
      <c r="N15" s="109"/>
      <c r="O15" s="109"/>
      <c r="P15" s="109"/>
      <c r="Q15" s="109"/>
      <c r="R15" s="109"/>
      <c r="S15" s="109"/>
      <c r="T15" s="114" t="s">
        <v>119</v>
      </c>
      <c r="U15" s="110"/>
      <c r="V15" s="110"/>
      <c r="W15" s="109"/>
      <c r="X15" s="109"/>
      <c r="Y15" s="109"/>
      <c r="Z15" s="109"/>
      <c r="AA15" s="107"/>
      <c r="AB15" s="107"/>
      <c r="AC15" s="107"/>
      <c r="AD15" s="107"/>
      <c r="AE15" s="108" t="s">
        <v>105</v>
      </c>
      <c r="AF15" s="107"/>
      <c r="AG15" s="13"/>
      <c r="AI15" s="214" t="s">
        <v>135</v>
      </c>
      <c r="AJ15" s="148"/>
      <c r="AK15" s="148"/>
      <c r="AL15" s="148"/>
      <c r="AM15" s="148"/>
    </row>
    <row r="16" spans="1:39" ht="21" customHeight="1" x14ac:dyDescent="0.3">
      <c r="B16" s="107"/>
      <c r="C16" s="107"/>
      <c r="D16" s="109"/>
      <c r="E16" s="107"/>
      <c r="F16" s="107"/>
      <c r="G16" s="107"/>
      <c r="H16" s="108" t="s">
        <v>105</v>
      </c>
      <c r="I16" s="107"/>
      <c r="J16" s="107"/>
      <c r="K16" s="107"/>
      <c r="L16" s="107"/>
      <c r="M16" s="109"/>
      <c r="N16" s="107"/>
      <c r="O16" s="107"/>
      <c r="P16" s="107"/>
      <c r="Q16" s="107"/>
      <c r="R16" s="107"/>
      <c r="S16" s="107"/>
      <c r="T16" s="97" t="s">
        <v>112</v>
      </c>
      <c r="U16" s="107"/>
      <c r="V16" s="107"/>
      <c r="W16" s="107"/>
      <c r="X16" s="107"/>
      <c r="Y16" s="115" t="s">
        <v>116</v>
      </c>
      <c r="Z16" s="108" t="s">
        <v>105</v>
      </c>
      <c r="AA16" s="108" t="s">
        <v>105</v>
      </c>
      <c r="AB16" s="108" t="s">
        <v>105</v>
      </c>
      <c r="AC16" s="97" t="s">
        <v>136</v>
      </c>
      <c r="AD16" s="108" t="s">
        <v>105</v>
      </c>
      <c r="AE16" s="108" t="s">
        <v>105</v>
      </c>
      <c r="AF16" s="107"/>
      <c r="AG16" s="12"/>
      <c r="AI16" s="148"/>
      <c r="AJ16" s="148"/>
      <c r="AK16" s="148"/>
      <c r="AL16" s="148"/>
      <c r="AM16" s="148"/>
    </row>
    <row r="17" spans="1:39" ht="21" customHeight="1" x14ac:dyDescent="0.3">
      <c r="B17" s="107"/>
      <c r="C17" s="107"/>
      <c r="D17" s="110"/>
      <c r="E17" s="109"/>
      <c r="F17" s="109"/>
      <c r="G17" s="109"/>
      <c r="H17" s="108" t="s">
        <v>105</v>
      </c>
      <c r="I17" s="107"/>
      <c r="J17" s="107"/>
      <c r="K17" s="107"/>
      <c r="L17" s="107"/>
      <c r="M17" s="110"/>
      <c r="N17" s="107"/>
      <c r="O17" s="107"/>
      <c r="P17" s="107"/>
      <c r="Q17" s="107"/>
      <c r="R17" s="107"/>
      <c r="S17" s="107"/>
      <c r="T17" s="108" t="s">
        <v>105</v>
      </c>
      <c r="U17" s="107"/>
      <c r="V17" s="107"/>
      <c r="W17" s="107"/>
      <c r="X17" s="107"/>
      <c r="Y17" s="101" t="s">
        <v>108</v>
      </c>
      <c r="Z17" s="109"/>
      <c r="AA17" s="107"/>
      <c r="AB17" s="107"/>
      <c r="AC17" s="107"/>
      <c r="AD17" s="107"/>
      <c r="AE17" s="113"/>
      <c r="AF17" s="107"/>
      <c r="AG17" s="13"/>
      <c r="AI17" s="148"/>
      <c r="AJ17" s="148"/>
      <c r="AK17" s="148"/>
      <c r="AL17" s="148"/>
      <c r="AM17" s="148"/>
    </row>
    <row r="18" spans="1:39" ht="21" customHeight="1" x14ac:dyDescent="0.3">
      <c r="B18" s="113"/>
      <c r="C18" s="113"/>
      <c r="D18" s="113"/>
      <c r="E18" s="113"/>
      <c r="F18" s="113"/>
      <c r="G18" s="109"/>
      <c r="H18" s="108" t="s">
        <v>105</v>
      </c>
      <c r="I18" s="113"/>
      <c r="J18" s="113"/>
      <c r="K18" s="113"/>
      <c r="L18" s="113"/>
      <c r="M18" s="109"/>
      <c r="N18" s="113"/>
      <c r="O18" s="113"/>
      <c r="P18" s="113"/>
      <c r="Q18" s="113"/>
      <c r="R18" s="112"/>
      <c r="S18" s="113"/>
      <c r="T18" s="108" t="s">
        <v>105</v>
      </c>
      <c r="U18" s="113"/>
      <c r="V18" s="113"/>
      <c r="W18" s="113"/>
      <c r="X18" s="113"/>
      <c r="Y18" s="115" t="s">
        <v>105</v>
      </c>
      <c r="Z18" s="109"/>
      <c r="AA18" s="113"/>
      <c r="AB18" s="112"/>
      <c r="AC18" s="113"/>
      <c r="AD18" s="113"/>
      <c r="AE18" s="113"/>
      <c r="AF18" s="107"/>
      <c r="AG18" s="12"/>
      <c r="AI18" s="226" t="s">
        <v>137</v>
      </c>
      <c r="AJ18" s="148"/>
      <c r="AK18" s="148"/>
      <c r="AL18" s="148"/>
      <c r="AM18" s="148"/>
    </row>
    <row r="19" spans="1:39" ht="21" customHeight="1" x14ac:dyDescent="0.3">
      <c r="B19" s="113"/>
      <c r="C19" s="107"/>
      <c r="D19" s="107"/>
      <c r="E19" s="107"/>
      <c r="F19" s="107"/>
      <c r="G19" s="109"/>
      <c r="H19" s="108" t="s">
        <v>105</v>
      </c>
      <c r="I19" s="108" t="s">
        <v>105</v>
      </c>
      <c r="J19" s="97" t="s">
        <v>138</v>
      </c>
      <c r="K19" s="108" t="s">
        <v>105</v>
      </c>
      <c r="L19" s="108" t="s">
        <v>105</v>
      </c>
      <c r="M19" s="97" t="s">
        <v>113</v>
      </c>
      <c r="N19" s="108" t="s">
        <v>105</v>
      </c>
      <c r="O19" s="108" t="s">
        <v>105</v>
      </c>
      <c r="P19" s="108" t="s">
        <v>105</v>
      </c>
      <c r="Q19" s="108" t="s">
        <v>105</v>
      </c>
      <c r="R19" s="108" t="s">
        <v>105</v>
      </c>
      <c r="S19" s="108" t="s">
        <v>105</v>
      </c>
      <c r="T19" s="108" t="s">
        <v>105</v>
      </c>
      <c r="U19" s="109"/>
      <c r="V19" s="109"/>
      <c r="W19" s="109"/>
      <c r="X19" s="109"/>
      <c r="Y19" s="115" t="s">
        <v>105</v>
      </c>
      <c r="Z19" s="109"/>
      <c r="AA19" s="107"/>
      <c r="AB19" s="107"/>
      <c r="AC19" s="107"/>
      <c r="AD19" s="107"/>
      <c r="AE19" s="107"/>
      <c r="AF19" s="107"/>
      <c r="AG19" s="13"/>
      <c r="AI19" s="148"/>
      <c r="AJ19" s="148"/>
      <c r="AK19" s="148"/>
      <c r="AL19" s="148"/>
      <c r="AM19" s="148"/>
    </row>
    <row r="20" spans="1:39" ht="21" customHeight="1" x14ac:dyDescent="0.3">
      <c r="B20" s="113"/>
      <c r="C20" s="107"/>
      <c r="D20" s="107"/>
      <c r="E20" s="107"/>
      <c r="F20" s="107"/>
      <c r="G20" s="109"/>
      <c r="H20" s="107"/>
      <c r="I20" s="107"/>
      <c r="J20" s="107"/>
      <c r="K20" s="107"/>
      <c r="L20" s="107"/>
      <c r="M20" s="110"/>
      <c r="N20" s="107"/>
      <c r="O20" s="107"/>
      <c r="P20" s="107"/>
      <c r="Q20" s="107"/>
      <c r="R20" s="107"/>
      <c r="S20" s="109"/>
      <c r="T20" s="107"/>
      <c r="U20" s="107"/>
      <c r="V20" s="107"/>
      <c r="W20" s="107"/>
      <c r="X20" s="107"/>
      <c r="Y20" s="115" t="s">
        <v>105</v>
      </c>
      <c r="Z20" s="107"/>
      <c r="AA20" s="107"/>
      <c r="AB20" s="107"/>
      <c r="AC20" s="107"/>
      <c r="AD20" s="107"/>
      <c r="AE20" s="107"/>
      <c r="AF20" s="107"/>
      <c r="AG20" s="12"/>
      <c r="AI20" s="148"/>
      <c r="AJ20" s="148"/>
      <c r="AK20" s="148"/>
      <c r="AL20" s="148"/>
      <c r="AM20" s="148"/>
    </row>
    <row r="21" spans="1:39" ht="21" customHeight="1" x14ac:dyDescent="0.3">
      <c r="B21" s="113"/>
      <c r="C21" s="107"/>
      <c r="D21" s="107"/>
      <c r="E21" s="107"/>
      <c r="F21" s="107"/>
      <c r="G21" s="110"/>
      <c r="H21" s="109"/>
      <c r="I21" s="109"/>
      <c r="J21" s="109"/>
      <c r="K21" s="109"/>
      <c r="L21" s="109"/>
      <c r="M21" s="109"/>
      <c r="N21" s="107"/>
      <c r="O21" s="107"/>
      <c r="P21" s="107"/>
      <c r="Q21" s="107"/>
      <c r="R21" s="107"/>
      <c r="S21" s="109"/>
      <c r="T21" s="107"/>
      <c r="U21" s="107"/>
      <c r="V21" s="107"/>
      <c r="W21" s="107"/>
      <c r="X21" s="107"/>
      <c r="Y21" s="115" t="s">
        <v>105</v>
      </c>
      <c r="Z21" s="107"/>
      <c r="AA21" s="107"/>
      <c r="AB21" s="107"/>
      <c r="AC21" s="107"/>
      <c r="AD21" s="107"/>
      <c r="AE21" s="107"/>
      <c r="AF21" s="107"/>
      <c r="AG21" s="13"/>
      <c r="AI21" s="224" t="s">
        <v>139</v>
      </c>
      <c r="AJ21" s="148"/>
      <c r="AK21" s="148"/>
      <c r="AL21" s="148"/>
      <c r="AM21" s="148"/>
    </row>
    <row r="22" spans="1:39" ht="21" customHeight="1" x14ac:dyDescent="0.3">
      <c r="B22" s="112"/>
      <c r="C22" s="113"/>
      <c r="D22" s="113"/>
      <c r="E22" s="113"/>
      <c r="F22" s="113"/>
      <c r="G22" s="113"/>
      <c r="H22" s="113"/>
      <c r="I22" s="113"/>
      <c r="J22" s="113"/>
      <c r="K22" s="113"/>
      <c r="L22" s="112"/>
      <c r="M22" s="113"/>
      <c r="N22" s="113"/>
      <c r="O22" s="113"/>
      <c r="P22" s="113"/>
      <c r="Q22" s="113"/>
      <c r="R22" s="113"/>
      <c r="S22" s="109"/>
      <c r="T22" s="110"/>
      <c r="U22" s="109"/>
      <c r="V22" s="109"/>
      <c r="W22" s="109"/>
      <c r="X22" s="109"/>
      <c r="Y22" s="115" t="s">
        <v>105</v>
      </c>
      <c r="Z22" s="115" t="s">
        <v>105</v>
      </c>
      <c r="AA22" s="115" t="s">
        <v>105</v>
      </c>
      <c r="AB22" s="115" t="s">
        <v>105</v>
      </c>
      <c r="AC22" s="101" t="s">
        <v>118</v>
      </c>
      <c r="AD22" s="113"/>
      <c r="AE22" s="113"/>
      <c r="AF22" s="107"/>
      <c r="AG22" s="12"/>
      <c r="AI22" s="148"/>
      <c r="AJ22" s="148"/>
      <c r="AK22" s="148"/>
      <c r="AL22" s="148"/>
      <c r="AM22" s="148"/>
    </row>
    <row r="23" spans="1:39" ht="21" customHeight="1" x14ac:dyDescent="0.3">
      <c r="B23" s="107"/>
      <c r="C23" s="107"/>
      <c r="D23" s="107"/>
      <c r="E23" s="107"/>
      <c r="F23" s="107"/>
      <c r="G23" s="107"/>
      <c r="H23" s="116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3"/>
      <c r="AI23" s="148"/>
      <c r="AJ23" s="148"/>
      <c r="AK23" s="148"/>
      <c r="AL23" s="148"/>
      <c r="AM23" s="148"/>
    </row>
    <row r="24" spans="1:39" ht="21" customHeight="1" x14ac:dyDescent="0.3">
      <c r="B24" s="13"/>
      <c r="C24" s="12"/>
      <c r="D24" s="13"/>
      <c r="E24" s="12"/>
      <c r="F24" s="13"/>
      <c r="G24" s="12"/>
      <c r="H24" s="13"/>
      <c r="I24" s="12"/>
      <c r="J24" s="13"/>
      <c r="K24" s="12"/>
      <c r="L24" s="13"/>
      <c r="M24" s="12"/>
      <c r="N24" s="13"/>
      <c r="O24" s="12"/>
      <c r="P24" s="13"/>
      <c r="Q24" s="12"/>
      <c r="R24" s="13"/>
      <c r="S24" s="12"/>
      <c r="T24" s="13"/>
      <c r="U24" s="12"/>
      <c r="V24" s="13"/>
      <c r="W24" s="12"/>
      <c r="X24" s="13"/>
      <c r="Y24" s="12"/>
      <c r="Z24" s="13"/>
      <c r="AA24" s="12"/>
      <c r="AB24" s="13"/>
      <c r="AC24" s="12"/>
      <c r="AD24" s="13"/>
      <c r="AE24" s="12"/>
      <c r="AF24" s="13"/>
      <c r="AG24" s="12"/>
      <c r="AI24" s="213" t="s">
        <v>140</v>
      </c>
      <c r="AJ24" s="148"/>
      <c r="AK24" s="148"/>
      <c r="AL24" s="148"/>
      <c r="AM24" s="148"/>
    </row>
    <row r="26" spans="1:39" ht="24.95" customHeight="1" x14ac:dyDescent="0.3">
      <c r="A26" s="147" t="s">
        <v>141</v>
      </c>
      <c r="B26" s="148"/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  <c r="AD26" s="148"/>
      <c r="AE26" s="148"/>
      <c r="AF26" s="148"/>
      <c r="AG26" s="148"/>
      <c r="AH26" s="148"/>
      <c r="AI26" s="148"/>
      <c r="AJ26" s="148"/>
      <c r="AK26" s="148"/>
      <c r="AL26" s="148"/>
      <c r="AM26" s="148"/>
    </row>
    <row r="27" spans="1:39" x14ac:dyDescent="0.3">
      <c r="A27" s="1" t="s">
        <v>142</v>
      </c>
      <c r="B27" s="1" t="s">
        <v>143</v>
      </c>
      <c r="C27" s="1" t="s">
        <v>144</v>
      </c>
      <c r="D27" s="1" t="s">
        <v>145</v>
      </c>
      <c r="E27" s="1" t="s">
        <v>146</v>
      </c>
      <c r="F27" s="1" t="s">
        <v>147</v>
      </c>
      <c r="G27" s="1" t="s">
        <v>148</v>
      </c>
      <c r="H27" s="1" t="s">
        <v>149</v>
      </c>
      <c r="I27" s="1" t="s">
        <v>150</v>
      </c>
      <c r="J27" s="1" t="s">
        <v>151</v>
      </c>
      <c r="K27" s="1" t="s">
        <v>23</v>
      </c>
    </row>
    <row r="28" spans="1:39" ht="39" customHeight="1" x14ac:dyDescent="0.3">
      <c r="A28" s="11" t="s">
        <v>152</v>
      </c>
      <c r="B28" s="14">
        <v>0</v>
      </c>
      <c r="C28" s="14">
        <v>40</v>
      </c>
      <c r="D28" s="14">
        <f>C28-B28</f>
        <v>40</v>
      </c>
      <c r="E28" s="15" t="str">
        <f>TEXT(B28/86400,"m:ss")&amp;"~"&amp;TEXT(C28/86400,"m:ss")</f>
        <v>0:00~0:40</v>
      </c>
      <c r="F28" s="16" t="s">
        <v>153</v>
      </c>
      <c r="G28" s="16" t="s">
        <v>154</v>
      </c>
      <c r="H28" s="122" t="s">
        <v>155</v>
      </c>
      <c r="I28" s="16" t="s">
        <v>156</v>
      </c>
      <c r="J28" s="16" t="s">
        <v>157</v>
      </c>
      <c r="K28" s="15" t="s">
        <v>158</v>
      </c>
    </row>
    <row r="29" spans="1:39" ht="39" customHeight="1" x14ac:dyDescent="0.3">
      <c r="A29" s="17" t="s">
        <v>136</v>
      </c>
      <c r="B29" s="14">
        <v>40</v>
      </c>
      <c r="C29" s="14">
        <v>90</v>
      </c>
      <c r="D29" s="14">
        <f>C29-B29</f>
        <v>50</v>
      </c>
      <c r="E29" s="15" t="str">
        <f>TEXT(B29/86400,"m:ss")&amp;"~"&amp;TEXT(C29/86400,"m:ss")</f>
        <v>0:40~1:30</v>
      </c>
      <c r="F29" s="16" t="s">
        <v>159</v>
      </c>
      <c r="G29" s="16" t="s">
        <v>160</v>
      </c>
      <c r="H29" s="122" t="s">
        <v>161</v>
      </c>
      <c r="I29" s="16" t="s">
        <v>162</v>
      </c>
      <c r="J29" s="16" t="s">
        <v>163</v>
      </c>
      <c r="K29" s="15" t="s">
        <v>158</v>
      </c>
    </row>
    <row r="30" spans="1:39" ht="39" customHeight="1" x14ac:dyDescent="0.3">
      <c r="A30" s="18" t="s">
        <v>133</v>
      </c>
      <c r="B30" s="14">
        <v>90</v>
      </c>
      <c r="C30" s="14">
        <v>145</v>
      </c>
      <c r="D30" s="14">
        <f>C30-B30</f>
        <v>55</v>
      </c>
      <c r="E30" s="15" t="str">
        <f>TEXT(B30/86400,"m:ss")&amp;"~"&amp;TEXT(C30/86400,"m:ss")</f>
        <v>1:30~2:25</v>
      </c>
      <c r="F30" s="16" t="s">
        <v>164</v>
      </c>
      <c r="G30" s="16" t="s">
        <v>165</v>
      </c>
      <c r="H30" s="122" t="s">
        <v>166</v>
      </c>
      <c r="I30" s="16" t="s">
        <v>167</v>
      </c>
      <c r="J30" s="16" t="s">
        <v>168</v>
      </c>
      <c r="K30" s="15" t="s">
        <v>158</v>
      </c>
    </row>
    <row r="31" spans="1:39" ht="39" customHeight="1" x14ac:dyDescent="0.3">
      <c r="A31" s="19" t="s">
        <v>132</v>
      </c>
      <c r="B31" s="14">
        <v>145</v>
      </c>
      <c r="C31" s="14">
        <v>205</v>
      </c>
      <c r="D31" s="14">
        <f>C31-B31</f>
        <v>60</v>
      </c>
      <c r="E31" s="15" t="str">
        <f>TEXT(B31/86400,"m:ss")&amp;"~"&amp;TEXT(C31/86400,"m:ss")</f>
        <v>2:25~3:25</v>
      </c>
      <c r="F31" s="16" t="s">
        <v>169</v>
      </c>
      <c r="G31" s="16" t="s">
        <v>170</v>
      </c>
      <c r="H31" s="122" t="s">
        <v>171</v>
      </c>
      <c r="I31" s="16" t="s">
        <v>172</v>
      </c>
      <c r="J31" s="16" t="s">
        <v>173</v>
      </c>
      <c r="K31" s="15" t="s">
        <v>158</v>
      </c>
    </row>
    <row r="32" spans="1:39" ht="39" customHeight="1" x14ac:dyDescent="0.3">
      <c r="A32" s="20" t="s">
        <v>138</v>
      </c>
      <c r="B32" s="14">
        <v>205</v>
      </c>
      <c r="C32" s="14">
        <v>270</v>
      </c>
      <c r="D32" s="14">
        <f>C32-B32</f>
        <v>65</v>
      </c>
      <c r="E32" s="15" t="str">
        <f>TEXT(B32/86400,"m:ss")&amp;"~"&amp;TEXT(C32/86400,"m:ss")</f>
        <v>3:25~4:30</v>
      </c>
      <c r="F32" s="16" t="s">
        <v>174</v>
      </c>
      <c r="G32" s="16" t="s">
        <v>175</v>
      </c>
      <c r="H32" s="122" t="s">
        <v>176</v>
      </c>
      <c r="I32" s="16" t="s">
        <v>177</v>
      </c>
      <c r="J32" s="16" t="s">
        <v>178</v>
      </c>
      <c r="K32" s="15" t="s">
        <v>158</v>
      </c>
    </row>
    <row r="33" spans="1:39" ht="24" customHeight="1" x14ac:dyDescent="0.3">
      <c r="A33" s="21" t="s">
        <v>179</v>
      </c>
      <c r="B33" s="21"/>
      <c r="C33" s="21"/>
      <c r="D33" s="21">
        <f>SUM(D28:D32)</f>
        <v>270</v>
      </c>
      <c r="E33" s="21" t="str">
        <f>TEXT(D33/86400,"m:ss")</f>
        <v>4:30</v>
      </c>
      <c r="F33" s="21"/>
      <c r="G33" s="21"/>
      <c r="H33" s="21"/>
      <c r="I33" s="21"/>
      <c r="J33" s="21" t="s">
        <v>180</v>
      </c>
      <c r="K33" s="21"/>
    </row>
    <row r="35" spans="1:39" x14ac:dyDescent="0.3">
      <c r="A35" s="212" t="s">
        <v>181</v>
      </c>
      <c r="B35" s="148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148"/>
      <c r="AE35" s="148"/>
      <c r="AF35" s="148"/>
      <c r="AG35" s="148"/>
      <c r="AH35" s="148"/>
      <c r="AI35" s="148"/>
      <c r="AJ35" s="148"/>
      <c r="AK35" s="148"/>
      <c r="AL35" s="148"/>
      <c r="AM35" s="148"/>
    </row>
    <row r="36" spans="1:39" x14ac:dyDescent="0.3">
      <c r="A36" s="148"/>
      <c r="B36" s="148"/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148"/>
      <c r="AE36" s="148"/>
      <c r="AF36" s="148"/>
      <c r="AG36" s="148"/>
      <c r="AH36" s="148"/>
      <c r="AI36" s="148"/>
      <c r="AJ36" s="148"/>
      <c r="AK36" s="148"/>
      <c r="AL36" s="148"/>
      <c r="AM36" s="148"/>
    </row>
  </sheetData>
  <mergeCells count="22">
    <mergeCell ref="X5:AD5"/>
    <mergeCell ref="J7:R8"/>
    <mergeCell ref="AI12:AM14"/>
    <mergeCell ref="AI21:AM23"/>
    <mergeCell ref="B7:H8"/>
    <mergeCell ref="AI18:AM20"/>
    <mergeCell ref="A1:AM1"/>
    <mergeCell ref="X4:AD4"/>
    <mergeCell ref="AI7:AM8"/>
    <mergeCell ref="P5:V5"/>
    <mergeCell ref="A35:AM36"/>
    <mergeCell ref="I5:N5"/>
    <mergeCell ref="AI24:AM24"/>
    <mergeCell ref="A26:AM26"/>
    <mergeCell ref="P4:V4"/>
    <mergeCell ref="AI15:AM17"/>
    <mergeCell ref="AI9:AM11"/>
    <mergeCell ref="A2:AM2"/>
    <mergeCell ref="I4:N4"/>
    <mergeCell ref="B5:G5"/>
    <mergeCell ref="B4:G4"/>
    <mergeCell ref="T7:AF8"/>
  </mergeCells>
  <phoneticPr fontId="42" type="noConversion"/>
  <pageMargins left="0.2" right="0.2" top="0.3" bottom="0.3" header="0.5" footer="0.5"/>
  <pageSetup scale="38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Q47"/>
  <sheetViews>
    <sheetView showGridLines="0" workbookViewId="0">
      <pane ySplit="3" topLeftCell="A4" activePane="bottomLeft" state="frozen"/>
      <selection pane="bottomLeft" sqref="A1:Q2"/>
    </sheetView>
  </sheetViews>
  <sheetFormatPr defaultRowHeight="16.5" x14ac:dyDescent="0.3"/>
  <cols>
    <col min="1" max="1" width="7" customWidth="1"/>
    <col min="2" max="2" width="9" customWidth="1"/>
    <col min="3" max="3" width="39" customWidth="1"/>
    <col min="4" max="4" width="20" customWidth="1"/>
    <col min="5" max="6" width="8" customWidth="1"/>
    <col min="7" max="7" width="15" customWidth="1"/>
    <col min="8" max="8" width="10" customWidth="1"/>
    <col min="9" max="13" width="9" customWidth="1"/>
    <col min="14" max="14" width="10" customWidth="1"/>
    <col min="15" max="15" width="9" customWidth="1"/>
    <col min="16" max="16" width="33" customWidth="1"/>
    <col min="17" max="17" width="58" customWidth="1"/>
  </cols>
  <sheetData>
    <row r="1" spans="1:17" ht="27.95" customHeight="1" x14ac:dyDescent="0.3">
      <c r="A1" s="248" t="s">
        <v>182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249"/>
    </row>
    <row r="2" spans="1:17" ht="27.95" customHeight="1" x14ac:dyDescent="0.3">
      <c r="A2" s="249"/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</row>
    <row r="3" spans="1:17" ht="21.95" customHeight="1" x14ac:dyDescent="0.3">
      <c r="A3" s="246" t="s">
        <v>183</v>
      </c>
      <c r="B3" s="247"/>
      <c r="C3" s="247"/>
      <c r="D3" s="247"/>
      <c r="E3" s="247"/>
      <c r="F3" s="247"/>
      <c r="G3" s="247"/>
      <c r="H3" s="247"/>
      <c r="I3" s="247"/>
      <c r="J3" s="247"/>
      <c r="K3" s="247"/>
      <c r="L3" s="247"/>
      <c r="M3" s="247"/>
      <c r="N3" s="247"/>
      <c r="O3" s="247"/>
      <c r="P3" s="247"/>
      <c r="Q3" s="247"/>
    </row>
    <row r="4" spans="1:17" ht="18.95" customHeight="1" x14ac:dyDescent="0.3"/>
    <row r="5" spans="1:17" ht="18.95" customHeight="1" x14ac:dyDescent="0.3">
      <c r="A5" s="242" t="s">
        <v>184</v>
      </c>
      <c r="B5" s="238"/>
      <c r="C5" s="238"/>
      <c r="D5" s="240" t="s">
        <v>185</v>
      </c>
      <c r="E5" s="238"/>
      <c r="F5" s="238"/>
      <c r="G5" s="244" t="s">
        <v>186</v>
      </c>
      <c r="H5" s="238"/>
      <c r="I5" s="238"/>
      <c r="J5" s="250" t="s">
        <v>187</v>
      </c>
      <c r="K5" s="238"/>
      <c r="L5" s="238"/>
      <c r="M5" s="237" t="str">
        <f>"권장 총 인스턴스"&amp;CHAR(10)&amp;TEXT(N28,"0")&amp;"개"</f>
        <v>권장 총 인스턴스
511개</v>
      </c>
      <c r="N5" s="238"/>
      <c r="O5" s="238"/>
      <c r="P5" s="238"/>
      <c r="Q5" s="238"/>
    </row>
    <row r="6" spans="1:17" ht="18.95" customHeight="1" x14ac:dyDescent="0.3">
      <c r="A6" s="243"/>
      <c r="B6" s="238"/>
      <c r="C6" s="238"/>
      <c r="D6" s="241"/>
      <c r="E6" s="238"/>
      <c r="F6" s="238"/>
      <c r="G6" s="245"/>
      <c r="H6" s="238"/>
      <c r="I6" s="238"/>
      <c r="J6" s="251"/>
      <c r="K6" s="238"/>
      <c r="L6" s="238"/>
      <c r="M6" s="239"/>
      <c r="N6" s="238"/>
      <c r="O6" s="238"/>
      <c r="P6" s="238"/>
      <c r="Q6" s="238"/>
    </row>
    <row r="7" spans="1:17" ht="18.95" customHeight="1" x14ac:dyDescent="0.3">
      <c r="A7" s="243"/>
      <c r="B7" s="238"/>
      <c r="C7" s="238"/>
      <c r="D7" s="241"/>
      <c r="E7" s="238"/>
      <c r="F7" s="238"/>
      <c r="G7" s="245"/>
      <c r="H7" s="238"/>
      <c r="I7" s="238"/>
      <c r="J7" s="251"/>
      <c r="K7" s="238"/>
      <c r="L7" s="238"/>
      <c r="M7" s="239"/>
      <c r="N7" s="238"/>
      <c r="O7" s="238"/>
      <c r="P7" s="238"/>
      <c r="Q7" s="238"/>
    </row>
    <row r="8" spans="1:17" ht="18.95" customHeight="1" x14ac:dyDescent="0.3"/>
    <row r="9" spans="1:17" ht="18.95" customHeight="1" x14ac:dyDescent="0.3">
      <c r="A9" s="227" t="s">
        <v>188</v>
      </c>
      <c r="B9" s="228"/>
      <c r="C9" s="228"/>
      <c r="D9" s="228"/>
      <c r="E9" s="228"/>
      <c r="F9" s="228"/>
      <c r="G9" s="228"/>
      <c r="H9" s="228"/>
      <c r="I9" s="228"/>
      <c r="J9" s="228"/>
      <c r="K9" s="228"/>
      <c r="L9" s="228"/>
      <c r="M9" s="228"/>
      <c r="N9" s="228"/>
      <c r="O9" s="228"/>
      <c r="P9" s="228"/>
      <c r="Q9" s="228"/>
    </row>
    <row r="10" spans="1:17" ht="18.95" customHeight="1" x14ac:dyDescent="0.3"/>
    <row r="11" spans="1:17" ht="18.95" customHeight="1" x14ac:dyDescent="0.3">
      <c r="A11" s="123" t="s">
        <v>189</v>
      </c>
      <c r="B11" s="123" t="s">
        <v>190</v>
      </c>
      <c r="C11" s="123" t="s">
        <v>191</v>
      </c>
      <c r="D11" s="123" t="s">
        <v>192</v>
      </c>
      <c r="E11" s="123" t="s">
        <v>193</v>
      </c>
      <c r="F11" s="123" t="s">
        <v>194</v>
      </c>
      <c r="G11" s="123" t="s">
        <v>195</v>
      </c>
      <c r="H11" s="123" t="s">
        <v>196</v>
      </c>
      <c r="I11" s="123" t="s">
        <v>197</v>
      </c>
      <c r="J11" s="123" t="s">
        <v>198</v>
      </c>
      <c r="K11" s="123" t="s">
        <v>199</v>
      </c>
      <c r="L11" s="123" t="s">
        <v>200</v>
      </c>
      <c r="M11" s="123" t="s">
        <v>201</v>
      </c>
      <c r="N11" s="123" t="s">
        <v>202</v>
      </c>
      <c r="O11" s="123" t="s">
        <v>203</v>
      </c>
      <c r="P11" s="123" t="s">
        <v>204</v>
      </c>
      <c r="Q11" s="123" t="s">
        <v>205</v>
      </c>
    </row>
    <row r="12" spans="1:17" ht="18.95" customHeight="1" x14ac:dyDescent="0.3">
      <c r="A12" s="124" t="s">
        <v>206</v>
      </c>
      <c r="B12" s="124" t="s">
        <v>207</v>
      </c>
      <c r="C12" s="125" t="s">
        <v>208</v>
      </c>
      <c r="D12" s="125" t="s">
        <v>209</v>
      </c>
      <c r="E12" s="124">
        <v>98</v>
      </c>
      <c r="F12" s="124">
        <v>17</v>
      </c>
      <c r="G12" s="125" t="s">
        <v>210</v>
      </c>
      <c r="H12" s="126">
        <v>33</v>
      </c>
      <c r="I12" s="124">
        <v>98</v>
      </c>
      <c r="J12" s="124">
        <v>42</v>
      </c>
      <c r="K12" s="124">
        <v>50</v>
      </c>
      <c r="L12" s="124">
        <v>50</v>
      </c>
      <c r="M12" s="124">
        <v>54</v>
      </c>
      <c r="N12" s="124">
        <f t="shared" ref="N12:N27" si="0">SUM(I12:M12)</f>
        <v>294</v>
      </c>
      <c r="O12" s="127">
        <f t="shared" ref="O12:O28" si="1">N12/E12</f>
        <v>3</v>
      </c>
      <c r="P12" s="125" t="s">
        <v>211</v>
      </c>
      <c r="Q12" s="125" t="s">
        <v>212</v>
      </c>
    </row>
    <row r="13" spans="1:17" ht="18.95" customHeight="1" x14ac:dyDescent="0.3">
      <c r="A13" s="128" t="s">
        <v>213</v>
      </c>
      <c r="B13" s="128" t="s">
        <v>214</v>
      </c>
      <c r="C13" s="129" t="s">
        <v>215</v>
      </c>
      <c r="D13" s="129" t="s">
        <v>216</v>
      </c>
      <c r="E13" s="128">
        <v>11</v>
      </c>
      <c r="F13" s="128">
        <v>11</v>
      </c>
      <c r="G13" s="129" t="s">
        <v>217</v>
      </c>
      <c r="H13" s="130">
        <v>8.6</v>
      </c>
      <c r="I13" s="128">
        <v>11</v>
      </c>
      <c r="J13" s="128">
        <v>6</v>
      </c>
      <c r="K13" s="128">
        <v>6</v>
      </c>
      <c r="L13" s="128">
        <v>5</v>
      </c>
      <c r="M13" s="128">
        <v>4</v>
      </c>
      <c r="N13" s="128">
        <f t="shared" si="0"/>
        <v>32</v>
      </c>
      <c r="O13" s="131">
        <f t="shared" si="1"/>
        <v>2.9090909090909092</v>
      </c>
      <c r="P13" s="129" t="s">
        <v>218</v>
      </c>
      <c r="Q13" s="129" t="s">
        <v>219</v>
      </c>
    </row>
    <row r="14" spans="1:17" ht="18.95" customHeight="1" x14ac:dyDescent="0.3">
      <c r="A14" s="124" t="s">
        <v>118</v>
      </c>
      <c r="B14" s="124" t="s">
        <v>220</v>
      </c>
      <c r="C14" s="125" t="s">
        <v>221</v>
      </c>
      <c r="D14" s="125" t="s">
        <v>222</v>
      </c>
      <c r="E14" s="124">
        <v>12</v>
      </c>
      <c r="F14" s="124">
        <v>12</v>
      </c>
      <c r="G14" s="125" t="s">
        <v>217</v>
      </c>
      <c r="H14" s="126">
        <v>6.8</v>
      </c>
      <c r="I14" s="124">
        <v>12</v>
      </c>
      <c r="J14" s="124">
        <v>4</v>
      </c>
      <c r="K14" s="124">
        <v>5</v>
      </c>
      <c r="L14" s="124">
        <v>5</v>
      </c>
      <c r="M14" s="124">
        <v>6</v>
      </c>
      <c r="N14" s="124">
        <f t="shared" si="0"/>
        <v>32</v>
      </c>
      <c r="O14" s="127">
        <f t="shared" si="1"/>
        <v>2.6666666666666665</v>
      </c>
      <c r="P14" s="125" t="s">
        <v>223</v>
      </c>
      <c r="Q14" s="125" t="s">
        <v>224</v>
      </c>
    </row>
    <row r="15" spans="1:17" ht="18.95" customHeight="1" x14ac:dyDescent="0.3">
      <c r="A15" s="128" t="s">
        <v>225</v>
      </c>
      <c r="B15" s="128" t="s">
        <v>226</v>
      </c>
      <c r="C15" s="129" t="s">
        <v>227</v>
      </c>
      <c r="D15" s="129" t="s">
        <v>228</v>
      </c>
      <c r="E15" s="128">
        <v>8</v>
      </c>
      <c r="F15" s="128">
        <v>7</v>
      </c>
      <c r="G15" s="129" t="s">
        <v>210</v>
      </c>
      <c r="H15" s="130">
        <v>9.3000000000000007</v>
      </c>
      <c r="I15" s="128">
        <v>8</v>
      </c>
      <c r="J15" s="128">
        <v>2</v>
      </c>
      <c r="K15" s="128">
        <v>3</v>
      </c>
      <c r="L15" s="128">
        <v>2</v>
      </c>
      <c r="M15" s="128">
        <v>3</v>
      </c>
      <c r="N15" s="128">
        <f t="shared" si="0"/>
        <v>18</v>
      </c>
      <c r="O15" s="131">
        <f t="shared" si="1"/>
        <v>2.25</v>
      </c>
      <c r="P15" s="129" t="s">
        <v>229</v>
      </c>
      <c r="Q15" s="129" t="s">
        <v>230</v>
      </c>
    </row>
    <row r="16" spans="1:17" ht="18.95" customHeight="1" x14ac:dyDescent="0.3">
      <c r="A16" s="124" t="s">
        <v>231</v>
      </c>
      <c r="B16" s="124" t="s">
        <v>214</v>
      </c>
      <c r="C16" s="125" t="s">
        <v>232</v>
      </c>
      <c r="D16" s="125" t="s">
        <v>233</v>
      </c>
      <c r="E16" s="124">
        <v>7</v>
      </c>
      <c r="F16" s="124">
        <v>7</v>
      </c>
      <c r="G16" s="125" t="s">
        <v>217</v>
      </c>
      <c r="H16" s="126">
        <v>3</v>
      </c>
      <c r="I16" s="124">
        <v>7</v>
      </c>
      <c r="J16" s="124">
        <v>3</v>
      </c>
      <c r="K16" s="124">
        <v>3</v>
      </c>
      <c r="L16" s="124">
        <v>2</v>
      </c>
      <c r="M16" s="124">
        <v>1</v>
      </c>
      <c r="N16" s="124">
        <f t="shared" si="0"/>
        <v>16</v>
      </c>
      <c r="O16" s="127">
        <f t="shared" si="1"/>
        <v>2.2857142857142856</v>
      </c>
      <c r="P16" s="125" t="s">
        <v>234</v>
      </c>
      <c r="Q16" s="125" t="s">
        <v>235</v>
      </c>
    </row>
    <row r="17" spans="1:17" ht="18.95" customHeight="1" x14ac:dyDescent="0.3">
      <c r="A17" s="128" t="s">
        <v>236</v>
      </c>
      <c r="B17" s="128" t="s">
        <v>214</v>
      </c>
      <c r="C17" s="129" t="s">
        <v>237</v>
      </c>
      <c r="D17" s="129" t="s">
        <v>238</v>
      </c>
      <c r="E17" s="128">
        <v>7</v>
      </c>
      <c r="F17" s="128">
        <v>7</v>
      </c>
      <c r="G17" s="129" t="s">
        <v>217</v>
      </c>
      <c r="H17" s="130">
        <v>9</v>
      </c>
      <c r="I17" s="128">
        <v>7</v>
      </c>
      <c r="J17" s="128">
        <v>3</v>
      </c>
      <c r="K17" s="128">
        <v>3</v>
      </c>
      <c r="L17" s="128">
        <v>2</v>
      </c>
      <c r="M17" s="128">
        <v>1</v>
      </c>
      <c r="N17" s="128">
        <f t="shared" si="0"/>
        <v>16</v>
      </c>
      <c r="O17" s="131">
        <f t="shared" si="1"/>
        <v>2.2857142857142856</v>
      </c>
      <c r="P17" s="129" t="s">
        <v>239</v>
      </c>
      <c r="Q17" s="129" t="s">
        <v>240</v>
      </c>
    </row>
    <row r="18" spans="1:17" ht="18.95" customHeight="1" x14ac:dyDescent="0.3">
      <c r="A18" s="124" t="s">
        <v>241</v>
      </c>
      <c r="B18" s="124" t="s">
        <v>242</v>
      </c>
      <c r="C18" s="125" t="s">
        <v>243</v>
      </c>
      <c r="D18" s="125" t="s">
        <v>244</v>
      </c>
      <c r="E18" s="124">
        <v>13</v>
      </c>
      <c r="F18" s="124">
        <v>10</v>
      </c>
      <c r="G18" s="125" t="s">
        <v>210</v>
      </c>
      <c r="H18" s="126">
        <v>10.5</v>
      </c>
      <c r="I18" s="124">
        <v>13</v>
      </c>
      <c r="J18" s="124">
        <v>5</v>
      </c>
      <c r="K18" s="124">
        <v>6</v>
      </c>
      <c r="L18" s="124">
        <v>5</v>
      </c>
      <c r="M18" s="124">
        <v>7</v>
      </c>
      <c r="N18" s="124">
        <f t="shared" si="0"/>
        <v>36</v>
      </c>
      <c r="O18" s="127">
        <f t="shared" si="1"/>
        <v>2.7692307692307692</v>
      </c>
      <c r="P18" s="125" t="s">
        <v>245</v>
      </c>
      <c r="Q18" s="125" t="s">
        <v>246</v>
      </c>
    </row>
    <row r="19" spans="1:17" ht="18.95" customHeight="1" x14ac:dyDescent="0.3">
      <c r="A19" s="128" t="s">
        <v>247</v>
      </c>
      <c r="B19" s="128" t="s">
        <v>220</v>
      </c>
      <c r="C19" s="129" t="s">
        <v>248</v>
      </c>
      <c r="D19" s="129" t="s">
        <v>249</v>
      </c>
      <c r="E19" s="128">
        <v>3</v>
      </c>
      <c r="F19" s="128">
        <v>3</v>
      </c>
      <c r="G19" s="129" t="s">
        <v>217</v>
      </c>
      <c r="H19" s="130">
        <v>9</v>
      </c>
      <c r="I19" s="128">
        <v>3</v>
      </c>
      <c r="J19" s="128">
        <v>2</v>
      </c>
      <c r="K19" s="128">
        <v>2</v>
      </c>
      <c r="L19" s="128">
        <v>2</v>
      </c>
      <c r="M19" s="128">
        <v>3</v>
      </c>
      <c r="N19" s="128">
        <f t="shared" si="0"/>
        <v>12</v>
      </c>
      <c r="O19" s="131">
        <f t="shared" si="1"/>
        <v>4</v>
      </c>
      <c r="P19" s="129" t="s">
        <v>250</v>
      </c>
      <c r="Q19" s="129" t="s">
        <v>251</v>
      </c>
    </row>
    <row r="20" spans="1:17" ht="18.95" customHeight="1" x14ac:dyDescent="0.3">
      <c r="A20" s="124" t="s">
        <v>252</v>
      </c>
      <c r="B20" s="124" t="s">
        <v>214</v>
      </c>
      <c r="C20" s="125" t="s">
        <v>253</v>
      </c>
      <c r="D20" s="125" t="s">
        <v>254</v>
      </c>
      <c r="E20" s="124">
        <v>2</v>
      </c>
      <c r="F20" s="124">
        <v>2</v>
      </c>
      <c r="G20" s="125" t="s">
        <v>217</v>
      </c>
      <c r="H20" s="126">
        <v>10.4</v>
      </c>
      <c r="I20" s="124">
        <v>2</v>
      </c>
      <c r="J20" s="124">
        <v>2</v>
      </c>
      <c r="K20" s="124">
        <v>2</v>
      </c>
      <c r="L20" s="124">
        <v>1</v>
      </c>
      <c r="M20" s="124">
        <v>1</v>
      </c>
      <c r="N20" s="124">
        <f t="shared" si="0"/>
        <v>8</v>
      </c>
      <c r="O20" s="127">
        <f t="shared" si="1"/>
        <v>4</v>
      </c>
      <c r="P20" s="125" t="s">
        <v>255</v>
      </c>
      <c r="Q20" s="125" t="s">
        <v>256</v>
      </c>
    </row>
    <row r="21" spans="1:17" ht="18.95" customHeight="1" x14ac:dyDescent="0.3">
      <c r="A21" s="128" t="s">
        <v>257</v>
      </c>
      <c r="B21" s="128" t="s">
        <v>214</v>
      </c>
      <c r="C21" s="129" t="s">
        <v>258</v>
      </c>
      <c r="D21" s="129" t="s">
        <v>259</v>
      </c>
      <c r="E21" s="128">
        <v>2</v>
      </c>
      <c r="F21" s="128">
        <v>2</v>
      </c>
      <c r="G21" s="129" t="s">
        <v>217</v>
      </c>
      <c r="H21" s="130">
        <v>10.199999999999999</v>
      </c>
      <c r="I21" s="128">
        <v>2</v>
      </c>
      <c r="J21" s="128">
        <v>2</v>
      </c>
      <c r="K21" s="128">
        <v>2</v>
      </c>
      <c r="L21" s="128">
        <v>1</v>
      </c>
      <c r="M21" s="128">
        <v>1</v>
      </c>
      <c r="N21" s="128">
        <f t="shared" si="0"/>
        <v>8</v>
      </c>
      <c r="O21" s="131">
        <f t="shared" si="1"/>
        <v>4</v>
      </c>
      <c r="P21" s="129" t="s">
        <v>260</v>
      </c>
      <c r="Q21" s="129" t="s">
        <v>261</v>
      </c>
    </row>
    <row r="22" spans="1:17" ht="18.95" customHeight="1" x14ac:dyDescent="0.3">
      <c r="A22" s="124" t="s">
        <v>262</v>
      </c>
      <c r="B22" s="124" t="s">
        <v>214</v>
      </c>
      <c r="C22" s="125" t="s">
        <v>263</v>
      </c>
      <c r="D22" s="125" t="s">
        <v>264</v>
      </c>
      <c r="E22" s="124">
        <v>2</v>
      </c>
      <c r="F22" s="124">
        <v>2</v>
      </c>
      <c r="G22" s="125" t="s">
        <v>217</v>
      </c>
      <c r="H22" s="126">
        <v>10.199999999999999</v>
      </c>
      <c r="I22" s="124">
        <v>2</v>
      </c>
      <c r="J22" s="124">
        <v>2</v>
      </c>
      <c r="K22" s="124">
        <v>2</v>
      </c>
      <c r="L22" s="124">
        <v>2</v>
      </c>
      <c r="M22" s="124">
        <v>0</v>
      </c>
      <c r="N22" s="124">
        <f t="shared" si="0"/>
        <v>8</v>
      </c>
      <c r="O22" s="127">
        <f t="shared" si="1"/>
        <v>4</v>
      </c>
      <c r="P22" s="125" t="s">
        <v>265</v>
      </c>
      <c r="Q22" s="125" t="s">
        <v>266</v>
      </c>
    </row>
    <row r="23" spans="1:17" ht="18.95" customHeight="1" x14ac:dyDescent="0.3">
      <c r="A23" s="128" t="s">
        <v>267</v>
      </c>
      <c r="B23" s="128" t="s">
        <v>220</v>
      </c>
      <c r="C23" s="129" t="s">
        <v>268</v>
      </c>
      <c r="D23" s="129" t="s">
        <v>269</v>
      </c>
      <c r="E23" s="128">
        <v>1</v>
      </c>
      <c r="F23" s="128">
        <v>1</v>
      </c>
      <c r="G23" s="129" t="s">
        <v>217</v>
      </c>
      <c r="H23" s="130">
        <v>7.3</v>
      </c>
      <c r="I23" s="128">
        <v>1</v>
      </c>
      <c r="J23" s="128">
        <v>1</v>
      </c>
      <c r="K23" s="128">
        <v>1</v>
      </c>
      <c r="L23" s="128">
        <v>1</v>
      </c>
      <c r="M23" s="128">
        <v>2</v>
      </c>
      <c r="N23" s="128">
        <f t="shared" si="0"/>
        <v>6</v>
      </c>
      <c r="O23" s="131">
        <f t="shared" si="1"/>
        <v>6</v>
      </c>
      <c r="P23" s="129" t="s">
        <v>270</v>
      </c>
      <c r="Q23" s="129" t="s">
        <v>271</v>
      </c>
    </row>
    <row r="24" spans="1:17" ht="18.95" customHeight="1" x14ac:dyDescent="0.3">
      <c r="A24" s="124" t="s">
        <v>272</v>
      </c>
      <c r="B24" s="124" t="s">
        <v>207</v>
      </c>
      <c r="C24" s="125" t="s">
        <v>273</v>
      </c>
      <c r="D24" s="125" t="s">
        <v>274</v>
      </c>
      <c r="E24" s="124">
        <v>1</v>
      </c>
      <c r="F24" s="124">
        <v>1</v>
      </c>
      <c r="G24" s="125" t="s">
        <v>217</v>
      </c>
      <c r="H24" s="126">
        <v>16.8</v>
      </c>
      <c r="I24" s="124">
        <v>1</v>
      </c>
      <c r="J24" s="124">
        <v>1</v>
      </c>
      <c r="K24" s="124">
        <v>1</v>
      </c>
      <c r="L24" s="124">
        <v>2</v>
      </c>
      <c r="M24" s="124">
        <v>1</v>
      </c>
      <c r="N24" s="124">
        <f t="shared" si="0"/>
        <v>6</v>
      </c>
      <c r="O24" s="127">
        <f t="shared" si="1"/>
        <v>6</v>
      </c>
      <c r="P24" s="125" t="s">
        <v>275</v>
      </c>
      <c r="Q24" s="125" t="s">
        <v>276</v>
      </c>
    </row>
    <row r="25" spans="1:17" ht="18.95" customHeight="1" x14ac:dyDescent="0.3">
      <c r="A25" s="128" t="s">
        <v>277</v>
      </c>
      <c r="B25" s="128" t="s">
        <v>278</v>
      </c>
      <c r="C25" s="129" t="s">
        <v>279</v>
      </c>
      <c r="D25" s="129" t="s">
        <v>280</v>
      </c>
      <c r="E25" s="128">
        <v>1</v>
      </c>
      <c r="F25" s="128">
        <v>1</v>
      </c>
      <c r="G25" s="129" t="s">
        <v>217</v>
      </c>
      <c r="H25" s="130">
        <v>5</v>
      </c>
      <c r="I25" s="128">
        <v>1</v>
      </c>
      <c r="J25" s="128">
        <v>1</v>
      </c>
      <c r="K25" s="128">
        <v>1</v>
      </c>
      <c r="L25" s="128">
        <v>1</v>
      </c>
      <c r="M25" s="128">
        <v>1</v>
      </c>
      <c r="N25" s="128">
        <f t="shared" si="0"/>
        <v>5</v>
      </c>
      <c r="O25" s="131">
        <f t="shared" si="1"/>
        <v>5</v>
      </c>
      <c r="P25" s="129" t="s">
        <v>281</v>
      </c>
      <c r="Q25" s="129" t="s">
        <v>282</v>
      </c>
    </row>
    <row r="26" spans="1:17" ht="18.95" customHeight="1" x14ac:dyDescent="0.3">
      <c r="A26" s="124" t="s">
        <v>283</v>
      </c>
      <c r="B26" s="124" t="s">
        <v>207</v>
      </c>
      <c r="C26" s="125" t="s">
        <v>284</v>
      </c>
      <c r="D26" s="125" t="s">
        <v>285</v>
      </c>
      <c r="E26" s="124">
        <v>1</v>
      </c>
      <c r="F26" s="124">
        <v>0</v>
      </c>
      <c r="G26" s="125" t="s">
        <v>217</v>
      </c>
      <c r="H26" s="126">
        <v>90.1</v>
      </c>
      <c r="I26" s="124">
        <v>1</v>
      </c>
      <c r="J26" s="124">
        <v>0</v>
      </c>
      <c r="K26" s="124">
        <v>1</v>
      </c>
      <c r="L26" s="124">
        <v>1</v>
      </c>
      <c r="M26" s="124">
        <v>1</v>
      </c>
      <c r="N26" s="124">
        <f t="shared" si="0"/>
        <v>4</v>
      </c>
      <c r="O26" s="127">
        <f t="shared" si="1"/>
        <v>4</v>
      </c>
      <c r="P26" s="125" t="s">
        <v>286</v>
      </c>
      <c r="Q26" s="125" t="s">
        <v>287</v>
      </c>
    </row>
    <row r="27" spans="1:17" ht="18.95" customHeight="1" x14ac:dyDescent="0.3">
      <c r="A27" s="128" t="s">
        <v>288</v>
      </c>
      <c r="B27" s="128" t="s">
        <v>220</v>
      </c>
      <c r="C27" s="129" t="s">
        <v>289</v>
      </c>
      <c r="D27" s="129" t="s">
        <v>290</v>
      </c>
      <c r="E27" s="128">
        <v>1</v>
      </c>
      <c r="F27" s="128">
        <v>1</v>
      </c>
      <c r="G27" s="129" t="s">
        <v>291</v>
      </c>
      <c r="H27" s="130">
        <v>14.9</v>
      </c>
      <c r="I27" s="128">
        <v>1</v>
      </c>
      <c r="J27" s="128">
        <v>2</v>
      </c>
      <c r="K27" s="128">
        <v>2</v>
      </c>
      <c r="L27" s="128">
        <v>2</v>
      </c>
      <c r="M27" s="128">
        <v>3</v>
      </c>
      <c r="N27" s="128">
        <f t="shared" si="0"/>
        <v>10</v>
      </c>
      <c r="O27" s="131">
        <f t="shared" si="1"/>
        <v>10</v>
      </c>
      <c r="P27" s="129" t="s">
        <v>292</v>
      </c>
      <c r="Q27" s="129" t="s">
        <v>293</v>
      </c>
    </row>
    <row r="28" spans="1:17" ht="30" customHeight="1" x14ac:dyDescent="0.3">
      <c r="A28" s="236" t="s">
        <v>179</v>
      </c>
      <c r="B28" s="236"/>
      <c r="C28" s="236"/>
      <c r="D28" s="236"/>
      <c r="E28" s="132">
        <f>SUM(E12:E27)</f>
        <v>170</v>
      </c>
      <c r="F28" s="132">
        <f>SUM(F12:F27)</f>
        <v>84</v>
      </c>
      <c r="G28" s="132" t="s">
        <v>294</v>
      </c>
      <c r="H28" s="133">
        <f>SUMPRODUCT(E12:E27,H12:H27)/SUM(E12:E27)</f>
        <v>23.104705882352945</v>
      </c>
      <c r="I28" s="132">
        <f t="shared" ref="I28:N28" si="2">SUM(I12:I27)</f>
        <v>170</v>
      </c>
      <c r="J28" s="132">
        <f t="shared" si="2"/>
        <v>78</v>
      </c>
      <c r="K28" s="132">
        <f t="shared" si="2"/>
        <v>90</v>
      </c>
      <c r="L28" s="132">
        <f t="shared" si="2"/>
        <v>84</v>
      </c>
      <c r="M28" s="132">
        <f t="shared" si="2"/>
        <v>89</v>
      </c>
      <c r="N28" s="132">
        <f t="shared" si="2"/>
        <v>511</v>
      </c>
      <c r="O28" s="134">
        <f t="shared" si="1"/>
        <v>3.0058823529411764</v>
      </c>
      <c r="P28" s="132" t="s">
        <v>295</v>
      </c>
      <c r="Q28" s="132" t="s">
        <v>296</v>
      </c>
    </row>
    <row r="29" spans="1:17" ht="18.95" customHeight="1" x14ac:dyDescent="0.3"/>
    <row r="30" spans="1:17" ht="18.95" customHeight="1" x14ac:dyDescent="0.3"/>
    <row r="31" spans="1:17" ht="18.95" customHeight="1" x14ac:dyDescent="0.3">
      <c r="A31" s="227" t="s">
        <v>297</v>
      </c>
      <c r="B31" s="228"/>
      <c r="C31" s="228"/>
      <c r="D31" s="228"/>
      <c r="E31" s="228"/>
      <c r="F31" s="228"/>
      <c r="G31" s="228"/>
      <c r="H31" s="228"/>
      <c r="I31" s="228"/>
      <c r="J31" s="228"/>
      <c r="K31" s="228"/>
      <c r="L31" s="228"/>
      <c r="M31" s="228"/>
      <c r="N31" s="228"/>
      <c r="O31" s="228"/>
      <c r="P31" s="228"/>
      <c r="Q31" s="228"/>
    </row>
    <row r="32" spans="1:17" ht="18.95" customHeight="1" x14ac:dyDescent="0.3"/>
    <row r="33" spans="1:17" ht="18.95" customHeight="1" x14ac:dyDescent="0.3">
      <c r="A33" s="233" t="s">
        <v>298</v>
      </c>
      <c r="B33" s="228"/>
      <c r="C33" s="233" t="s">
        <v>299</v>
      </c>
      <c r="D33" s="228"/>
      <c r="E33" s="233" t="s">
        <v>300</v>
      </c>
      <c r="F33" s="228"/>
      <c r="G33" s="228"/>
      <c r="H33" s="228"/>
      <c r="I33" s="228"/>
      <c r="J33" s="233" t="s">
        <v>301</v>
      </c>
      <c r="K33" s="228"/>
      <c r="L33" s="228"/>
      <c r="M33" s="228"/>
      <c r="N33" s="233" t="s">
        <v>302</v>
      </c>
      <c r="O33" s="228"/>
      <c r="P33" s="228"/>
      <c r="Q33" s="228"/>
    </row>
    <row r="34" spans="1:17" ht="33.950000000000003" customHeight="1" x14ac:dyDescent="0.3">
      <c r="A34" s="229" t="s">
        <v>303</v>
      </c>
      <c r="B34" s="230"/>
      <c r="C34" s="229" t="s">
        <v>304</v>
      </c>
      <c r="D34" s="230"/>
      <c r="E34" s="234" t="s">
        <v>305</v>
      </c>
      <c r="F34" s="230"/>
      <c r="G34" s="230"/>
      <c r="H34" s="230"/>
      <c r="I34" s="230"/>
      <c r="J34" s="234" t="s">
        <v>306</v>
      </c>
      <c r="K34" s="230"/>
      <c r="L34" s="230"/>
      <c r="M34" s="230"/>
      <c r="N34" s="234" t="s">
        <v>307</v>
      </c>
      <c r="O34" s="230"/>
      <c r="P34" s="230"/>
      <c r="Q34" s="230"/>
    </row>
    <row r="35" spans="1:17" ht="33.950000000000003" customHeight="1" x14ac:dyDescent="0.3">
      <c r="A35" s="235" t="s">
        <v>308</v>
      </c>
      <c r="B35" s="232"/>
      <c r="C35" s="235" t="s">
        <v>309</v>
      </c>
      <c r="D35" s="232"/>
      <c r="E35" s="231" t="s">
        <v>310</v>
      </c>
      <c r="F35" s="232"/>
      <c r="G35" s="232"/>
      <c r="H35" s="232"/>
      <c r="I35" s="232"/>
      <c r="J35" s="231" t="s">
        <v>311</v>
      </c>
      <c r="K35" s="232"/>
      <c r="L35" s="232"/>
      <c r="M35" s="232"/>
      <c r="N35" s="231" t="s">
        <v>312</v>
      </c>
      <c r="O35" s="232"/>
      <c r="P35" s="232"/>
      <c r="Q35" s="232"/>
    </row>
    <row r="36" spans="1:17" ht="33.950000000000003" customHeight="1" x14ac:dyDescent="0.3">
      <c r="A36" s="229" t="s">
        <v>313</v>
      </c>
      <c r="B36" s="230"/>
      <c r="C36" s="229" t="s">
        <v>314</v>
      </c>
      <c r="D36" s="230"/>
      <c r="E36" s="234" t="s">
        <v>315</v>
      </c>
      <c r="F36" s="230"/>
      <c r="G36" s="230"/>
      <c r="H36" s="230"/>
      <c r="I36" s="230"/>
      <c r="J36" s="234" t="s">
        <v>316</v>
      </c>
      <c r="K36" s="230"/>
      <c r="L36" s="230"/>
      <c r="M36" s="230"/>
      <c r="N36" s="234" t="s">
        <v>317</v>
      </c>
      <c r="O36" s="230"/>
      <c r="P36" s="230"/>
      <c r="Q36" s="230"/>
    </row>
    <row r="37" spans="1:17" ht="18.95" customHeight="1" x14ac:dyDescent="0.3"/>
    <row r="38" spans="1:17" ht="18.95" customHeight="1" x14ac:dyDescent="0.3"/>
    <row r="39" spans="1:17" ht="18.95" customHeight="1" x14ac:dyDescent="0.3">
      <c r="A39" s="227" t="s">
        <v>318</v>
      </c>
      <c r="B39" s="228"/>
      <c r="C39" s="228"/>
      <c r="D39" s="228"/>
      <c r="E39" s="228"/>
      <c r="F39" s="228"/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</row>
    <row r="40" spans="1:17" ht="18.95" customHeight="1" x14ac:dyDescent="0.3"/>
    <row r="41" spans="1:17" ht="18.95" customHeight="1" x14ac:dyDescent="0.3">
      <c r="A41" s="233" t="s">
        <v>319</v>
      </c>
      <c r="B41" s="228"/>
      <c r="C41" s="233" t="s">
        <v>320</v>
      </c>
      <c r="D41" s="228"/>
      <c r="E41" s="233" t="s">
        <v>321</v>
      </c>
      <c r="F41" s="228"/>
      <c r="G41" s="228"/>
      <c r="H41" s="228"/>
      <c r="I41" s="228"/>
      <c r="J41" s="233" t="s">
        <v>322</v>
      </c>
      <c r="K41" s="228"/>
      <c r="L41" s="228"/>
      <c r="M41" s="228"/>
      <c r="N41" s="233" t="s">
        <v>323</v>
      </c>
      <c r="O41" s="228"/>
      <c r="P41" s="228"/>
      <c r="Q41" s="228"/>
    </row>
    <row r="42" spans="1:17" ht="27.95" customHeight="1" x14ac:dyDescent="0.3">
      <c r="A42" s="229" t="s">
        <v>324</v>
      </c>
      <c r="B42" s="230"/>
      <c r="C42" s="234" t="s">
        <v>325</v>
      </c>
      <c r="D42" s="230"/>
      <c r="E42" s="234" t="s">
        <v>326</v>
      </c>
      <c r="F42" s="230"/>
      <c r="G42" s="230"/>
      <c r="H42" s="230"/>
      <c r="I42" s="230"/>
      <c r="J42" s="234" t="s">
        <v>327</v>
      </c>
      <c r="K42" s="230"/>
      <c r="L42" s="230"/>
      <c r="M42" s="230"/>
      <c r="N42" s="234" t="s">
        <v>328</v>
      </c>
      <c r="O42" s="230"/>
      <c r="P42" s="230"/>
      <c r="Q42" s="230"/>
    </row>
    <row r="43" spans="1:17" ht="27.95" customHeight="1" x14ac:dyDescent="0.3">
      <c r="A43" s="235" t="s">
        <v>329</v>
      </c>
      <c r="B43" s="232"/>
      <c r="C43" s="231" t="s">
        <v>330</v>
      </c>
      <c r="D43" s="232"/>
      <c r="E43" s="231" t="s">
        <v>331</v>
      </c>
      <c r="F43" s="232"/>
      <c r="G43" s="232"/>
      <c r="H43" s="232"/>
      <c r="I43" s="232"/>
      <c r="J43" s="231" t="s">
        <v>332</v>
      </c>
      <c r="K43" s="232"/>
      <c r="L43" s="232"/>
      <c r="M43" s="232"/>
      <c r="N43" s="231" t="s">
        <v>333</v>
      </c>
      <c r="O43" s="232"/>
      <c r="P43" s="232"/>
      <c r="Q43" s="232"/>
    </row>
    <row r="44" spans="1:17" ht="27.95" customHeight="1" x14ac:dyDescent="0.3">
      <c r="A44" s="229" t="s">
        <v>334</v>
      </c>
      <c r="B44" s="230"/>
      <c r="C44" s="234" t="s">
        <v>335</v>
      </c>
      <c r="D44" s="230"/>
      <c r="E44" s="234" t="s">
        <v>336</v>
      </c>
      <c r="F44" s="230"/>
      <c r="G44" s="230"/>
      <c r="H44" s="230"/>
      <c r="I44" s="230"/>
      <c r="J44" s="234" t="s">
        <v>337</v>
      </c>
      <c r="K44" s="230"/>
      <c r="L44" s="230"/>
      <c r="M44" s="230"/>
      <c r="N44" s="234" t="s">
        <v>338</v>
      </c>
      <c r="O44" s="230"/>
      <c r="P44" s="230"/>
      <c r="Q44" s="230"/>
    </row>
    <row r="45" spans="1:17" ht="27.95" customHeight="1" x14ac:dyDescent="0.3">
      <c r="A45" s="235" t="s">
        <v>339</v>
      </c>
      <c r="B45" s="232"/>
      <c r="C45" s="231" t="s">
        <v>340</v>
      </c>
      <c r="D45" s="232"/>
      <c r="E45" s="231" t="s">
        <v>341</v>
      </c>
      <c r="F45" s="232"/>
      <c r="G45" s="232"/>
      <c r="H45" s="232"/>
      <c r="I45" s="232"/>
      <c r="J45" s="231" t="s">
        <v>342</v>
      </c>
      <c r="K45" s="232"/>
      <c r="L45" s="232"/>
      <c r="M45" s="232"/>
      <c r="N45" s="231" t="s">
        <v>343</v>
      </c>
      <c r="O45" s="232"/>
      <c r="P45" s="232"/>
      <c r="Q45" s="232"/>
    </row>
    <row r="46" spans="1:17" ht="27.95" customHeight="1" x14ac:dyDescent="0.3">
      <c r="A46" s="229" t="s">
        <v>344</v>
      </c>
      <c r="B46" s="230"/>
      <c r="C46" s="234" t="s">
        <v>345</v>
      </c>
      <c r="D46" s="230"/>
      <c r="E46" s="234" t="s">
        <v>346</v>
      </c>
      <c r="F46" s="230"/>
      <c r="G46" s="230"/>
      <c r="H46" s="230"/>
      <c r="I46" s="230"/>
      <c r="J46" s="234" t="s">
        <v>347</v>
      </c>
      <c r="K46" s="230"/>
      <c r="L46" s="230"/>
      <c r="M46" s="230"/>
      <c r="N46" s="234" t="s">
        <v>348</v>
      </c>
      <c r="O46" s="230"/>
      <c r="P46" s="230"/>
      <c r="Q46" s="230"/>
    </row>
    <row r="47" spans="1:17" ht="18.95" customHeight="1" x14ac:dyDescent="0.3"/>
  </sheetData>
  <autoFilter ref="A11:Q27" xr:uid="{00000000-0009-0000-0000-000004000000}"/>
  <mergeCells count="61">
    <mergeCell ref="A1:Q2"/>
    <mergeCell ref="N33:Q33"/>
    <mergeCell ref="A35:B35"/>
    <mergeCell ref="J45:M45"/>
    <mergeCell ref="J36:M36"/>
    <mergeCell ref="J5:L7"/>
    <mergeCell ref="A43:B43"/>
    <mergeCell ref="J35:M35"/>
    <mergeCell ref="E41:I41"/>
    <mergeCell ref="N44:Q44"/>
    <mergeCell ref="A44:B44"/>
    <mergeCell ref="J41:M41"/>
    <mergeCell ref="A34:B34"/>
    <mergeCell ref="A3:Q3"/>
    <mergeCell ref="A33:B33"/>
    <mergeCell ref="E46:I46"/>
    <mergeCell ref="A42:B42"/>
    <mergeCell ref="J34:M34"/>
    <mergeCell ref="C36:D36"/>
    <mergeCell ref="N43:Q43"/>
    <mergeCell ref="E45:I45"/>
    <mergeCell ref="N46:Q46"/>
    <mergeCell ref="E36:I36"/>
    <mergeCell ref="N42:Q42"/>
    <mergeCell ref="A5:C7"/>
    <mergeCell ref="G5:I7"/>
    <mergeCell ref="C43:D43"/>
    <mergeCell ref="E34:I34"/>
    <mergeCell ref="C46:D46"/>
    <mergeCell ref="M5:Q7"/>
    <mergeCell ref="J42:M42"/>
    <mergeCell ref="E44:I44"/>
    <mergeCell ref="N45:Q45"/>
    <mergeCell ref="E35:I35"/>
    <mergeCell ref="N36:Q36"/>
    <mergeCell ref="N35:Q35"/>
    <mergeCell ref="D5:F7"/>
    <mergeCell ref="J44:M44"/>
    <mergeCell ref="N41:Q41"/>
    <mergeCell ref="A45:B45"/>
    <mergeCell ref="C45:D45"/>
    <mergeCell ref="J46:M46"/>
    <mergeCell ref="A28:D28"/>
    <mergeCell ref="J33:M33"/>
    <mergeCell ref="C35:D35"/>
    <mergeCell ref="A41:B41"/>
    <mergeCell ref="C41:D41"/>
    <mergeCell ref="A46:B46"/>
    <mergeCell ref="C44:D44"/>
    <mergeCell ref="A31:Q31"/>
    <mergeCell ref="C34:D34"/>
    <mergeCell ref="E43:I43"/>
    <mergeCell ref="A9:Q9"/>
    <mergeCell ref="C33:D33"/>
    <mergeCell ref="A39:Q39"/>
    <mergeCell ref="C42:D42"/>
    <mergeCell ref="E42:I42"/>
    <mergeCell ref="J43:M43"/>
    <mergeCell ref="E33:I33"/>
    <mergeCell ref="N34:Q34"/>
    <mergeCell ref="A36:B36"/>
  </mergeCells>
  <phoneticPr fontId="42" type="noConversion"/>
  <pageMargins left="0.2" right="0.2" top="0.25" bottom="0.25" header="0.5" footer="0.5"/>
  <pageSetup paperSize="8" scale="69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N43"/>
  <sheetViews>
    <sheetView showGridLines="0" workbookViewId="0">
      <pane ySplit="3" topLeftCell="A4" activePane="bottomLeft" state="frozen"/>
      <selection pane="bottomLeft" sqref="A1:AN2"/>
    </sheetView>
  </sheetViews>
  <sheetFormatPr defaultRowHeight="16.5" x14ac:dyDescent="0.3"/>
  <cols>
    <col min="1" max="33" width="4.25" customWidth="1"/>
    <col min="34" max="36" width="7.5" customWidth="1"/>
    <col min="37" max="39" width="8" customWidth="1"/>
    <col min="40" max="40" width="9" customWidth="1"/>
  </cols>
  <sheetData>
    <row r="1" spans="1:40" ht="27.95" customHeight="1" x14ac:dyDescent="0.3">
      <c r="A1" s="248" t="s">
        <v>349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249"/>
      <c r="R1" s="249"/>
      <c r="S1" s="249"/>
      <c r="T1" s="249"/>
      <c r="U1" s="249"/>
      <c r="V1" s="249"/>
      <c r="W1" s="249"/>
      <c r="X1" s="249"/>
      <c r="Y1" s="249"/>
      <c r="Z1" s="249"/>
      <c r="AA1" s="249"/>
      <c r="AB1" s="249"/>
      <c r="AC1" s="249"/>
      <c r="AD1" s="249"/>
      <c r="AE1" s="249"/>
      <c r="AF1" s="249"/>
      <c r="AG1" s="249"/>
      <c r="AH1" s="249"/>
      <c r="AI1" s="249"/>
      <c r="AJ1" s="249"/>
      <c r="AK1" s="249"/>
      <c r="AL1" s="249"/>
      <c r="AM1" s="249"/>
      <c r="AN1" s="249"/>
    </row>
    <row r="2" spans="1:40" ht="27.95" customHeight="1" x14ac:dyDescent="0.3">
      <c r="A2" s="249"/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249"/>
      <c r="S2" s="249"/>
      <c r="T2" s="249"/>
      <c r="U2" s="249"/>
      <c r="V2" s="249"/>
      <c r="W2" s="249"/>
      <c r="X2" s="249"/>
      <c r="Y2" s="249"/>
      <c r="Z2" s="249"/>
      <c r="AA2" s="249"/>
      <c r="AB2" s="249"/>
      <c r="AC2" s="249"/>
      <c r="AD2" s="249"/>
      <c r="AE2" s="249"/>
      <c r="AF2" s="249"/>
      <c r="AG2" s="249"/>
      <c r="AH2" s="249"/>
      <c r="AI2" s="249"/>
      <c r="AJ2" s="249"/>
      <c r="AK2" s="249"/>
      <c r="AL2" s="249"/>
      <c r="AM2" s="249"/>
      <c r="AN2" s="249"/>
    </row>
    <row r="3" spans="1:40" ht="23.1" customHeight="1" x14ac:dyDescent="0.3">
      <c r="A3" s="246" t="s">
        <v>350</v>
      </c>
      <c r="B3" s="247"/>
      <c r="C3" s="247"/>
      <c r="D3" s="247"/>
      <c r="E3" s="247"/>
      <c r="F3" s="247"/>
      <c r="G3" s="247"/>
      <c r="H3" s="247"/>
      <c r="I3" s="247"/>
      <c r="J3" s="247"/>
      <c r="K3" s="247"/>
      <c r="L3" s="247"/>
      <c r="M3" s="247"/>
      <c r="N3" s="247"/>
      <c r="O3" s="247"/>
      <c r="P3" s="247"/>
      <c r="Q3" s="247"/>
      <c r="R3" s="247"/>
      <c r="S3" s="247"/>
      <c r="T3" s="247"/>
      <c r="U3" s="247"/>
      <c r="V3" s="247"/>
      <c r="W3" s="247"/>
      <c r="X3" s="247"/>
      <c r="Y3" s="247"/>
      <c r="Z3" s="247"/>
      <c r="AA3" s="247"/>
      <c r="AB3" s="247"/>
      <c r="AC3" s="247"/>
      <c r="AD3" s="247"/>
      <c r="AE3" s="247"/>
      <c r="AF3" s="247"/>
      <c r="AG3" s="247"/>
      <c r="AH3" s="247"/>
      <c r="AI3" s="247"/>
      <c r="AJ3" s="247"/>
      <c r="AK3" s="247"/>
      <c r="AL3" s="247"/>
      <c r="AM3" s="247"/>
      <c r="AN3" s="247"/>
    </row>
    <row r="5" spans="1:40" x14ac:dyDescent="0.3">
      <c r="A5" s="242" t="s">
        <v>351</v>
      </c>
      <c r="B5" s="238"/>
      <c r="C5" s="238"/>
      <c r="D5" s="238"/>
      <c r="E5" s="238"/>
      <c r="F5" s="238"/>
      <c r="H5" s="240" t="s">
        <v>352</v>
      </c>
      <c r="I5" s="238"/>
      <c r="J5" s="238"/>
      <c r="K5" s="238"/>
      <c r="L5" s="238"/>
      <c r="M5" s="238"/>
      <c r="O5" s="237" t="str">
        <f>"권장 인스턴스"&amp;CHAR(10)&amp;TEXT(노량진_오브젝트매칭!N28,"0")&amp;"개"</f>
        <v>권장 인스턴스
511개</v>
      </c>
      <c r="P5" s="238"/>
      <c r="Q5" s="238"/>
      <c r="R5" s="238"/>
      <c r="S5" s="238"/>
      <c r="T5" s="238"/>
      <c r="V5" s="250" t="s">
        <v>353</v>
      </c>
      <c r="W5" s="238"/>
      <c r="X5" s="238"/>
      <c r="Y5" s="238"/>
      <c r="Z5" s="238"/>
      <c r="AA5" s="238"/>
      <c r="AC5" s="244" t="s">
        <v>354</v>
      </c>
      <c r="AD5" s="238"/>
      <c r="AE5" s="238"/>
      <c r="AF5" s="238"/>
      <c r="AG5" s="238"/>
      <c r="AH5" s="238"/>
      <c r="AI5" s="238"/>
      <c r="AJ5" s="238"/>
      <c r="AK5" s="238"/>
      <c r="AL5" s="238"/>
      <c r="AM5" s="238"/>
      <c r="AN5" s="238"/>
    </row>
    <row r="6" spans="1:40" x14ac:dyDescent="0.3">
      <c r="A6" s="243"/>
      <c r="B6" s="238"/>
      <c r="C6" s="238"/>
      <c r="D6" s="238"/>
      <c r="E6" s="238"/>
      <c r="F6" s="238"/>
      <c r="H6" s="241"/>
      <c r="I6" s="238"/>
      <c r="J6" s="238"/>
      <c r="K6" s="238"/>
      <c r="L6" s="238"/>
      <c r="M6" s="238"/>
      <c r="O6" s="239"/>
      <c r="P6" s="238"/>
      <c r="Q6" s="238"/>
      <c r="R6" s="238"/>
      <c r="S6" s="238"/>
      <c r="T6" s="238"/>
      <c r="V6" s="251"/>
      <c r="W6" s="238"/>
      <c r="X6" s="238"/>
      <c r="Y6" s="238"/>
      <c r="Z6" s="238"/>
      <c r="AA6" s="238"/>
      <c r="AC6" s="245"/>
      <c r="AD6" s="238"/>
      <c r="AE6" s="238"/>
      <c r="AF6" s="238"/>
      <c r="AG6" s="238"/>
      <c r="AH6" s="238"/>
      <c r="AI6" s="238"/>
      <c r="AJ6" s="238"/>
      <c r="AK6" s="238"/>
      <c r="AL6" s="238"/>
      <c r="AM6" s="238"/>
      <c r="AN6" s="238"/>
    </row>
    <row r="7" spans="1:40" x14ac:dyDescent="0.3">
      <c r="A7" s="243"/>
      <c r="B7" s="238"/>
      <c r="C7" s="238"/>
      <c r="D7" s="238"/>
      <c r="E7" s="238"/>
      <c r="F7" s="238"/>
      <c r="H7" s="241"/>
      <c r="I7" s="238"/>
      <c r="J7" s="238"/>
      <c r="K7" s="238"/>
      <c r="L7" s="238"/>
      <c r="M7" s="238"/>
      <c r="O7" s="239"/>
      <c r="P7" s="238"/>
      <c r="Q7" s="238"/>
      <c r="R7" s="238"/>
      <c r="S7" s="238"/>
      <c r="T7" s="238"/>
      <c r="V7" s="251"/>
      <c r="W7" s="238"/>
      <c r="X7" s="238"/>
      <c r="Y7" s="238"/>
      <c r="Z7" s="238"/>
      <c r="AA7" s="238"/>
      <c r="AC7" s="245"/>
      <c r="AD7" s="238"/>
      <c r="AE7" s="238"/>
      <c r="AF7" s="238"/>
      <c r="AG7" s="238"/>
      <c r="AH7" s="238"/>
      <c r="AI7" s="238"/>
      <c r="AJ7" s="238"/>
      <c r="AK7" s="238"/>
      <c r="AL7" s="238"/>
      <c r="AM7" s="238"/>
      <c r="AN7" s="238"/>
    </row>
    <row r="9" spans="1:40" ht="21.95" customHeight="1" x14ac:dyDescent="0.3">
      <c r="A9" s="135"/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5"/>
      <c r="Y9" s="135"/>
      <c r="Z9" s="135"/>
      <c r="AA9" s="135"/>
      <c r="AB9" s="135"/>
      <c r="AC9" s="135"/>
      <c r="AD9" s="135"/>
      <c r="AE9" s="135"/>
      <c r="AF9" s="135"/>
      <c r="AG9" s="135"/>
      <c r="AI9" s="227" t="s">
        <v>355</v>
      </c>
      <c r="AJ9" s="228"/>
      <c r="AK9" s="228"/>
      <c r="AL9" s="228"/>
      <c r="AM9" s="228"/>
      <c r="AN9" s="228"/>
    </row>
    <row r="10" spans="1:40" ht="21.95" customHeight="1" x14ac:dyDescent="0.3">
      <c r="A10" s="135"/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6" t="s">
        <v>288</v>
      </c>
      <c r="M10" s="135"/>
      <c r="N10" s="135"/>
      <c r="O10" s="136" t="s">
        <v>267</v>
      </c>
      <c r="P10" s="135"/>
      <c r="Q10" s="135"/>
      <c r="R10" s="135"/>
      <c r="S10" s="137" t="s">
        <v>356</v>
      </c>
      <c r="T10" s="135"/>
      <c r="U10" s="135"/>
      <c r="V10" s="135"/>
      <c r="W10" s="138" t="s">
        <v>225</v>
      </c>
      <c r="X10" s="135"/>
      <c r="Y10" s="135"/>
      <c r="Z10" s="135"/>
      <c r="AA10" s="137" t="s">
        <v>357</v>
      </c>
      <c r="AB10" s="135"/>
      <c r="AC10" s="135"/>
      <c r="AD10" s="136" t="s">
        <v>272</v>
      </c>
      <c r="AE10" s="135"/>
      <c r="AF10" s="135"/>
      <c r="AG10" s="135"/>
    </row>
    <row r="11" spans="1:40" ht="21.95" customHeight="1" x14ac:dyDescent="0.3">
      <c r="A11" s="135"/>
      <c r="B11" s="135"/>
      <c r="C11" s="135"/>
      <c r="D11" s="135"/>
      <c r="E11" s="135"/>
      <c r="F11" s="135"/>
      <c r="G11" s="139" t="s">
        <v>241</v>
      </c>
      <c r="H11" s="140" t="s">
        <v>105</v>
      </c>
      <c r="I11" s="140" t="s">
        <v>105</v>
      </c>
      <c r="J11" s="140" t="s">
        <v>105</v>
      </c>
      <c r="K11" s="140" t="s">
        <v>105</v>
      </c>
      <c r="L11" s="140" t="s">
        <v>105</v>
      </c>
      <c r="M11" s="140" t="s">
        <v>105</v>
      </c>
      <c r="N11" s="140" t="s">
        <v>132</v>
      </c>
      <c r="O11" s="140" t="s">
        <v>105</v>
      </c>
      <c r="P11" s="140" t="s">
        <v>105</v>
      </c>
      <c r="Q11" s="140" t="s">
        <v>105</v>
      </c>
      <c r="R11" s="140" t="s">
        <v>105</v>
      </c>
      <c r="S11" s="140" t="s">
        <v>105</v>
      </c>
      <c r="T11" s="140" t="s">
        <v>105</v>
      </c>
      <c r="U11" s="140" t="s">
        <v>105</v>
      </c>
      <c r="V11" s="140" t="s">
        <v>105</v>
      </c>
      <c r="W11" s="140" t="s">
        <v>105</v>
      </c>
      <c r="X11" s="140" t="s">
        <v>106</v>
      </c>
      <c r="Y11" s="140" t="s">
        <v>105</v>
      </c>
      <c r="Z11" s="140" t="s">
        <v>105</v>
      </c>
      <c r="AA11" s="140" t="s">
        <v>105</v>
      </c>
      <c r="AB11" s="140" t="s">
        <v>105</v>
      </c>
      <c r="AC11" s="140" t="s">
        <v>133</v>
      </c>
      <c r="AD11" s="140" t="s">
        <v>105</v>
      </c>
      <c r="AE11" s="140" t="s">
        <v>105</v>
      </c>
      <c r="AF11" s="135"/>
      <c r="AG11" s="135"/>
      <c r="AI11" s="263" t="s">
        <v>356</v>
      </c>
      <c r="AJ11" s="264"/>
      <c r="AK11" s="254" t="s">
        <v>358</v>
      </c>
      <c r="AL11" s="255"/>
      <c r="AM11" s="255"/>
      <c r="AN11" s="141" t="s">
        <v>359</v>
      </c>
    </row>
    <row r="12" spans="1:40" ht="21.95" customHeight="1" x14ac:dyDescent="0.3">
      <c r="A12" s="135"/>
      <c r="B12" s="135"/>
      <c r="C12" s="135"/>
      <c r="D12" s="135"/>
      <c r="E12" s="135"/>
      <c r="F12" s="135"/>
      <c r="G12" s="135"/>
      <c r="H12" s="140" t="s">
        <v>105</v>
      </c>
      <c r="I12" s="135"/>
      <c r="J12" s="136" t="s">
        <v>118</v>
      </c>
      <c r="K12" s="135"/>
      <c r="L12" s="135"/>
      <c r="M12" s="135"/>
      <c r="N12" s="136" t="s">
        <v>272</v>
      </c>
      <c r="O12" s="135"/>
      <c r="P12" s="135"/>
      <c r="Q12" s="137" t="s">
        <v>357</v>
      </c>
      <c r="R12" s="135"/>
      <c r="S12" s="135"/>
      <c r="T12" s="135"/>
      <c r="U12" s="136" t="s">
        <v>118</v>
      </c>
      <c r="V12" s="135"/>
      <c r="W12" s="135"/>
      <c r="X12" s="135"/>
      <c r="Y12" s="139" t="s">
        <v>241</v>
      </c>
      <c r="Z12" s="135"/>
      <c r="AA12" s="135"/>
      <c r="AB12" s="135"/>
      <c r="AC12" s="137" t="s">
        <v>356</v>
      </c>
      <c r="AD12" s="136" t="s">
        <v>118</v>
      </c>
      <c r="AE12" s="140" t="s">
        <v>105</v>
      </c>
      <c r="AF12" s="135"/>
      <c r="AG12" s="135"/>
      <c r="AI12" s="263" t="s">
        <v>357</v>
      </c>
      <c r="AJ12" s="264"/>
      <c r="AK12" s="254" t="s">
        <v>360</v>
      </c>
      <c r="AL12" s="255"/>
      <c r="AM12" s="255"/>
      <c r="AN12" s="141" t="s">
        <v>361</v>
      </c>
    </row>
    <row r="13" spans="1:40" ht="21.95" customHeight="1" x14ac:dyDescent="0.3">
      <c r="A13" s="135"/>
      <c r="B13" s="135"/>
      <c r="C13" s="135"/>
      <c r="D13" s="135"/>
      <c r="E13" s="135"/>
      <c r="F13" s="135"/>
      <c r="G13" s="135"/>
      <c r="H13" s="140" t="s">
        <v>105</v>
      </c>
      <c r="I13" s="138" t="s">
        <v>225</v>
      </c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  <c r="AA13" s="135"/>
      <c r="AB13" s="135"/>
      <c r="AC13" s="135"/>
      <c r="AD13" s="135"/>
      <c r="AE13" s="140" t="s">
        <v>105</v>
      </c>
      <c r="AF13" s="135"/>
      <c r="AG13" s="135"/>
      <c r="AI13" s="252" t="s">
        <v>118</v>
      </c>
      <c r="AJ13" s="253"/>
      <c r="AK13" s="254" t="s">
        <v>362</v>
      </c>
      <c r="AL13" s="255"/>
      <c r="AM13" s="255"/>
      <c r="AN13" s="141" t="s">
        <v>363</v>
      </c>
    </row>
    <row r="14" spans="1:40" ht="21.95" customHeight="1" x14ac:dyDescent="0.3">
      <c r="A14" s="135"/>
      <c r="B14" s="135"/>
      <c r="C14" s="135"/>
      <c r="D14" s="135"/>
      <c r="E14" s="135"/>
      <c r="F14" s="135"/>
      <c r="G14" s="135"/>
      <c r="H14" s="140" t="s">
        <v>105</v>
      </c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40" t="s">
        <v>107</v>
      </c>
      <c r="AF14" s="138" t="s">
        <v>277</v>
      </c>
      <c r="AG14" s="135"/>
      <c r="AI14" s="267" t="s">
        <v>241</v>
      </c>
      <c r="AJ14" s="268"/>
      <c r="AK14" s="254" t="s">
        <v>364</v>
      </c>
      <c r="AL14" s="255"/>
      <c r="AM14" s="255"/>
      <c r="AN14" s="141" t="s">
        <v>365</v>
      </c>
    </row>
    <row r="15" spans="1:40" ht="21.95" customHeight="1" x14ac:dyDescent="0.3">
      <c r="A15" s="135"/>
      <c r="B15" s="135"/>
      <c r="C15" s="135"/>
      <c r="D15" s="135"/>
      <c r="E15" s="135"/>
      <c r="F15" s="135"/>
      <c r="G15" s="136" t="s">
        <v>272</v>
      </c>
      <c r="H15" s="140" t="s">
        <v>110</v>
      </c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5"/>
      <c r="AA15" s="135"/>
      <c r="AB15" s="135"/>
      <c r="AC15" s="135"/>
      <c r="AD15" s="138" t="s">
        <v>225</v>
      </c>
      <c r="AE15" s="140" t="s">
        <v>105</v>
      </c>
      <c r="AF15" s="135"/>
      <c r="AG15" s="135"/>
      <c r="AI15" s="261" t="s">
        <v>225</v>
      </c>
      <c r="AJ15" s="262"/>
      <c r="AK15" s="254" t="s">
        <v>366</v>
      </c>
      <c r="AL15" s="255"/>
      <c r="AM15" s="255"/>
      <c r="AN15" s="141" t="s">
        <v>367</v>
      </c>
    </row>
    <row r="16" spans="1:40" ht="21.95" customHeight="1" x14ac:dyDescent="0.3">
      <c r="A16" s="135"/>
      <c r="B16" s="135"/>
      <c r="C16" s="135"/>
      <c r="D16" s="135"/>
      <c r="E16" s="135"/>
      <c r="F16" s="135"/>
      <c r="G16" s="135"/>
      <c r="H16" s="140" t="s">
        <v>105</v>
      </c>
      <c r="I16" s="135"/>
      <c r="J16" s="135"/>
      <c r="K16" s="135"/>
      <c r="L16" s="135"/>
      <c r="M16" s="135"/>
      <c r="N16" s="135"/>
      <c r="O16" s="135"/>
      <c r="P16" s="135"/>
      <c r="Q16" s="135"/>
      <c r="R16" s="135"/>
      <c r="S16" s="135"/>
      <c r="T16" s="140" t="s">
        <v>111</v>
      </c>
      <c r="U16" s="135"/>
      <c r="V16" s="135"/>
      <c r="W16" s="135"/>
      <c r="X16" s="135"/>
      <c r="Y16" s="135"/>
      <c r="Z16" s="136" t="s">
        <v>118</v>
      </c>
      <c r="AA16" s="135"/>
      <c r="AB16" s="137" t="s">
        <v>357</v>
      </c>
      <c r="AC16" s="135"/>
      <c r="AD16" s="135"/>
      <c r="AE16" s="140" t="s">
        <v>105</v>
      </c>
      <c r="AF16" s="137" t="s">
        <v>357</v>
      </c>
      <c r="AG16" s="135"/>
      <c r="AI16" s="261" t="s">
        <v>277</v>
      </c>
      <c r="AJ16" s="262"/>
      <c r="AK16" s="254" t="s">
        <v>368</v>
      </c>
      <c r="AL16" s="255"/>
      <c r="AM16" s="255"/>
      <c r="AN16" s="141" t="s">
        <v>369</v>
      </c>
    </row>
    <row r="17" spans="1:40" ht="21.95" customHeight="1" x14ac:dyDescent="0.3">
      <c r="A17" s="135"/>
      <c r="B17" s="135"/>
      <c r="C17" s="135"/>
      <c r="D17" s="135"/>
      <c r="E17" s="135"/>
      <c r="F17" s="135"/>
      <c r="G17" s="135"/>
      <c r="H17" s="140" t="s">
        <v>105</v>
      </c>
      <c r="I17" s="136" t="s">
        <v>247</v>
      </c>
      <c r="J17" s="135"/>
      <c r="K17" s="135"/>
      <c r="L17" s="135"/>
      <c r="M17" s="135"/>
      <c r="N17" s="135"/>
      <c r="O17" s="135"/>
      <c r="P17" s="135"/>
      <c r="Q17" s="135"/>
      <c r="R17" s="135"/>
      <c r="S17" s="138" t="s">
        <v>225</v>
      </c>
      <c r="T17" s="140" t="s">
        <v>112</v>
      </c>
      <c r="U17" s="135"/>
      <c r="V17" s="135"/>
      <c r="W17" s="135"/>
      <c r="X17" s="142" t="s">
        <v>283</v>
      </c>
      <c r="Y17" s="143" t="s">
        <v>116</v>
      </c>
      <c r="Z17" s="140" t="s">
        <v>136</v>
      </c>
      <c r="AA17" s="140" t="s">
        <v>105</v>
      </c>
      <c r="AB17" s="140" t="s">
        <v>105</v>
      </c>
      <c r="AC17" s="140" t="s">
        <v>105</v>
      </c>
      <c r="AD17" s="140" t="s">
        <v>105</v>
      </c>
      <c r="AE17" s="140" t="s">
        <v>105</v>
      </c>
      <c r="AF17" s="137" t="s">
        <v>356</v>
      </c>
      <c r="AG17" s="135"/>
      <c r="AI17" s="252" t="s">
        <v>272</v>
      </c>
      <c r="AJ17" s="253"/>
      <c r="AK17" s="254" t="s">
        <v>370</v>
      </c>
      <c r="AL17" s="255"/>
      <c r="AM17" s="255"/>
      <c r="AN17" s="141" t="s">
        <v>369</v>
      </c>
    </row>
    <row r="18" spans="1:40" ht="21.95" customHeight="1" x14ac:dyDescent="0.3">
      <c r="A18" s="135"/>
      <c r="B18" s="135"/>
      <c r="C18" s="135"/>
      <c r="D18" s="135"/>
      <c r="E18" s="135"/>
      <c r="F18" s="135"/>
      <c r="G18" s="135"/>
      <c r="H18" s="140" t="s">
        <v>105</v>
      </c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40" t="s">
        <v>105</v>
      </c>
      <c r="U18" s="135"/>
      <c r="V18" s="135"/>
      <c r="W18" s="135"/>
      <c r="X18" s="136" t="s">
        <v>247</v>
      </c>
      <c r="Y18" s="143" t="s">
        <v>108</v>
      </c>
      <c r="Z18" s="135"/>
      <c r="AA18" s="137" t="s">
        <v>356</v>
      </c>
      <c r="AB18" s="135"/>
      <c r="AC18" s="139" t="s">
        <v>241</v>
      </c>
      <c r="AD18" s="135"/>
      <c r="AE18" s="135"/>
      <c r="AF18" s="135"/>
      <c r="AG18" s="135"/>
      <c r="AI18" s="252" t="s">
        <v>288</v>
      </c>
      <c r="AJ18" s="253"/>
      <c r="AK18" s="254" t="s">
        <v>371</v>
      </c>
      <c r="AL18" s="255"/>
      <c r="AM18" s="255"/>
      <c r="AN18" s="141" t="s">
        <v>367</v>
      </c>
    </row>
    <row r="19" spans="1:40" ht="21.95" customHeight="1" x14ac:dyDescent="0.3">
      <c r="A19" s="135"/>
      <c r="B19" s="135"/>
      <c r="C19" s="135"/>
      <c r="D19" s="135"/>
      <c r="E19" s="135"/>
      <c r="F19" s="135"/>
      <c r="G19" s="136" t="s">
        <v>267</v>
      </c>
      <c r="H19" s="140" t="s">
        <v>105</v>
      </c>
      <c r="I19" s="135"/>
      <c r="J19" s="135"/>
      <c r="K19" s="139" t="s">
        <v>241</v>
      </c>
      <c r="L19" s="135"/>
      <c r="M19" s="135"/>
      <c r="N19" s="135"/>
      <c r="O19" s="136" t="s">
        <v>288</v>
      </c>
      <c r="P19" s="135"/>
      <c r="Q19" s="135"/>
      <c r="R19" s="135"/>
      <c r="S19" s="142" t="s">
        <v>283</v>
      </c>
      <c r="T19" s="140" t="s">
        <v>105</v>
      </c>
      <c r="U19" s="138" t="s">
        <v>277</v>
      </c>
      <c r="V19" s="135"/>
      <c r="W19" s="135"/>
      <c r="X19" s="135"/>
      <c r="Y19" s="143" t="s">
        <v>105</v>
      </c>
      <c r="Z19" s="137" t="s">
        <v>357</v>
      </c>
      <c r="AA19" s="135"/>
      <c r="AB19" s="135"/>
      <c r="AC19" s="135"/>
      <c r="AD19" s="135"/>
      <c r="AE19" s="135"/>
      <c r="AF19" s="135"/>
      <c r="AG19" s="135"/>
      <c r="AI19" s="252" t="s">
        <v>247</v>
      </c>
      <c r="AJ19" s="253"/>
      <c r="AK19" s="254" t="s">
        <v>249</v>
      </c>
      <c r="AL19" s="255"/>
      <c r="AM19" s="255"/>
      <c r="AN19" s="141" t="s">
        <v>367</v>
      </c>
    </row>
    <row r="20" spans="1:40" ht="21.95" customHeight="1" x14ac:dyDescent="0.3">
      <c r="A20" s="135"/>
      <c r="B20" s="135"/>
      <c r="C20" s="135"/>
      <c r="D20" s="135"/>
      <c r="E20" s="135"/>
      <c r="F20" s="135"/>
      <c r="G20" s="138" t="s">
        <v>277</v>
      </c>
      <c r="H20" s="140" t="s">
        <v>105</v>
      </c>
      <c r="I20" s="140" t="s">
        <v>138</v>
      </c>
      <c r="J20" s="140" t="s">
        <v>105</v>
      </c>
      <c r="K20" s="140" t="s">
        <v>105</v>
      </c>
      <c r="L20" s="140" t="s">
        <v>105</v>
      </c>
      <c r="M20" s="140" t="s">
        <v>113</v>
      </c>
      <c r="N20" s="140" t="s">
        <v>105</v>
      </c>
      <c r="O20" s="140" t="s">
        <v>105</v>
      </c>
      <c r="P20" s="140" t="s">
        <v>105</v>
      </c>
      <c r="Q20" s="140" t="s">
        <v>105</v>
      </c>
      <c r="R20" s="140" t="s">
        <v>105</v>
      </c>
      <c r="S20" s="140" t="s">
        <v>105</v>
      </c>
      <c r="T20" s="140" t="s">
        <v>105</v>
      </c>
      <c r="U20" s="135"/>
      <c r="V20" s="135"/>
      <c r="W20" s="135"/>
      <c r="X20" s="137" t="s">
        <v>356</v>
      </c>
      <c r="Y20" s="143" t="s">
        <v>105</v>
      </c>
      <c r="Z20" s="135"/>
      <c r="AA20" s="135"/>
      <c r="AB20" s="135"/>
      <c r="AC20" s="135"/>
      <c r="AD20" s="135"/>
      <c r="AE20" s="135"/>
      <c r="AF20" s="135"/>
      <c r="AG20" s="135"/>
      <c r="AI20" s="252" t="s">
        <v>267</v>
      </c>
      <c r="AJ20" s="253"/>
      <c r="AK20" s="254" t="s">
        <v>269</v>
      </c>
      <c r="AL20" s="255"/>
      <c r="AM20" s="255"/>
      <c r="AN20" s="141" t="s">
        <v>369</v>
      </c>
    </row>
    <row r="21" spans="1:40" ht="21.95" customHeight="1" x14ac:dyDescent="0.3">
      <c r="A21" s="135"/>
      <c r="B21" s="135"/>
      <c r="C21" s="135"/>
      <c r="D21" s="135"/>
      <c r="E21" s="135"/>
      <c r="F21" s="135"/>
      <c r="G21" s="135"/>
      <c r="H21" s="135"/>
      <c r="I21" s="136" t="s">
        <v>118</v>
      </c>
      <c r="J21" s="135"/>
      <c r="K21" s="135"/>
      <c r="L21" s="135"/>
      <c r="M21" s="138" t="s">
        <v>225</v>
      </c>
      <c r="N21" s="135"/>
      <c r="O21" s="135"/>
      <c r="P21" s="135"/>
      <c r="Q21" s="136" t="s">
        <v>272</v>
      </c>
      <c r="R21" s="135"/>
      <c r="S21" s="135"/>
      <c r="T21" s="135"/>
      <c r="U21" s="135"/>
      <c r="V21" s="135"/>
      <c r="W21" s="135"/>
      <c r="X21" s="135"/>
      <c r="Y21" s="143" t="s">
        <v>105</v>
      </c>
      <c r="Z21" s="137" t="s">
        <v>357</v>
      </c>
      <c r="AA21" s="135"/>
      <c r="AB21" s="135"/>
      <c r="AC21" s="135"/>
      <c r="AD21" s="135"/>
      <c r="AE21" s="135"/>
      <c r="AF21" s="135"/>
      <c r="AG21" s="135"/>
      <c r="AI21" s="265" t="s">
        <v>283</v>
      </c>
      <c r="AJ21" s="266"/>
      <c r="AK21" s="254" t="s">
        <v>285</v>
      </c>
      <c r="AL21" s="255"/>
      <c r="AM21" s="255"/>
      <c r="AN21" s="141" t="s">
        <v>369</v>
      </c>
    </row>
    <row r="22" spans="1:40" ht="21.95" customHeight="1" x14ac:dyDescent="0.3">
      <c r="A22" s="135"/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5"/>
      <c r="R22" s="135"/>
      <c r="S22" s="135"/>
      <c r="T22" s="135"/>
      <c r="U22" s="135"/>
      <c r="V22" s="135"/>
      <c r="W22" s="135"/>
      <c r="X22" s="137" t="s">
        <v>356</v>
      </c>
      <c r="Y22" s="143" t="s">
        <v>105</v>
      </c>
      <c r="Z22" s="135"/>
      <c r="AA22" s="138" t="s">
        <v>225</v>
      </c>
      <c r="AB22" s="135"/>
      <c r="AC22" s="138" t="s">
        <v>277</v>
      </c>
      <c r="AD22" s="135"/>
      <c r="AE22" s="135"/>
      <c r="AF22" s="135"/>
      <c r="AG22" s="135"/>
      <c r="AI22" s="265" t="s">
        <v>372</v>
      </c>
      <c r="AJ22" s="266"/>
      <c r="AK22" s="254" t="s">
        <v>373</v>
      </c>
      <c r="AL22" s="255"/>
      <c r="AM22" s="255"/>
      <c r="AN22" s="141" t="s">
        <v>374</v>
      </c>
    </row>
    <row r="23" spans="1:40" ht="21.95" customHeight="1" x14ac:dyDescent="0.3">
      <c r="A23" s="135"/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6" t="s">
        <v>118</v>
      </c>
      <c r="Y23" s="143" t="s">
        <v>105</v>
      </c>
      <c r="Z23" s="143" t="s">
        <v>105</v>
      </c>
      <c r="AA23" s="143" t="s">
        <v>105</v>
      </c>
      <c r="AB23" s="143" t="s">
        <v>105</v>
      </c>
      <c r="AC23" s="143" t="s">
        <v>118</v>
      </c>
      <c r="AD23" s="135"/>
      <c r="AE23" s="135"/>
      <c r="AF23" s="135"/>
      <c r="AG23" s="135"/>
    </row>
    <row r="24" spans="1:40" ht="21.95" customHeight="1" x14ac:dyDescent="0.3">
      <c r="A24" s="135"/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5"/>
      <c r="W24" s="135"/>
      <c r="X24" s="135"/>
      <c r="Y24" s="135"/>
      <c r="Z24" s="139" t="s">
        <v>241</v>
      </c>
      <c r="AA24" s="135"/>
      <c r="AB24" s="136" t="s">
        <v>288</v>
      </c>
      <c r="AC24" s="135"/>
      <c r="AD24" s="135"/>
      <c r="AE24" s="135"/>
      <c r="AF24" s="135"/>
      <c r="AG24" s="135"/>
    </row>
    <row r="25" spans="1:40" ht="21.95" customHeight="1" x14ac:dyDescent="0.3">
      <c r="A25" s="135"/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</row>
    <row r="27" spans="1:40" x14ac:dyDescent="0.3">
      <c r="A27" s="227" t="s">
        <v>375</v>
      </c>
      <c r="B27" s="228"/>
      <c r="C27" s="228"/>
      <c r="D27" s="228"/>
      <c r="E27" s="228"/>
      <c r="F27" s="228"/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8"/>
      <c r="Z27" s="228"/>
      <c r="AA27" s="228"/>
      <c r="AB27" s="228"/>
      <c r="AC27" s="228"/>
      <c r="AD27" s="228"/>
      <c r="AE27" s="228"/>
      <c r="AF27" s="228"/>
      <c r="AG27" s="228"/>
      <c r="AH27" s="228"/>
      <c r="AI27" s="228"/>
      <c r="AJ27" s="228"/>
      <c r="AK27" s="228"/>
      <c r="AL27" s="228"/>
      <c r="AM27" s="228"/>
      <c r="AN27" s="228"/>
    </row>
    <row r="29" spans="1:40" x14ac:dyDescent="0.3">
      <c r="A29" s="233" t="s">
        <v>142</v>
      </c>
      <c r="B29" s="228"/>
      <c r="C29" s="228"/>
      <c r="D29" s="233" t="s">
        <v>376</v>
      </c>
      <c r="E29" s="228"/>
      <c r="F29" s="228"/>
      <c r="G29" s="233" t="s">
        <v>74</v>
      </c>
      <c r="H29" s="228"/>
      <c r="I29" s="228"/>
      <c r="J29" s="233" t="s">
        <v>73</v>
      </c>
      <c r="K29" s="228"/>
      <c r="L29" s="228"/>
      <c r="M29" s="233" t="s">
        <v>377</v>
      </c>
      <c r="N29" s="228"/>
      <c r="O29" s="228"/>
      <c r="P29" s="228"/>
      <c r="Q29" s="233" t="s">
        <v>378</v>
      </c>
      <c r="R29" s="228"/>
      <c r="S29" s="228"/>
      <c r="T29" s="228"/>
      <c r="U29" s="228"/>
      <c r="V29" s="228"/>
      <c r="W29" s="228"/>
      <c r="X29" s="228"/>
      <c r="Y29" s="228"/>
      <c r="Z29" s="233" t="s">
        <v>379</v>
      </c>
      <c r="AA29" s="228"/>
      <c r="AB29" s="228"/>
      <c r="AC29" s="228"/>
      <c r="AD29" s="228"/>
      <c r="AE29" s="228"/>
      <c r="AF29" s="228"/>
      <c r="AG29" s="228"/>
      <c r="AH29" s="228"/>
      <c r="AI29" s="228"/>
      <c r="AJ29" s="228"/>
      <c r="AK29" s="228"/>
      <c r="AL29" s="228"/>
      <c r="AM29" s="228"/>
      <c r="AN29" s="228"/>
    </row>
    <row r="30" spans="1:40" ht="29.1" customHeight="1" x14ac:dyDescent="0.3">
      <c r="A30" s="229" t="s">
        <v>197</v>
      </c>
      <c r="B30" s="230"/>
      <c r="C30" s="230"/>
      <c r="D30" s="229" t="s">
        <v>380</v>
      </c>
      <c r="E30" s="230"/>
      <c r="F30" s="230"/>
      <c r="G30" s="229">
        <v>21</v>
      </c>
      <c r="H30" s="230"/>
      <c r="I30" s="230"/>
      <c r="J30" s="229" t="s">
        <v>381</v>
      </c>
      <c r="K30" s="230"/>
      <c r="L30" s="230"/>
      <c r="M30" s="258">
        <f>노량진_오브젝트매칭!I28</f>
        <v>170</v>
      </c>
      <c r="N30" s="230"/>
      <c r="O30" s="230"/>
      <c r="P30" s="230"/>
      <c r="Q30" s="234" t="s">
        <v>382</v>
      </c>
      <c r="R30" s="230"/>
      <c r="S30" s="230"/>
      <c r="T30" s="230"/>
      <c r="U30" s="230"/>
      <c r="V30" s="230"/>
      <c r="W30" s="230"/>
      <c r="X30" s="230"/>
      <c r="Y30" s="230"/>
      <c r="Z30" s="234" t="s">
        <v>383</v>
      </c>
      <c r="AA30" s="230"/>
      <c r="AB30" s="230"/>
      <c r="AC30" s="230"/>
      <c r="AD30" s="230"/>
      <c r="AE30" s="230"/>
      <c r="AF30" s="230"/>
      <c r="AG30" s="230"/>
      <c r="AH30" s="230"/>
      <c r="AI30" s="230"/>
      <c r="AJ30" s="230"/>
      <c r="AK30" s="230"/>
      <c r="AL30" s="230"/>
      <c r="AM30" s="230"/>
      <c r="AN30" s="230"/>
    </row>
    <row r="31" spans="1:40" ht="29.1" customHeight="1" x14ac:dyDescent="0.3">
      <c r="A31" s="235" t="s">
        <v>136</v>
      </c>
      <c r="B31" s="232"/>
      <c r="C31" s="232"/>
      <c r="D31" s="235" t="s">
        <v>384</v>
      </c>
      <c r="E31" s="232"/>
      <c r="F31" s="232"/>
      <c r="G31" s="235">
        <v>26</v>
      </c>
      <c r="H31" s="232"/>
      <c r="I31" s="232"/>
      <c r="J31" s="235" t="s">
        <v>385</v>
      </c>
      <c r="K31" s="232"/>
      <c r="L31" s="232"/>
      <c r="M31" s="260">
        <f>노량진_오브젝트매칭!J28</f>
        <v>78</v>
      </c>
      <c r="N31" s="232"/>
      <c r="O31" s="232"/>
      <c r="P31" s="232"/>
      <c r="Q31" s="231" t="s">
        <v>386</v>
      </c>
      <c r="R31" s="232"/>
      <c r="S31" s="232"/>
      <c r="T31" s="232"/>
      <c r="U31" s="232"/>
      <c r="V31" s="232"/>
      <c r="W31" s="232"/>
      <c r="X31" s="232"/>
      <c r="Y31" s="232"/>
      <c r="Z31" s="231" t="s">
        <v>387</v>
      </c>
      <c r="AA31" s="232"/>
      <c r="AB31" s="232"/>
      <c r="AC31" s="232"/>
      <c r="AD31" s="232"/>
      <c r="AE31" s="232"/>
      <c r="AF31" s="232"/>
      <c r="AG31" s="232"/>
      <c r="AH31" s="232"/>
      <c r="AI31" s="232"/>
      <c r="AJ31" s="232"/>
      <c r="AK31" s="232"/>
      <c r="AL31" s="232"/>
      <c r="AM31" s="232"/>
      <c r="AN31" s="232"/>
    </row>
    <row r="32" spans="1:40" ht="29.1" customHeight="1" x14ac:dyDescent="0.3">
      <c r="A32" s="229" t="s">
        <v>133</v>
      </c>
      <c r="B32" s="230"/>
      <c r="C32" s="230"/>
      <c r="D32" s="229" t="s">
        <v>388</v>
      </c>
      <c r="E32" s="230"/>
      <c r="F32" s="230"/>
      <c r="G32" s="229">
        <v>30</v>
      </c>
      <c r="H32" s="230"/>
      <c r="I32" s="230"/>
      <c r="J32" s="229" t="s">
        <v>389</v>
      </c>
      <c r="K32" s="230"/>
      <c r="L32" s="230"/>
      <c r="M32" s="258">
        <f>노량진_오브젝트매칭!K28</f>
        <v>90</v>
      </c>
      <c r="N32" s="230"/>
      <c r="O32" s="230"/>
      <c r="P32" s="230"/>
      <c r="Q32" s="234" t="s">
        <v>390</v>
      </c>
      <c r="R32" s="230"/>
      <c r="S32" s="230"/>
      <c r="T32" s="230"/>
      <c r="U32" s="230"/>
      <c r="V32" s="230"/>
      <c r="W32" s="230"/>
      <c r="X32" s="230"/>
      <c r="Y32" s="230"/>
      <c r="Z32" s="234" t="s">
        <v>391</v>
      </c>
      <c r="AA32" s="230"/>
      <c r="AB32" s="230"/>
      <c r="AC32" s="230"/>
      <c r="AD32" s="230"/>
      <c r="AE32" s="230"/>
      <c r="AF32" s="230"/>
      <c r="AG32" s="230"/>
      <c r="AH32" s="230"/>
      <c r="AI32" s="230"/>
      <c r="AJ32" s="230"/>
      <c r="AK32" s="230"/>
      <c r="AL32" s="230"/>
      <c r="AM32" s="230"/>
      <c r="AN32" s="230"/>
    </row>
    <row r="33" spans="1:40" ht="29.1" customHeight="1" x14ac:dyDescent="0.3">
      <c r="A33" s="235" t="s">
        <v>132</v>
      </c>
      <c r="B33" s="232"/>
      <c r="C33" s="232"/>
      <c r="D33" s="235" t="s">
        <v>392</v>
      </c>
      <c r="E33" s="232"/>
      <c r="F33" s="232"/>
      <c r="G33" s="235">
        <v>32</v>
      </c>
      <c r="H33" s="232"/>
      <c r="I33" s="232"/>
      <c r="J33" s="235" t="s">
        <v>393</v>
      </c>
      <c r="K33" s="232"/>
      <c r="L33" s="232"/>
      <c r="M33" s="260">
        <f>노량진_오브젝트매칭!L28</f>
        <v>84</v>
      </c>
      <c r="N33" s="232"/>
      <c r="O33" s="232"/>
      <c r="P33" s="232"/>
      <c r="Q33" s="231" t="s">
        <v>394</v>
      </c>
      <c r="R33" s="232"/>
      <c r="S33" s="232"/>
      <c r="T33" s="232"/>
      <c r="U33" s="232"/>
      <c r="V33" s="232"/>
      <c r="W33" s="232"/>
      <c r="X33" s="232"/>
      <c r="Y33" s="232"/>
      <c r="Z33" s="231" t="s">
        <v>395</v>
      </c>
      <c r="AA33" s="232"/>
      <c r="AB33" s="232"/>
      <c r="AC33" s="232"/>
      <c r="AD33" s="232"/>
      <c r="AE33" s="232"/>
      <c r="AF33" s="232"/>
      <c r="AG33" s="232"/>
      <c r="AH33" s="232"/>
      <c r="AI33" s="232"/>
      <c r="AJ33" s="232"/>
      <c r="AK33" s="232"/>
      <c r="AL33" s="232"/>
      <c r="AM33" s="232"/>
      <c r="AN33" s="232"/>
    </row>
    <row r="34" spans="1:40" ht="29.1" customHeight="1" x14ac:dyDescent="0.3">
      <c r="A34" s="229" t="s">
        <v>138</v>
      </c>
      <c r="B34" s="230"/>
      <c r="C34" s="230"/>
      <c r="D34" s="229" t="s">
        <v>396</v>
      </c>
      <c r="E34" s="230"/>
      <c r="F34" s="230"/>
      <c r="G34" s="229">
        <v>33</v>
      </c>
      <c r="H34" s="230"/>
      <c r="I34" s="230"/>
      <c r="J34" s="229" t="s">
        <v>397</v>
      </c>
      <c r="K34" s="230"/>
      <c r="L34" s="230"/>
      <c r="M34" s="258">
        <f>노량진_오브젝트매칭!M28</f>
        <v>89</v>
      </c>
      <c r="N34" s="230"/>
      <c r="O34" s="230"/>
      <c r="P34" s="230"/>
      <c r="Q34" s="234" t="s">
        <v>398</v>
      </c>
      <c r="R34" s="230"/>
      <c r="S34" s="230"/>
      <c r="T34" s="230"/>
      <c r="U34" s="230"/>
      <c r="V34" s="230"/>
      <c r="W34" s="230"/>
      <c r="X34" s="230"/>
      <c r="Y34" s="230"/>
      <c r="Z34" s="234" t="s">
        <v>399</v>
      </c>
      <c r="AA34" s="230"/>
      <c r="AB34" s="230"/>
      <c r="AC34" s="230"/>
      <c r="AD34" s="230"/>
      <c r="AE34" s="230"/>
      <c r="AF34" s="230"/>
      <c r="AG34" s="230"/>
      <c r="AH34" s="230"/>
      <c r="AI34" s="230"/>
      <c r="AJ34" s="230"/>
      <c r="AK34" s="230"/>
      <c r="AL34" s="230"/>
      <c r="AM34" s="230"/>
      <c r="AN34" s="230"/>
    </row>
    <row r="37" spans="1:40" x14ac:dyDescent="0.3">
      <c r="A37" s="256" t="s">
        <v>400</v>
      </c>
      <c r="B37" s="257"/>
      <c r="C37" s="257"/>
      <c r="D37" s="257"/>
      <c r="E37" s="257"/>
      <c r="F37" s="257"/>
      <c r="G37" s="257"/>
      <c r="H37" s="257"/>
      <c r="I37" s="257"/>
      <c r="J37" s="257"/>
      <c r="K37" s="257"/>
      <c r="L37" s="257"/>
      <c r="M37" s="257"/>
      <c r="N37" s="257"/>
      <c r="O37" s="257"/>
      <c r="P37" s="257"/>
      <c r="Q37" s="257"/>
      <c r="R37" s="257"/>
      <c r="S37" s="257"/>
      <c r="T37" s="257"/>
      <c r="U37" s="257"/>
      <c r="V37" s="257"/>
      <c r="W37" s="257"/>
      <c r="X37" s="257"/>
      <c r="Y37" s="257"/>
      <c r="Z37" s="257"/>
      <c r="AA37" s="257"/>
      <c r="AB37" s="257"/>
      <c r="AC37" s="257"/>
      <c r="AD37" s="257"/>
      <c r="AE37" s="257"/>
      <c r="AF37" s="257"/>
      <c r="AG37" s="257"/>
      <c r="AH37" s="257"/>
      <c r="AI37" s="257"/>
      <c r="AJ37" s="257"/>
      <c r="AK37" s="257"/>
      <c r="AL37" s="257"/>
      <c r="AM37" s="257"/>
      <c r="AN37" s="257"/>
    </row>
    <row r="38" spans="1:40" x14ac:dyDescent="0.3">
      <c r="A38" s="257"/>
      <c r="B38" s="257"/>
      <c r="C38" s="257"/>
      <c r="D38" s="257"/>
      <c r="E38" s="257"/>
      <c r="F38" s="257"/>
      <c r="G38" s="257"/>
      <c r="H38" s="257"/>
      <c r="I38" s="257"/>
      <c r="J38" s="257"/>
      <c r="K38" s="257"/>
      <c r="L38" s="257"/>
      <c r="M38" s="257"/>
      <c r="N38" s="257"/>
      <c r="O38" s="257"/>
      <c r="P38" s="257"/>
      <c r="Q38" s="257"/>
      <c r="R38" s="257"/>
      <c r="S38" s="257"/>
      <c r="T38" s="257"/>
      <c r="U38" s="257"/>
      <c r="V38" s="257"/>
      <c r="W38" s="257"/>
      <c r="X38" s="257"/>
      <c r="Y38" s="257"/>
      <c r="Z38" s="257"/>
      <c r="AA38" s="257"/>
      <c r="AB38" s="257"/>
      <c r="AC38" s="257"/>
      <c r="AD38" s="257"/>
      <c r="AE38" s="257"/>
      <c r="AF38" s="257"/>
      <c r="AG38" s="257"/>
      <c r="AH38" s="257"/>
      <c r="AI38" s="257"/>
      <c r="AJ38" s="257"/>
      <c r="AK38" s="257"/>
      <c r="AL38" s="257"/>
      <c r="AM38" s="257"/>
      <c r="AN38" s="257"/>
    </row>
    <row r="39" spans="1:40" x14ac:dyDescent="0.3">
      <c r="A39" s="257"/>
      <c r="B39" s="257"/>
      <c r="C39" s="257"/>
      <c r="D39" s="257"/>
      <c r="E39" s="257"/>
      <c r="F39" s="257"/>
      <c r="G39" s="257"/>
      <c r="H39" s="257"/>
      <c r="I39" s="257"/>
      <c r="J39" s="257"/>
      <c r="K39" s="257"/>
      <c r="L39" s="257"/>
      <c r="M39" s="257"/>
      <c r="N39" s="257"/>
      <c r="O39" s="257"/>
      <c r="P39" s="257"/>
      <c r="Q39" s="257"/>
      <c r="R39" s="257"/>
      <c r="S39" s="257"/>
      <c r="T39" s="257"/>
      <c r="U39" s="257"/>
      <c r="V39" s="257"/>
      <c r="W39" s="257"/>
      <c r="X39" s="257"/>
      <c r="Y39" s="257"/>
      <c r="Z39" s="257"/>
      <c r="AA39" s="257"/>
      <c r="AB39" s="257"/>
      <c r="AC39" s="257"/>
      <c r="AD39" s="257"/>
      <c r="AE39" s="257"/>
      <c r="AF39" s="257"/>
      <c r="AG39" s="257"/>
      <c r="AH39" s="257"/>
      <c r="AI39" s="257"/>
      <c r="AJ39" s="257"/>
      <c r="AK39" s="257"/>
      <c r="AL39" s="257"/>
      <c r="AM39" s="257"/>
      <c r="AN39" s="257"/>
    </row>
    <row r="41" spans="1:40" x14ac:dyDescent="0.3">
      <c r="A41" s="259" t="s">
        <v>401</v>
      </c>
      <c r="B41" s="247"/>
      <c r="C41" s="247"/>
      <c r="D41" s="247"/>
      <c r="E41" s="247"/>
      <c r="F41" s="247"/>
      <c r="G41" s="247"/>
      <c r="H41" s="247"/>
      <c r="I41" s="247"/>
      <c r="J41" s="247"/>
      <c r="K41" s="247"/>
      <c r="L41" s="247"/>
      <c r="M41" s="247"/>
      <c r="N41" s="247"/>
      <c r="O41" s="247"/>
      <c r="P41" s="247"/>
      <c r="Q41" s="247"/>
      <c r="R41" s="247"/>
      <c r="S41" s="247"/>
      <c r="T41" s="247"/>
      <c r="U41" s="247"/>
      <c r="V41" s="247"/>
      <c r="W41" s="247"/>
      <c r="X41" s="247"/>
      <c r="Y41" s="247"/>
      <c r="Z41" s="247"/>
      <c r="AA41" s="247"/>
      <c r="AB41" s="247"/>
      <c r="AC41" s="247"/>
      <c r="AD41" s="247"/>
      <c r="AE41" s="247"/>
      <c r="AF41" s="247"/>
      <c r="AG41" s="247"/>
      <c r="AH41" s="247"/>
      <c r="AI41" s="247"/>
      <c r="AJ41" s="247"/>
      <c r="AK41" s="247"/>
      <c r="AL41" s="247"/>
      <c r="AM41" s="247"/>
      <c r="AN41" s="247"/>
    </row>
    <row r="42" spans="1:40" x14ac:dyDescent="0.3">
      <c r="A42" s="247"/>
      <c r="B42" s="247"/>
      <c r="C42" s="247"/>
      <c r="D42" s="247"/>
      <c r="E42" s="247"/>
      <c r="F42" s="247"/>
      <c r="G42" s="247"/>
      <c r="H42" s="247"/>
      <c r="I42" s="247"/>
      <c r="J42" s="247"/>
      <c r="K42" s="247"/>
      <c r="L42" s="247"/>
      <c r="M42" s="247"/>
      <c r="N42" s="247"/>
      <c r="O42" s="247"/>
      <c r="P42" s="247"/>
      <c r="Q42" s="247"/>
      <c r="R42" s="247"/>
      <c r="S42" s="247"/>
      <c r="T42" s="247"/>
      <c r="U42" s="247"/>
      <c r="V42" s="247"/>
      <c r="W42" s="247"/>
      <c r="X42" s="247"/>
      <c r="Y42" s="247"/>
      <c r="Z42" s="247"/>
      <c r="AA42" s="247"/>
      <c r="AB42" s="247"/>
      <c r="AC42" s="247"/>
      <c r="AD42" s="247"/>
      <c r="AE42" s="247"/>
      <c r="AF42" s="247"/>
      <c r="AG42" s="247"/>
      <c r="AH42" s="247"/>
      <c r="AI42" s="247"/>
      <c r="AJ42" s="247"/>
      <c r="AK42" s="247"/>
      <c r="AL42" s="247"/>
      <c r="AM42" s="247"/>
      <c r="AN42" s="247"/>
    </row>
    <row r="43" spans="1:40" x14ac:dyDescent="0.3">
      <c r="A43" s="247"/>
      <c r="B43" s="247"/>
      <c r="C43" s="247"/>
      <c r="D43" s="247"/>
      <c r="E43" s="247"/>
      <c r="F43" s="247"/>
      <c r="G43" s="247"/>
      <c r="H43" s="247"/>
      <c r="I43" s="247"/>
      <c r="J43" s="247"/>
      <c r="K43" s="247"/>
      <c r="L43" s="247"/>
      <c r="M43" s="247"/>
      <c r="N43" s="247"/>
      <c r="O43" s="247"/>
      <c r="P43" s="247"/>
      <c r="Q43" s="247"/>
      <c r="R43" s="247"/>
      <c r="S43" s="247"/>
      <c r="T43" s="247"/>
      <c r="U43" s="247"/>
      <c r="V43" s="247"/>
      <c r="W43" s="247"/>
      <c r="X43" s="247"/>
      <c r="Y43" s="247"/>
      <c r="Z43" s="247"/>
      <c r="AA43" s="247"/>
      <c r="AB43" s="247"/>
      <c r="AC43" s="247"/>
      <c r="AD43" s="247"/>
      <c r="AE43" s="247"/>
      <c r="AF43" s="247"/>
      <c r="AG43" s="247"/>
      <c r="AH43" s="247"/>
      <c r="AI43" s="247"/>
      <c r="AJ43" s="247"/>
      <c r="AK43" s="247"/>
      <c r="AL43" s="247"/>
      <c r="AM43" s="247"/>
      <c r="AN43" s="247"/>
    </row>
  </sheetData>
  <mergeCells count="77">
    <mergeCell ref="H5:M7"/>
    <mergeCell ref="AI21:AJ21"/>
    <mergeCell ref="M30:P30"/>
    <mergeCell ref="AK13:AM13"/>
    <mergeCell ref="AI14:AJ14"/>
    <mergeCell ref="AI9:AN9"/>
    <mergeCell ref="D33:F33"/>
    <mergeCell ref="Q32:Y32"/>
    <mergeCell ref="G31:I31"/>
    <mergeCell ref="A30:C30"/>
    <mergeCell ref="D34:F34"/>
    <mergeCell ref="M31:P31"/>
    <mergeCell ref="Q33:Y33"/>
    <mergeCell ref="J34:L34"/>
    <mergeCell ref="G33:I33"/>
    <mergeCell ref="A33:C33"/>
    <mergeCell ref="J31:L31"/>
    <mergeCell ref="AI11:AJ11"/>
    <mergeCell ref="AK22:AM22"/>
    <mergeCell ref="Z29:AN29"/>
    <mergeCell ref="M34:P34"/>
    <mergeCell ref="G29:I29"/>
    <mergeCell ref="Z32:AN32"/>
    <mergeCell ref="AI17:AJ17"/>
    <mergeCell ref="AI19:AJ19"/>
    <mergeCell ref="AI20:AJ20"/>
    <mergeCell ref="AI22:AJ22"/>
    <mergeCell ref="Z31:AN31"/>
    <mergeCell ref="AI12:AJ12"/>
    <mergeCell ref="A41:AN43"/>
    <mergeCell ref="AK12:AM12"/>
    <mergeCell ref="M33:P33"/>
    <mergeCell ref="Q29:Y29"/>
    <mergeCell ref="V5:AA7"/>
    <mergeCell ref="AK14:AM14"/>
    <mergeCell ref="Q31:Y31"/>
    <mergeCell ref="G30:I30"/>
    <mergeCell ref="AK11:AM11"/>
    <mergeCell ref="AC5:AN7"/>
    <mergeCell ref="AI15:AJ15"/>
    <mergeCell ref="A32:C32"/>
    <mergeCell ref="A29:C29"/>
    <mergeCell ref="G32:I32"/>
    <mergeCell ref="J33:L33"/>
    <mergeCell ref="A31:C31"/>
    <mergeCell ref="A1:AN2"/>
    <mergeCell ref="Q34:Y34"/>
    <mergeCell ref="Z33:AN33"/>
    <mergeCell ref="D30:F30"/>
    <mergeCell ref="Q30:Y30"/>
    <mergeCell ref="A5:F7"/>
    <mergeCell ref="D29:F29"/>
    <mergeCell ref="Z34:AN34"/>
    <mergeCell ref="AK17:AM17"/>
    <mergeCell ref="A34:C34"/>
    <mergeCell ref="J29:L29"/>
    <mergeCell ref="Z30:AN30"/>
    <mergeCell ref="AK19:AM19"/>
    <mergeCell ref="AI16:AJ16"/>
    <mergeCell ref="AI18:AJ18"/>
    <mergeCell ref="D31:F31"/>
    <mergeCell ref="A3:AN3"/>
    <mergeCell ref="AI13:AJ13"/>
    <mergeCell ref="AK15:AM15"/>
    <mergeCell ref="A37:AN39"/>
    <mergeCell ref="M32:P32"/>
    <mergeCell ref="AK21:AM21"/>
    <mergeCell ref="M29:P29"/>
    <mergeCell ref="AK18:AM18"/>
    <mergeCell ref="J30:L30"/>
    <mergeCell ref="A27:AN27"/>
    <mergeCell ref="O5:T7"/>
    <mergeCell ref="D32:F32"/>
    <mergeCell ref="G34:I34"/>
    <mergeCell ref="AK20:AM20"/>
    <mergeCell ref="AK16:AM16"/>
    <mergeCell ref="J32:L32"/>
  </mergeCells>
  <phoneticPr fontId="42" type="noConversion"/>
  <pageMargins left="0.2" right="0.2" top="0.25" bottom="0.25" header="0.5" footer="0.5"/>
  <pageSetup paperSize="8" scale="89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M36"/>
  <sheetViews>
    <sheetView showGridLines="0" workbookViewId="0">
      <pane xSplit="1" ySplit="6" topLeftCell="B7" activePane="bottomRight" state="frozen"/>
      <selection pane="topRight"/>
      <selection pane="bottomLeft"/>
      <selection pane="bottomRight" sqref="A1:AM1"/>
    </sheetView>
  </sheetViews>
  <sheetFormatPr defaultRowHeight="16.5" x14ac:dyDescent="0.3"/>
  <cols>
    <col min="1" max="1" width="8" customWidth="1"/>
    <col min="2" max="3" width="10" customWidth="1"/>
    <col min="4" max="4" width="11" customWidth="1"/>
    <col min="5" max="5" width="15" customWidth="1"/>
    <col min="6" max="6" width="22" customWidth="1"/>
    <col min="7" max="7" width="25" customWidth="1"/>
    <col min="8" max="8" width="28" customWidth="1"/>
    <col min="9" max="9" width="20" customWidth="1"/>
    <col min="10" max="10" width="22" customWidth="1"/>
    <col min="11" max="11" width="18" customWidth="1"/>
    <col min="12" max="33" width="3.75" customWidth="1"/>
    <col min="35" max="39" width="8.5" customWidth="1"/>
  </cols>
  <sheetData>
    <row r="1" spans="1:39" ht="38.1" customHeight="1" x14ac:dyDescent="0.3">
      <c r="A1" s="162" t="s">
        <v>402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</row>
    <row r="2" spans="1:39" ht="27.95" customHeight="1" x14ac:dyDescent="0.3">
      <c r="A2" s="173" t="s">
        <v>403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</row>
    <row r="4" spans="1:39" x14ac:dyDescent="0.3">
      <c r="B4" s="269" t="s">
        <v>125</v>
      </c>
      <c r="C4" s="148"/>
      <c r="D4" s="148"/>
      <c r="E4" s="148"/>
      <c r="F4" s="148"/>
      <c r="G4" s="148"/>
      <c r="I4" s="269" t="s">
        <v>23</v>
      </c>
      <c r="J4" s="148"/>
      <c r="K4" s="148"/>
      <c r="L4" s="148"/>
      <c r="M4" s="148"/>
      <c r="N4" s="148"/>
      <c r="P4" s="269" t="s">
        <v>126</v>
      </c>
      <c r="Q4" s="148"/>
      <c r="R4" s="148"/>
      <c r="S4" s="148"/>
      <c r="T4" s="148"/>
      <c r="U4" s="148"/>
      <c r="V4" s="148"/>
      <c r="X4" s="269" t="s">
        <v>26</v>
      </c>
      <c r="Y4" s="148"/>
      <c r="Z4" s="148"/>
      <c r="AA4" s="148"/>
      <c r="AB4" s="148"/>
      <c r="AC4" s="148"/>
      <c r="AD4" s="148"/>
    </row>
    <row r="5" spans="1:39" x14ac:dyDescent="0.3">
      <c r="B5" s="270" t="s">
        <v>86</v>
      </c>
      <c r="C5" s="148"/>
      <c r="D5" s="148"/>
      <c r="E5" s="148"/>
      <c r="F5" s="148"/>
      <c r="G5" s="148"/>
      <c r="I5" s="270" t="s">
        <v>36</v>
      </c>
      <c r="J5" s="148"/>
      <c r="K5" s="148"/>
      <c r="L5" s="148"/>
      <c r="M5" s="148"/>
      <c r="N5" s="148"/>
      <c r="P5" s="270" t="s">
        <v>404</v>
      </c>
      <c r="Q5" s="148"/>
      <c r="R5" s="148"/>
      <c r="S5" s="148"/>
      <c r="T5" s="148"/>
      <c r="U5" s="148"/>
      <c r="V5" s="148"/>
      <c r="X5" s="270" t="s">
        <v>38</v>
      </c>
      <c r="Y5" s="148"/>
      <c r="Z5" s="148"/>
      <c r="AA5" s="148"/>
      <c r="AB5" s="148"/>
      <c r="AC5" s="148"/>
      <c r="AD5" s="148"/>
    </row>
    <row r="7" spans="1:39" ht="21" customHeight="1" x14ac:dyDescent="0.3">
      <c r="B7" s="225" t="s">
        <v>128</v>
      </c>
      <c r="C7" s="217"/>
      <c r="D7" s="217"/>
      <c r="E7" s="217"/>
      <c r="F7" s="217"/>
      <c r="G7" s="217"/>
      <c r="H7" s="218"/>
      <c r="I7" s="85"/>
      <c r="J7" s="274" t="s">
        <v>37</v>
      </c>
      <c r="K7" s="217"/>
      <c r="L7" s="217"/>
      <c r="M7" s="217"/>
      <c r="N7" s="217"/>
      <c r="O7" s="217"/>
      <c r="P7" s="217"/>
      <c r="Q7" s="217"/>
      <c r="R7" s="218"/>
      <c r="S7" s="85"/>
      <c r="T7" s="273" t="s">
        <v>405</v>
      </c>
      <c r="U7" s="217"/>
      <c r="V7" s="217"/>
      <c r="W7" s="217"/>
      <c r="X7" s="217"/>
      <c r="Y7" s="217"/>
      <c r="Z7" s="217"/>
      <c r="AA7" s="217"/>
      <c r="AB7" s="217"/>
      <c r="AC7" s="217"/>
      <c r="AD7" s="217"/>
      <c r="AE7" s="217"/>
      <c r="AF7" s="218"/>
      <c r="AG7" s="23"/>
      <c r="AI7" s="210" t="s">
        <v>130</v>
      </c>
      <c r="AJ7" s="148"/>
      <c r="AK7" s="148"/>
      <c r="AL7" s="148"/>
      <c r="AM7" s="148"/>
    </row>
    <row r="8" spans="1:39" ht="21" customHeight="1" x14ac:dyDescent="0.3">
      <c r="B8" s="219"/>
      <c r="C8" s="220"/>
      <c r="D8" s="220"/>
      <c r="E8" s="220"/>
      <c r="F8" s="220"/>
      <c r="G8" s="220"/>
      <c r="H8" s="221"/>
      <c r="I8" s="85"/>
      <c r="J8" s="219"/>
      <c r="K8" s="220"/>
      <c r="L8" s="220"/>
      <c r="M8" s="220"/>
      <c r="N8" s="220"/>
      <c r="O8" s="220"/>
      <c r="P8" s="220"/>
      <c r="Q8" s="220"/>
      <c r="R8" s="221"/>
      <c r="S8" s="85"/>
      <c r="T8" s="219"/>
      <c r="U8" s="220"/>
      <c r="V8" s="220"/>
      <c r="W8" s="220"/>
      <c r="X8" s="220"/>
      <c r="Y8" s="220"/>
      <c r="Z8" s="220"/>
      <c r="AA8" s="220"/>
      <c r="AB8" s="220"/>
      <c r="AC8" s="220"/>
      <c r="AD8" s="220"/>
      <c r="AE8" s="220"/>
      <c r="AF8" s="221"/>
      <c r="AG8" s="23"/>
      <c r="AI8" s="148"/>
      <c r="AJ8" s="148"/>
      <c r="AK8" s="148"/>
      <c r="AL8" s="148"/>
      <c r="AM8" s="148"/>
    </row>
    <row r="9" spans="1:39" ht="21" customHeight="1" x14ac:dyDescent="0.3"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16"/>
      <c r="AF9" s="107"/>
      <c r="AG9" s="23"/>
      <c r="AI9" s="272" t="s">
        <v>406</v>
      </c>
      <c r="AJ9" s="148"/>
      <c r="AK9" s="148"/>
      <c r="AL9" s="148"/>
      <c r="AM9" s="148"/>
    </row>
    <row r="10" spans="1:39" ht="21" customHeight="1" x14ac:dyDescent="0.3">
      <c r="B10" s="107"/>
      <c r="C10" s="107"/>
      <c r="D10" s="91" t="s">
        <v>132</v>
      </c>
      <c r="E10" s="117" t="s">
        <v>105</v>
      </c>
      <c r="F10" s="117" t="s">
        <v>105</v>
      </c>
      <c r="G10" s="117" t="s">
        <v>105</v>
      </c>
      <c r="H10" s="117" t="s">
        <v>105</v>
      </c>
      <c r="I10" s="117" t="s">
        <v>105</v>
      </c>
      <c r="J10" s="117" t="s">
        <v>105</v>
      </c>
      <c r="K10" s="117" t="s">
        <v>105</v>
      </c>
      <c r="L10" s="91" t="s">
        <v>106</v>
      </c>
      <c r="M10" s="117" t="s">
        <v>105</v>
      </c>
      <c r="N10" s="117" t="s">
        <v>105</v>
      </c>
      <c r="O10" s="117" t="s">
        <v>105</v>
      </c>
      <c r="P10" s="91" t="s">
        <v>133</v>
      </c>
      <c r="Q10" s="117" t="s">
        <v>105</v>
      </c>
      <c r="R10" s="117" t="s">
        <v>105</v>
      </c>
      <c r="S10" s="117" t="s">
        <v>105</v>
      </c>
      <c r="T10" s="117" t="s">
        <v>105</v>
      </c>
      <c r="U10" s="117" t="s">
        <v>105</v>
      </c>
      <c r="V10" s="91" t="s">
        <v>107</v>
      </c>
      <c r="W10" s="117" t="s">
        <v>105</v>
      </c>
      <c r="X10" s="117" t="s">
        <v>105</v>
      </c>
      <c r="Y10" s="117" t="s">
        <v>105</v>
      </c>
      <c r="Z10" s="117" t="s">
        <v>105</v>
      </c>
      <c r="AA10" s="117" t="s">
        <v>105</v>
      </c>
      <c r="AB10" s="117" t="s">
        <v>105</v>
      </c>
      <c r="AC10" s="91" t="s">
        <v>136</v>
      </c>
      <c r="AD10" s="107"/>
      <c r="AE10" s="107"/>
      <c r="AF10" s="107"/>
      <c r="AG10" s="23"/>
      <c r="AI10" s="148"/>
      <c r="AJ10" s="148"/>
      <c r="AK10" s="148"/>
      <c r="AL10" s="148"/>
      <c r="AM10" s="148"/>
    </row>
    <row r="11" spans="1:39" ht="21" customHeight="1" x14ac:dyDescent="0.3">
      <c r="B11" s="107"/>
      <c r="C11" s="107"/>
      <c r="D11" s="117" t="s">
        <v>105</v>
      </c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17" t="s">
        <v>105</v>
      </c>
      <c r="AD11" s="107"/>
      <c r="AE11" s="107"/>
      <c r="AF11" s="107"/>
      <c r="AG11" s="23"/>
      <c r="AI11" s="148"/>
      <c r="AJ11" s="148"/>
      <c r="AK11" s="148"/>
      <c r="AL11" s="148"/>
      <c r="AM11" s="148"/>
    </row>
    <row r="12" spans="1:39" ht="21" customHeight="1" x14ac:dyDescent="0.3">
      <c r="B12" s="107"/>
      <c r="C12" s="107"/>
      <c r="D12" s="91" t="s">
        <v>109</v>
      </c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9"/>
      <c r="R12" s="109"/>
      <c r="S12" s="109"/>
      <c r="T12" s="109"/>
      <c r="U12" s="109"/>
      <c r="V12" s="109"/>
      <c r="W12" s="109"/>
      <c r="X12" s="110"/>
      <c r="Y12" s="109"/>
      <c r="Z12" s="109"/>
      <c r="AA12" s="109"/>
      <c r="AB12" s="110"/>
      <c r="AC12" s="117" t="s">
        <v>105</v>
      </c>
      <c r="AD12" s="107"/>
      <c r="AE12" s="107"/>
      <c r="AF12" s="107"/>
      <c r="AG12" s="23"/>
      <c r="AI12" s="275" t="s">
        <v>407</v>
      </c>
      <c r="AJ12" s="148"/>
      <c r="AK12" s="148"/>
      <c r="AL12" s="148"/>
      <c r="AM12" s="148"/>
    </row>
    <row r="13" spans="1:39" ht="21" customHeight="1" x14ac:dyDescent="0.3">
      <c r="B13" s="107"/>
      <c r="C13" s="107"/>
      <c r="D13" s="117" t="s">
        <v>105</v>
      </c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10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9"/>
      <c r="AC13" s="91" t="s">
        <v>108</v>
      </c>
      <c r="AD13" s="107"/>
      <c r="AE13" s="107"/>
      <c r="AF13" s="107"/>
      <c r="AG13" s="23"/>
      <c r="AI13" s="148"/>
      <c r="AJ13" s="148"/>
      <c r="AK13" s="148"/>
      <c r="AL13" s="148"/>
      <c r="AM13" s="148"/>
    </row>
    <row r="14" spans="1:39" ht="21" customHeight="1" x14ac:dyDescent="0.3">
      <c r="B14" s="107"/>
      <c r="C14" s="109"/>
      <c r="D14" s="117" t="s">
        <v>105</v>
      </c>
      <c r="E14" s="109"/>
      <c r="F14" s="110"/>
      <c r="G14" s="109"/>
      <c r="H14" s="109"/>
      <c r="I14" s="109"/>
      <c r="J14" s="107"/>
      <c r="K14" s="107"/>
      <c r="L14" s="107"/>
      <c r="M14" s="107"/>
      <c r="N14" s="107"/>
      <c r="O14" s="107"/>
      <c r="P14" s="107"/>
      <c r="Q14" s="109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9"/>
      <c r="AC14" s="117" t="s">
        <v>105</v>
      </c>
      <c r="AD14" s="107"/>
      <c r="AE14" s="107"/>
      <c r="AF14" s="107"/>
      <c r="AG14" s="23"/>
      <c r="AI14" s="148"/>
      <c r="AJ14" s="148"/>
      <c r="AK14" s="148"/>
      <c r="AL14" s="148"/>
      <c r="AM14" s="148"/>
    </row>
    <row r="15" spans="1:39" ht="21" customHeight="1" x14ac:dyDescent="0.3">
      <c r="B15" s="107"/>
      <c r="C15" s="107"/>
      <c r="D15" s="117" t="s">
        <v>105</v>
      </c>
      <c r="E15" s="117" t="s">
        <v>105</v>
      </c>
      <c r="F15" s="117" t="s">
        <v>105</v>
      </c>
      <c r="G15" s="117" t="s">
        <v>105</v>
      </c>
      <c r="H15" s="117" t="s">
        <v>105</v>
      </c>
      <c r="I15" s="117" t="s">
        <v>105</v>
      </c>
      <c r="J15" s="117" t="s">
        <v>105</v>
      </c>
      <c r="K15" s="91" t="s">
        <v>110</v>
      </c>
      <c r="L15" s="91" t="s">
        <v>138</v>
      </c>
      <c r="M15" s="117" t="s">
        <v>105</v>
      </c>
      <c r="N15" s="117" t="s">
        <v>105</v>
      </c>
      <c r="O15" s="117" t="s">
        <v>105</v>
      </c>
      <c r="P15" s="117" t="s">
        <v>105</v>
      </c>
      <c r="Q15" s="117" t="s">
        <v>105</v>
      </c>
      <c r="R15" s="117" t="s">
        <v>105</v>
      </c>
      <c r="S15" s="117" t="s">
        <v>105</v>
      </c>
      <c r="T15" s="117" t="s">
        <v>105</v>
      </c>
      <c r="U15" s="91" t="s">
        <v>113</v>
      </c>
      <c r="V15" s="117" t="s">
        <v>105</v>
      </c>
      <c r="W15" s="117" t="s">
        <v>105</v>
      </c>
      <c r="X15" s="114" t="s">
        <v>119</v>
      </c>
      <c r="Y15" s="107"/>
      <c r="Z15" s="107"/>
      <c r="AA15" s="107"/>
      <c r="AB15" s="109"/>
      <c r="AC15" s="117" t="s">
        <v>105</v>
      </c>
      <c r="AD15" s="107"/>
      <c r="AE15" s="107"/>
      <c r="AF15" s="107"/>
      <c r="AG15" s="23"/>
      <c r="AI15" s="271" t="s">
        <v>408</v>
      </c>
      <c r="AJ15" s="148"/>
      <c r="AK15" s="148"/>
      <c r="AL15" s="148"/>
      <c r="AM15" s="148"/>
    </row>
    <row r="16" spans="1:39" ht="21" customHeight="1" x14ac:dyDescent="0.3">
      <c r="B16" s="107"/>
      <c r="C16" s="107"/>
      <c r="D16" s="107"/>
      <c r="E16" s="107"/>
      <c r="F16" s="107"/>
      <c r="G16" s="107"/>
      <c r="H16" s="107"/>
      <c r="I16" s="109"/>
      <c r="J16" s="107"/>
      <c r="K16" s="107"/>
      <c r="L16" s="107"/>
      <c r="M16" s="107"/>
      <c r="N16" s="107"/>
      <c r="O16" s="107"/>
      <c r="P16" s="107"/>
      <c r="Q16" s="109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9"/>
      <c r="AC16" s="117" t="s">
        <v>105</v>
      </c>
      <c r="AD16" s="107"/>
      <c r="AE16" s="107"/>
      <c r="AF16" s="107"/>
      <c r="AG16" s="23"/>
      <c r="AI16" s="148"/>
      <c r="AJ16" s="148"/>
      <c r="AK16" s="148"/>
      <c r="AL16" s="148"/>
      <c r="AM16" s="148"/>
    </row>
    <row r="17" spans="1:39" ht="21" customHeight="1" x14ac:dyDescent="0.3">
      <c r="B17" s="107"/>
      <c r="C17" s="107"/>
      <c r="D17" s="107"/>
      <c r="E17" s="107"/>
      <c r="F17" s="107"/>
      <c r="G17" s="107"/>
      <c r="H17" s="107"/>
      <c r="I17" s="109"/>
      <c r="J17" s="107"/>
      <c r="K17" s="107"/>
      <c r="L17" s="107"/>
      <c r="M17" s="107"/>
      <c r="N17" s="107"/>
      <c r="O17" s="107"/>
      <c r="P17" s="107"/>
      <c r="Q17" s="109"/>
      <c r="R17" s="107"/>
      <c r="S17" s="107"/>
      <c r="T17" s="107"/>
      <c r="U17" s="109"/>
      <c r="V17" s="109"/>
      <c r="W17" s="109"/>
      <c r="X17" s="109"/>
      <c r="Y17" s="109"/>
      <c r="Z17" s="109"/>
      <c r="AA17" s="110"/>
      <c r="AB17" s="109"/>
      <c r="AC17" s="117" t="s">
        <v>105</v>
      </c>
      <c r="AD17" s="107"/>
      <c r="AE17" s="107"/>
      <c r="AF17" s="107"/>
      <c r="AG17" s="23"/>
      <c r="AI17" s="148"/>
      <c r="AJ17" s="148"/>
      <c r="AK17" s="148"/>
      <c r="AL17" s="148"/>
      <c r="AM17" s="148"/>
    </row>
    <row r="18" spans="1:39" ht="21" customHeight="1" x14ac:dyDescent="0.3">
      <c r="B18" s="113"/>
      <c r="C18" s="113"/>
      <c r="D18" s="113"/>
      <c r="E18" s="113"/>
      <c r="F18" s="113"/>
      <c r="G18" s="113"/>
      <c r="H18" s="112"/>
      <c r="I18" s="109"/>
      <c r="J18" s="113"/>
      <c r="K18" s="113"/>
      <c r="L18" s="113"/>
      <c r="M18" s="113"/>
      <c r="N18" s="113"/>
      <c r="O18" s="113"/>
      <c r="P18" s="113"/>
      <c r="Q18" s="109"/>
      <c r="R18" s="112"/>
      <c r="S18" s="113"/>
      <c r="T18" s="113"/>
      <c r="U18" s="110"/>
      <c r="V18" s="113"/>
      <c r="W18" s="113"/>
      <c r="X18" s="113"/>
      <c r="Y18" s="113"/>
      <c r="Z18" s="113"/>
      <c r="AA18" s="113"/>
      <c r="AB18" s="112"/>
      <c r="AC18" s="117" t="s">
        <v>105</v>
      </c>
      <c r="AD18" s="113"/>
      <c r="AE18" s="111"/>
      <c r="AF18" s="107"/>
      <c r="AG18" s="23"/>
      <c r="AI18" s="277" t="s">
        <v>409</v>
      </c>
      <c r="AJ18" s="148"/>
      <c r="AK18" s="148"/>
      <c r="AL18" s="148"/>
      <c r="AM18" s="148"/>
    </row>
    <row r="19" spans="1:39" ht="21" customHeight="1" x14ac:dyDescent="0.3">
      <c r="B19" s="113"/>
      <c r="C19" s="107"/>
      <c r="D19" s="107"/>
      <c r="E19" s="107"/>
      <c r="F19" s="107"/>
      <c r="G19" s="107"/>
      <c r="H19" s="107"/>
      <c r="I19" s="109"/>
      <c r="J19" s="110"/>
      <c r="K19" s="110"/>
      <c r="L19" s="109"/>
      <c r="M19" s="109"/>
      <c r="N19" s="109"/>
      <c r="O19" s="109"/>
      <c r="P19" s="109"/>
      <c r="Q19" s="109"/>
      <c r="R19" s="107"/>
      <c r="S19" s="107"/>
      <c r="T19" s="107"/>
      <c r="U19" s="109"/>
      <c r="V19" s="107"/>
      <c r="W19" s="107"/>
      <c r="X19" s="107"/>
      <c r="Y19" s="107"/>
      <c r="Z19" s="107"/>
      <c r="AA19" s="107"/>
      <c r="AB19" s="107"/>
      <c r="AC19" s="117" t="s">
        <v>105</v>
      </c>
      <c r="AD19" s="107"/>
      <c r="AE19" s="107"/>
      <c r="AF19" s="107"/>
      <c r="AG19" s="23"/>
      <c r="AI19" s="148"/>
      <c r="AJ19" s="148"/>
      <c r="AK19" s="148"/>
      <c r="AL19" s="148"/>
      <c r="AM19" s="148"/>
    </row>
    <row r="20" spans="1:39" ht="21" customHeight="1" x14ac:dyDescent="0.3">
      <c r="B20" s="113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9"/>
      <c r="V20" s="107"/>
      <c r="W20" s="107"/>
      <c r="X20" s="107"/>
      <c r="Y20" s="107"/>
      <c r="Z20" s="107"/>
      <c r="AA20" s="107"/>
      <c r="AB20" s="107"/>
      <c r="AC20" s="117" t="s">
        <v>105</v>
      </c>
      <c r="AD20" s="107"/>
      <c r="AE20" s="107"/>
      <c r="AF20" s="107"/>
      <c r="AG20" s="23"/>
      <c r="AI20" s="148"/>
      <c r="AJ20" s="148"/>
      <c r="AK20" s="148"/>
      <c r="AL20" s="148"/>
      <c r="AM20" s="148"/>
    </row>
    <row r="21" spans="1:39" ht="21" customHeight="1" x14ac:dyDescent="0.3">
      <c r="B21" s="113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10"/>
      <c r="V21" s="107"/>
      <c r="W21" s="107"/>
      <c r="X21" s="107"/>
      <c r="Y21" s="107"/>
      <c r="Z21" s="107"/>
      <c r="AA21" s="107"/>
      <c r="AB21" s="107"/>
      <c r="AC21" s="117" t="s">
        <v>105</v>
      </c>
      <c r="AD21" s="107"/>
      <c r="AE21" s="107"/>
      <c r="AF21" s="107"/>
      <c r="AG21" s="23"/>
      <c r="AI21" s="276" t="s">
        <v>410</v>
      </c>
      <c r="AJ21" s="148"/>
      <c r="AK21" s="148"/>
      <c r="AL21" s="148"/>
      <c r="AM21" s="148"/>
    </row>
    <row r="22" spans="1:39" ht="21" customHeight="1" x14ac:dyDescent="0.3">
      <c r="B22" s="112"/>
      <c r="C22" s="113"/>
      <c r="D22" s="113"/>
      <c r="E22" s="113"/>
      <c r="F22" s="113"/>
      <c r="G22" s="113"/>
      <c r="H22" s="113"/>
      <c r="I22" s="113"/>
      <c r="J22" s="113"/>
      <c r="K22" s="113"/>
      <c r="L22" s="112"/>
      <c r="M22" s="113"/>
      <c r="N22" s="113"/>
      <c r="O22" s="113"/>
      <c r="P22" s="113"/>
      <c r="Q22" s="113"/>
      <c r="R22" s="113"/>
      <c r="S22" s="113"/>
      <c r="T22" s="113"/>
      <c r="U22" s="109"/>
      <c r="V22" s="109"/>
      <c r="W22" s="109"/>
      <c r="X22" s="109"/>
      <c r="Y22" s="109"/>
      <c r="Z22" s="109"/>
      <c r="AA22" s="109"/>
      <c r="AB22" s="109"/>
      <c r="AC22" s="91" t="s">
        <v>118</v>
      </c>
      <c r="AD22" s="113"/>
      <c r="AE22" s="113"/>
      <c r="AF22" s="107"/>
      <c r="AG22" s="23"/>
      <c r="AI22" s="148"/>
      <c r="AJ22" s="148"/>
      <c r="AK22" s="148"/>
      <c r="AL22" s="148"/>
      <c r="AM22" s="148"/>
    </row>
    <row r="23" spans="1:39" ht="21" customHeight="1" x14ac:dyDescent="0.3">
      <c r="B23" s="107"/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23"/>
      <c r="AI23" s="148"/>
      <c r="AJ23" s="148"/>
      <c r="AK23" s="148"/>
      <c r="AL23" s="148"/>
      <c r="AM23" s="148"/>
    </row>
    <row r="24" spans="1:39" ht="21" customHeight="1" x14ac:dyDescent="0.3">
      <c r="B24" s="23"/>
      <c r="C24" s="23"/>
      <c r="D24" s="23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3"/>
      <c r="AF24" s="23"/>
      <c r="AG24" s="23"/>
      <c r="AI24" s="213" t="s">
        <v>411</v>
      </c>
      <c r="AJ24" s="148"/>
      <c r="AK24" s="148"/>
      <c r="AL24" s="148"/>
      <c r="AM24" s="148"/>
    </row>
    <row r="26" spans="1:39" ht="24.95" customHeight="1" x14ac:dyDescent="0.3">
      <c r="A26" s="147" t="s">
        <v>141</v>
      </c>
      <c r="B26" s="148"/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  <c r="AD26" s="148"/>
      <c r="AE26" s="148"/>
      <c r="AF26" s="148"/>
      <c r="AG26" s="148"/>
      <c r="AH26" s="148"/>
      <c r="AI26" s="148"/>
      <c r="AJ26" s="148"/>
      <c r="AK26" s="148"/>
      <c r="AL26" s="148"/>
      <c r="AM26" s="148"/>
    </row>
    <row r="27" spans="1:39" x14ac:dyDescent="0.3">
      <c r="A27" s="1" t="s">
        <v>142</v>
      </c>
      <c r="B27" s="1" t="s">
        <v>143</v>
      </c>
      <c r="C27" s="1" t="s">
        <v>144</v>
      </c>
      <c r="D27" s="1" t="s">
        <v>145</v>
      </c>
      <c r="E27" s="1" t="s">
        <v>146</v>
      </c>
      <c r="F27" s="1" t="s">
        <v>147</v>
      </c>
      <c r="G27" s="1" t="s">
        <v>148</v>
      </c>
      <c r="H27" s="1" t="s">
        <v>149</v>
      </c>
      <c r="I27" s="1" t="s">
        <v>150</v>
      </c>
      <c r="J27" s="1" t="s">
        <v>151</v>
      </c>
      <c r="K27" s="1" t="s">
        <v>23</v>
      </c>
    </row>
    <row r="28" spans="1:39" ht="39" customHeight="1" x14ac:dyDescent="0.3">
      <c r="A28" s="22" t="s">
        <v>152</v>
      </c>
      <c r="B28" s="14">
        <v>0</v>
      </c>
      <c r="C28" s="14">
        <v>40</v>
      </c>
      <c r="D28" s="14">
        <f>C28-B28</f>
        <v>40</v>
      </c>
      <c r="E28" s="15" t="str">
        <f>TEXT(B28/86400,"m:ss")&amp;"~"&amp;TEXT(C28/86400,"m:ss")</f>
        <v>0:00~0:40</v>
      </c>
      <c r="F28" s="16" t="s">
        <v>412</v>
      </c>
      <c r="G28" s="16" t="s">
        <v>413</v>
      </c>
      <c r="H28" s="16" t="s">
        <v>414</v>
      </c>
      <c r="I28" s="16" t="s">
        <v>156</v>
      </c>
      <c r="J28" s="16" t="s">
        <v>415</v>
      </c>
      <c r="K28" s="15" t="s">
        <v>36</v>
      </c>
    </row>
    <row r="29" spans="1:39" ht="39" customHeight="1" x14ac:dyDescent="0.3">
      <c r="A29" s="25" t="s">
        <v>136</v>
      </c>
      <c r="B29" s="14">
        <v>40</v>
      </c>
      <c r="C29" s="14">
        <v>85</v>
      </c>
      <c r="D29" s="14">
        <f>C29-B29</f>
        <v>45</v>
      </c>
      <c r="E29" s="15" t="str">
        <f>TEXT(B29/86400,"m:ss")&amp;"~"&amp;TEXT(C29/86400,"m:ss")</f>
        <v>0:40~1:25</v>
      </c>
      <c r="F29" s="16" t="s">
        <v>416</v>
      </c>
      <c r="G29" s="16" t="s">
        <v>417</v>
      </c>
      <c r="H29" s="16" t="s">
        <v>418</v>
      </c>
      <c r="I29" s="16" t="s">
        <v>162</v>
      </c>
      <c r="J29" s="16" t="s">
        <v>419</v>
      </c>
      <c r="K29" s="15" t="s">
        <v>36</v>
      </c>
    </row>
    <row r="30" spans="1:39" ht="39" customHeight="1" x14ac:dyDescent="0.3">
      <c r="A30" s="26" t="s">
        <v>133</v>
      </c>
      <c r="B30" s="14">
        <v>85</v>
      </c>
      <c r="C30" s="14">
        <v>130</v>
      </c>
      <c r="D30" s="14">
        <f>C30-B30</f>
        <v>45</v>
      </c>
      <c r="E30" s="15" t="str">
        <f>TEXT(B30/86400,"m:ss")&amp;"~"&amp;TEXT(C30/86400,"m:ss")</f>
        <v>1:25~2:10</v>
      </c>
      <c r="F30" s="16" t="s">
        <v>420</v>
      </c>
      <c r="G30" s="16" t="s">
        <v>421</v>
      </c>
      <c r="H30" s="16" t="s">
        <v>422</v>
      </c>
      <c r="I30" s="16" t="s">
        <v>167</v>
      </c>
      <c r="J30" s="16" t="s">
        <v>423</v>
      </c>
      <c r="K30" s="15" t="s">
        <v>36</v>
      </c>
    </row>
    <row r="31" spans="1:39" ht="39" customHeight="1" x14ac:dyDescent="0.3">
      <c r="A31" s="27" t="s">
        <v>132</v>
      </c>
      <c r="B31" s="14">
        <v>130</v>
      </c>
      <c r="C31" s="14">
        <v>185</v>
      </c>
      <c r="D31" s="14">
        <f>C31-B31</f>
        <v>55</v>
      </c>
      <c r="E31" s="15" t="str">
        <f>TEXT(B31/86400,"m:ss")&amp;"~"&amp;TEXT(C31/86400,"m:ss")</f>
        <v>2:10~3:05</v>
      </c>
      <c r="F31" s="16" t="s">
        <v>424</v>
      </c>
      <c r="G31" s="16" t="s">
        <v>425</v>
      </c>
      <c r="H31" s="16" t="s">
        <v>426</v>
      </c>
      <c r="I31" s="16" t="s">
        <v>427</v>
      </c>
      <c r="J31" s="16" t="s">
        <v>428</v>
      </c>
      <c r="K31" s="15" t="s">
        <v>36</v>
      </c>
    </row>
    <row r="32" spans="1:39" ht="39" customHeight="1" x14ac:dyDescent="0.3">
      <c r="A32" s="28" t="s">
        <v>138</v>
      </c>
      <c r="B32" s="14">
        <v>185</v>
      </c>
      <c r="C32" s="14">
        <v>240</v>
      </c>
      <c r="D32" s="14">
        <f>C32-B32</f>
        <v>55</v>
      </c>
      <c r="E32" s="15" t="str">
        <f>TEXT(B32/86400,"m:ss")&amp;"~"&amp;TEXT(C32/86400,"m:ss")</f>
        <v>3:05~4:00</v>
      </c>
      <c r="F32" s="16" t="s">
        <v>429</v>
      </c>
      <c r="G32" s="16" t="s">
        <v>430</v>
      </c>
      <c r="H32" s="16" t="s">
        <v>431</v>
      </c>
      <c r="I32" s="16" t="s">
        <v>432</v>
      </c>
      <c r="J32" s="16" t="s">
        <v>433</v>
      </c>
      <c r="K32" s="15" t="s">
        <v>36</v>
      </c>
    </row>
    <row r="33" spans="1:39" ht="24" customHeight="1" x14ac:dyDescent="0.3">
      <c r="A33" s="29" t="s">
        <v>179</v>
      </c>
      <c r="B33" s="29"/>
      <c r="C33" s="29"/>
      <c r="D33" s="29">
        <f>SUM(D28:D32)</f>
        <v>240</v>
      </c>
      <c r="E33" s="29" t="str">
        <f>TEXT(D33/86400,"m:ss")</f>
        <v>4:00</v>
      </c>
      <c r="F33" s="29"/>
      <c r="G33" s="29"/>
      <c r="H33" s="29"/>
      <c r="I33" s="29"/>
      <c r="J33" s="29" t="s">
        <v>434</v>
      </c>
      <c r="K33" s="29"/>
    </row>
    <row r="35" spans="1:39" x14ac:dyDescent="0.3">
      <c r="A35" s="212" t="s">
        <v>435</v>
      </c>
      <c r="B35" s="148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148"/>
      <c r="AE35" s="148"/>
      <c r="AF35" s="148"/>
      <c r="AG35" s="148"/>
      <c r="AH35" s="148"/>
      <c r="AI35" s="148"/>
      <c r="AJ35" s="148"/>
      <c r="AK35" s="148"/>
      <c r="AL35" s="148"/>
      <c r="AM35" s="148"/>
    </row>
    <row r="36" spans="1:39" x14ac:dyDescent="0.3">
      <c r="A36" s="148"/>
      <c r="B36" s="148"/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148"/>
      <c r="AE36" s="148"/>
      <c r="AF36" s="148"/>
      <c r="AG36" s="148"/>
      <c r="AH36" s="148"/>
      <c r="AI36" s="148"/>
      <c r="AJ36" s="148"/>
      <c r="AK36" s="148"/>
      <c r="AL36" s="148"/>
      <c r="AM36" s="148"/>
    </row>
  </sheetData>
  <mergeCells count="22">
    <mergeCell ref="X5:AD5"/>
    <mergeCell ref="J7:R8"/>
    <mergeCell ref="AI12:AM14"/>
    <mergeCell ref="AI21:AM23"/>
    <mergeCell ref="B7:H8"/>
    <mergeCell ref="AI18:AM20"/>
    <mergeCell ref="A1:AM1"/>
    <mergeCell ref="X4:AD4"/>
    <mergeCell ref="AI7:AM8"/>
    <mergeCell ref="P5:V5"/>
    <mergeCell ref="A35:AM36"/>
    <mergeCell ref="I5:N5"/>
    <mergeCell ref="AI24:AM24"/>
    <mergeCell ref="A26:AM26"/>
    <mergeCell ref="P4:V4"/>
    <mergeCell ref="AI15:AM17"/>
    <mergeCell ref="AI9:AM11"/>
    <mergeCell ref="A2:AM2"/>
    <mergeCell ref="I4:N4"/>
    <mergeCell ref="B5:G5"/>
    <mergeCell ref="B4:G4"/>
    <mergeCell ref="T7:AF8"/>
  </mergeCells>
  <phoneticPr fontId="42" type="noConversion"/>
  <pageMargins left="0.2" right="0.2" top="0.3" bottom="0.3" header="0.5" footer="0.5"/>
  <pageSetup scale="38" orientation="landscape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M35"/>
  <sheetViews>
    <sheetView showGridLines="0" workbookViewId="0">
      <pane xSplit="1" ySplit="6" topLeftCell="B7" activePane="bottomRight" state="frozen"/>
      <selection pane="topRight"/>
      <selection pane="bottomLeft"/>
      <selection pane="bottomRight" sqref="A1:AM1"/>
    </sheetView>
  </sheetViews>
  <sheetFormatPr defaultRowHeight="16.5" x14ac:dyDescent="0.3"/>
  <cols>
    <col min="1" max="1" width="8" customWidth="1"/>
    <col min="2" max="3" width="10" customWidth="1"/>
    <col min="4" max="4" width="11" customWidth="1"/>
    <col min="5" max="5" width="15" customWidth="1"/>
    <col min="6" max="6" width="22" customWidth="1"/>
    <col min="7" max="7" width="25" customWidth="1"/>
    <col min="8" max="8" width="28" customWidth="1"/>
    <col min="9" max="9" width="20" customWidth="1"/>
    <col min="10" max="10" width="22" customWidth="1"/>
    <col min="11" max="11" width="18" customWidth="1"/>
    <col min="12" max="33" width="3.75" customWidth="1"/>
    <col min="35" max="39" width="8.5" customWidth="1"/>
  </cols>
  <sheetData>
    <row r="1" spans="1:39" ht="38.1" customHeight="1" x14ac:dyDescent="0.3">
      <c r="A1" s="162" t="s">
        <v>436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</row>
    <row r="2" spans="1:39" ht="27.95" customHeight="1" x14ac:dyDescent="0.3">
      <c r="A2" s="173" t="s">
        <v>437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</row>
    <row r="4" spans="1:39" x14ac:dyDescent="0.3">
      <c r="B4" s="278" t="s">
        <v>125</v>
      </c>
      <c r="C4" s="148"/>
      <c r="D4" s="148"/>
      <c r="E4" s="148"/>
      <c r="F4" s="148"/>
      <c r="G4" s="148"/>
      <c r="I4" s="278" t="s">
        <v>23</v>
      </c>
      <c r="J4" s="148"/>
      <c r="K4" s="148"/>
      <c r="L4" s="148"/>
      <c r="M4" s="148"/>
      <c r="N4" s="148"/>
      <c r="P4" s="278" t="s">
        <v>126</v>
      </c>
      <c r="Q4" s="148"/>
      <c r="R4" s="148"/>
      <c r="S4" s="148"/>
      <c r="T4" s="148"/>
      <c r="U4" s="148"/>
      <c r="V4" s="148"/>
      <c r="X4" s="278" t="s">
        <v>26</v>
      </c>
      <c r="Y4" s="148"/>
      <c r="Z4" s="148"/>
      <c r="AA4" s="148"/>
      <c r="AB4" s="148"/>
      <c r="AC4" s="148"/>
      <c r="AD4" s="148"/>
    </row>
    <row r="5" spans="1:39" x14ac:dyDescent="0.3">
      <c r="B5" s="279" t="s">
        <v>89</v>
      </c>
      <c r="C5" s="148"/>
      <c r="D5" s="148"/>
      <c r="E5" s="148"/>
      <c r="F5" s="148"/>
      <c r="G5" s="148"/>
      <c r="I5" s="279" t="s">
        <v>41</v>
      </c>
      <c r="J5" s="148"/>
      <c r="K5" s="148"/>
      <c r="L5" s="148"/>
      <c r="M5" s="148"/>
      <c r="N5" s="148"/>
      <c r="P5" s="279" t="s">
        <v>438</v>
      </c>
      <c r="Q5" s="148"/>
      <c r="R5" s="148"/>
      <c r="S5" s="148"/>
      <c r="T5" s="148"/>
      <c r="U5" s="148"/>
      <c r="V5" s="148"/>
      <c r="X5" s="279" t="s">
        <v>43</v>
      </c>
      <c r="Y5" s="148"/>
      <c r="Z5" s="148"/>
      <c r="AA5" s="148"/>
      <c r="AB5" s="148"/>
      <c r="AC5" s="148"/>
      <c r="AD5" s="148"/>
    </row>
    <row r="7" spans="1:39" ht="21" customHeight="1" x14ac:dyDescent="0.3">
      <c r="B7" s="225" t="s">
        <v>128</v>
      </c>
      <c r="C7" s="217"/>
      <c r="D7" s="217"/>
      <c r="E7" s="217"/>
      <c r="F7" s="217"/>
      <c r="G7" s="217"/>
      <c r="H7" s="218"/>
      <c r="I7" s="85"/>
      <c r="J7" s="283" t="s">
        <v>42</v>
      </c>
      <c r="K7" s="217"/>
      <c r="L7" s="217"/>
      <c r="M7" s="217"/>
      <c r="N7" s="217"/>
      <c r="O7" s="217"/>
      <c r="P7" s="217"/>
      <c r="Q7" s="217"/>
      <c r="R7" s="218"/>
      <c r="S7" s="85"/>
      <c r="T7" s="282" t="s">
        <v>439</v>
      </c>
      <c r="U7" s="217"/>
      <c r="V7" s="217"/>
      <c r="W7" s="217"/>
      <c r="X7" s="217"/>
      <c r="Y7" s="217"/>
      <c r="Z7" s="217"/>
      <c r="AA7" s="217"/>
      <c r="AB7" s="217"/>
      <c r="AC7" s="217"/>
      <c r="AD7" s="217"/>
      <c r="AE7" s="217"/>
      <c r="AF7" s="218"/>
      <c r="AG7" s="31"/>
      <c r="AI7" s="210" t="s">
        <v>130</v>
      </c>
      <c r="AJ7" s="148"/>
      <c r="AK7" s="148"/>
      <c r="AL7" s="148"/>
      <c r="AM7" s="148"/>
    </row>
    <row r="8" spans="1:39" ht="21" customHeight="1" x14ac:dyDescent="0.3">
      <c r="B8" s="219"/>
      <c r="C8" s="220"/>
      <c r="D8" s="220"/>
      <c r="E8" s="220"/>
      <c r="F8" s="220"/>
      <c r="G8" s="220"/>
      <c r="H8" s="221"/>
      <c r="I8" s="85"/>
      <c r="J8" s="219"/>
      <c r="K8" s="220"/>
      <c r="L8" s="220"/>
      <c r="M8" s="220"/>
      <c r="N8" s="220"/>
      <c r="O8" s="220"/>
      <c r="P8" s="220"/>
      <c r="Q8" s="220"/>
      <c r="R8" s="221"/>
      <c r="S8" s="85"/>
      <c r="T8" s="219"/>
      <c r="U8" s="220"/>
      <c r="V8" s="220"/>
      <c r="W8" s="220"/>
      <c r="X8" s="220"/>
      <c r="Y8" s="220"/>
      <c r="Z8" s="220"/>
      <c r="AA8" s="220"/>
      <c r="AB8" s="220"/>
      <c r="AC8" s="220"/>
      <c r="AD8" s="220"/>
      <c r="AE8" s="220"/>
      <c r="AF8" s="221"/>
      <c r="AG8" s="31"/>
      <c r="AI8" s="148"/>
      <c r="AJ8" s="148"/>
      <c r="AK8" s="148"/>
      <c r="AL8" s="148"/>
      <c r="AM8" s="148"/>
    </row>
    <row r="9" spans="1:39" ht="21" customHeight="1" x14ac:dyDescent="0.3"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31"/>
      <c r="AI9" s="281" t="s">
        <v>440</v>
      </c>
      <c r="AJ9" s="148"/>
      <c r="AK9" s="148"/>
      <c r="AL9" s="148"/>
      <c r="AM9" s="148"/>
    </row>
    <row r="10" spans="1:39" ht="21" customHeight="1" x14ac:dyDescent="0.3"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14" t="s">
        <v>119</v>
      </c>
      <c r="AC10" s="98" t="s">
        <v>106</v>
      </c>
      <c r="AD10" s="118" t="s">
        <v>105</v>
      </c>
      <c r="AE10" s="107"/>
      <c r="AF10" s="107"/>
      <c r="AG10" s="31"/>
      <c r="AI10" s="148"/>
      <c r="AJ10" s="148"/>
      <c r="AK10" s="148"/>
      <c r="AL10" s="148"/>
      <c r="AM10" s="148"/>
    </row>
    <row r="11" spans="1:39" ht="21" customHeight="1" x14ac:dyDescent="0.3">
      <c r="B11" s="107"/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18" t="s">
        <v>105</v>
      </c>
      <c r="AE11" s="107"/>
      <c r="AF11" s="107"/>
      <c r="AG11" s="32"/>
      <c r="AI11" s="148"/>
      <c r="AJ11" s="148"/>
      <c r="AK11" s="148"/>
      <c r="AL11" s="148"/>
      <c r="AM11" s="148"/>
    </row>
    <row r="12" spans="1:39" ht="21" customHeight="1" x14ac:dyDescent="0.3"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18" t="s">
        <v>105</v>
      </c>
      <c r="AE12" s="107"/>
      <c r="AF12" s="107"/>
      <c r="AG12" s="32"/>
      <c r="AI12" s="284" t="s">
        <v>441</v>
      </c>
      <c r="AJ12" s="148"/>
      <c r="AK12" s="148"/>
      <c r="AL12" s="148"/>
      <c r="AM12" s="148"/>
    </row>
    <row r="13" spans="1:39" ht="21" customHeight="1" x14ac:dyDescent="0.3">
      <c r="B13" s="107"/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9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18" t="s">
        <v>105</v>
      </c>
      <c r="AE13" s="107"/>
      <c r="AF13" s="107"/>
      <c r="AG13" s="32"/>
      <c r="AI13" s="148"/>
      <c r="AJ13" s="148"/>
      <c r="AK13" s="148"/>
      <c r="AL13" s="148"/>
      <c r="AM13" s="148"/>
    </row>
    <row r="14" spans="1:39" ht="21" customHeight="1" x14ac:dyDescent="0.3"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10"/>
      <c r="S14" s="107"/>
      <c r="T14" s="107"/>
      <c r="U14" s="98" t="s">
        <v>133</v>
      </c>
      <c r="V14" s="118" t="s">
        <v>105</v>
      </c>
      <c r="W14" s="118" t="s">
        <v>105</v>
      </c>
      <c r="X14" s="118" t="s">
        <v>105</v>
      </c>
      <c r="Y14" s="98" t="s">
        <v>107</v>
      </c>
      <c r="Z14" s="118" t="s">
        <v>105</v>
      </c>
      <c r="AA14" s="118" t="s">
        <v>105</v>
      </c>
      <c r="AB14" s="98" t="s">
        <v>132</v>
      </c>
      <c r="AC14" s="118" t="s">
        <v>105</v>
      </c>
      <c r="AD14" s="118" t="s">
        <v>105</v>
      </c>
      <c r="AE14" s="107"/>
      <c r="AF14" s="107"/>
      <c r="AG14" s="32"/>
      <c r="AI14" s="148"/>
      <c r="AJ14" s="148"/>
      <c r="AK14" s="148"/>
      <c r="AL14" s="148"/>
      <c r="AM14" s="148"/>
    </row>
    <row r="15" spans="1:39" ht="21" customHeight="1" x14ac:dyDescent="0.3">
      <c r="B15" s="107"/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9"/>
      <c r="S15" s="109"/>
      <c r="T15" s="109"/>
      <c r="U15" s="118" t="s">
        <v>105</v>
      </c>
      <c r="V15" s="109"/>
      <c r="W15" s="109"/>
      <c r="X15" s="110"/>
      <c r="Y15" s="109"/>
      <c r="Z15" s="109"/>
      <c r="AA15" s="110"/>
      <c r="AB15" s="109"/>
      <c r="AC15" s="107"/>
      <c r="AD15" s="107"/>
      <c r="AE15" s="107"/>
      <c r="AF15" s="107"/>
      <c r="AG15" s="32"/>
      <c r="AI15" s="280" t="s">
        <v>442</v>
      </c>
      <c r="AJ15" s="148"/>
      <c r="AK15" s="148"/>
      <c r="AL15" s="148"/>
      <c r="AM15" s="148"/>
    </row>
    <row r="16" spans="1:39" ht="21" customHeight="1" x14ac:dyDescent="0.3">
      <c r="B16" s="107"/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18" t="s">
        <v>105</v>
      </c>
      <c r="V16" s="107"/>
      <c r="W16" s="107"/>
      <c r="X16" s="107"/>
      <c r="Y16" s="107"/>
      <c r="Z16" s="107"/>
      <c r="AA16" s="107"/>
      <c r="AB16" s="109"/>
      <c r="AC16" s="107"/>
      <c r="AD16" s="107"/>
      <c r="AE16" s="116"/>
      <c r="AF16" s="107"/>
      <c r="AG16" s="32"/>
      <c r="AI16" s="148"/>
      <c r="AJ16" s="148"/>
      <c r="AK16" s="148"/>
      <c r="AL16" s="148"/>
      <c r="AM16" s="148"/>
    </row>
    <row r="17" spans="1:39" ht="21" customHeight="1" x14ac:dyDescent="0.3">
      <c r="B17" s="107"/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18" t="s">
        <v>105</v>
      </c>
      <c r="V17" s="107"/>
      <c r="W17" s="107"/>
      <c r="X17" s="107"/>
      <c r="Y17" s="107"/>
      <c r="Z17" s="107"/>
      <c r="AA17" s="107"/>
      <c r="AB17" s="109"/>
      <c r="AC17" s="107"/>
      <c r="AD17" s="107"/>
      <c r="AE17" s="107"/>
      <c r="AF17" s="107"/>
      <c r="AG17" s="32"/>
      <c r="AI17" s="148"/>
      <c r="AJ17" s="148"/>
      <c r="AK17" s="148"/>
      <c r="AL17" s="148"/>
      <c r="AM17" s="148"/>
    </row>
    <row r="18" spans="1:39" ht="21" customHeight="1" x14ac:dyDescent="0.3"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18" t="s">
        <v>105</v>
      </c>
      <c r="V18" s="107"/>
      <c r="W18" s="109"/>
      <c r="X18" s="109"/>
      <c r="Y18" s="109"/>
      <c r="Z18" s="109"/>
      <c r="AA18" s="109"/>
      <c r="AB18" s="110"/>
      <c r="AC18" s="107"/>
      <c r="AD18" s="107"/>
      <c r="AE18" s="107"/>
      <c r="AF18" s="107"/>
      <c r="AG18" s="32"/>
      <c r="AI18" s="285" t="s">
        <v>443</v>
      </c>
      <c r="AJ18" s="148"/>
      <c r="AK18" s="148"/>
      <c r="AL18" s="148"/>
      <c r="AM18" s="148"/>
    </row>
    <row r="19" spans="1:39" ht="21" customHeight="1" x14ac:dyDescent="0.3">
      <c r="B19" s="107"/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18" t="s">
        <v>105</v>
      </c>
      <c r="V19" s="107"/>
      <c r="W19" s="110"/>
      <c r="X19" s="107"/>
      <c r="Y19" s="107"/>
      <c r="Z19" s="107"/>
      <c r="AA19" s="107"/>
      <c r="AB19" s="107"/>
      <c r="AC19" s="107"/>
      <c r="AD19" s="107"/>
      <c r="AE19" s="107"/>
      <c r="AF19" s="107"/>
      <c r="AG19" s="32"/>
      <c r="AI19" s="148"/>
      <c r="AJ19" s="148"/>
      <c r="AK19" s="148"/>
      <c r="AL19" s="148"/>
      <c r="AM19" s="148"/>
    </row>
    <row r="20" spans="1:39" ht="21" customHeight="1" x14ac:dyDescent="0.3">
      <c r="B20" s="107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98" t="s">
        <v>108</v>
      </c>
      <c r="V20" s="107"/>
      <c r="W20" s="110"/>
      <c r="X20" s="107"/>
      <c r="Y20" s="107"/>
      <c r="Z20" s="107"/>
      <c r="AA20" s="107"/>
      <c r="AB20" s="107"/>
      <c r="AC20" s="107"/>
      <c r="AD20" s="107"/>
      <c r="AE20" s="107"/>
      <c r="AF20" s="107"/>
      <c r="AG20" s="32"/>
      <c r="AI20" s="148"/>
      <c r="AJ20" s="148"/>
      <c r="AK20" s="148"/>
      <c r="AL20" s="148"/>
      <c r="AM20" s="148"/>
    </row>
    <row r="21" spans="1:39" ht="21" customHeight="1" x14ac:dyDescent="0.3">
      <c r="B21" s="111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98" t="s">
        <v>136</v>
      </c>
      <c r="V21" s="118" t="s">
        <v>105</v>
      </c>
      <c r="W21" s="118" t="s">
        <v>105</v>
      </c>
      <c r="X21" s="118" t="s">
        <v>105</v>
      </c>
      <c r="Y21" s="118" t="s">
        <v>105</v>
      </c>
      <c r="Z21" s="118" t="s">
        <v>105</v>
      </c>
      <c r="AA21" s="118" t="s">
        <v>105</v>
      </c>
      <c r="AB21" s="118" t="s">
        <v>105</v>
      </c>
      <c r="AC21" s="98" t="s">
        <v>118</v>
      </c>
      <c r="AD21" s="107"/>
      <c r="AE21" s="107"/>
      <c r="AF21" s="107"/>
      <c r="AG21" s="32"/>
    </row>
    <row r="22" spans="1:39" ht="21" customHeight="1" x14ac:dyDescent="0.3">
      <c r="B22" s="112"/>
      <c r="C22" s="113"/>
      <c r="D22" s="113"/>
      <c r="E22" s="113"/>
      <c r="F22" s="113"/>
      <c r="G22" s="113"/>
      <c r="H22" s="113"/>
      <c r="I22" s="113"/>
      <c r="J22" s="113"/>
      <c r="K22" s="113"/>
      <c r="L22" s="112"/>
      <c r="M22" s="113"/>
      <c r="N22" s="113"/>
      <c r="O22" s="113"/>
      <c r="P22" s="113"/>
      <c r="Q22" s="113"/>
      <c r="R22" s="113"/>
      <c r="S22" s="113"/>
      <c r="T22" s="113"/>
      <c r="U22" s="113"/>
      <c r="V22" s="112"/>
      <c r="W22" s="109"/>
      <c r="X22" s="109"/>
      <c r="Y22" s="109"/>
      <c r="Z22" s="109"/>
      <c r="AA22" s="109"/>
      <c r="AB22" s="109"/>
      <c r="AC22" s="110"/>
      <c r="AD22" s="113"/>
      <c r="AE22" s="113"/>
      <c r="AF22" s="107"/>
      <c r="AG22" s="32"/>
    </row>
    <row r="23" spans="1:39" ht="21" customHeight="1" x14ac:dyDescent="0.3">
      <c r="B23" s="107"/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33"/>
    </row>
    <row r="24" spans="1:39" ht="21" customHeight="1" x14ac:dyDescent="0.3"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I24" s="213" t="s">
        <v>444</v>
      </c>
      <c r="AJ24" s="148"/>
      <c r="AK24" s="148"/>
      <c r="AL24" s="148"/>
      <c r="AM24" s="148"/>
    </row>
    <row r="26" spans="1:39" ht="24.95" customHeight="1" x14ac:dyDescent="0.3">
      <c r="A26" s="147" t="s">
        <v>141</v>
      </c>
      <c r="B26" s="148"/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  <c r="AD26" s="148"/>
      <c r="AE26" s="148"/>
      <c r="AF26" s="148"/>
      <c r="AG26" s="148"/>
      <c r="AH26" s="148"/>
      <c r="AI26" s="148"/>
      <c r="AJ26" s="148"/>
      <c r="AK26" s="148"/>
      <c r="AL26" s="148"/>
      <c r="AM26" s="148"/>
    </row>
    <row r="27" spans="1:39" x14ac:dyDescent="0.3">
      <c r="A27" s="1" t="s">
        <v>142</v>
      </c>
      <c r="B27" s="1" t="s">
        <v>143</v>
      </c>
      <c r="C27" s="1" t="s">
        <v>144</v>
      </c>
      <c r="D27" s="1" t="s">
        <v>145</v>
      </c>
      <c r="E27" s="1" t="s">
        <v>146</v>
      </c>
      <c r="F27" s="1" t="s">
        <v>147</v>
      </c>
      <c r="G27" s="1" t="s">
        <v>148</v>
      </c>
      <c r="H27" s="1" t="s">
        <v>149</v>
      </c>
      <c r="I27" s="1" t="s">
        <v>150</v>
      </c>
      <c r="J27" s="1" t="s">
        <v>151</v>
      </c>
      <c r="K27" s="1" t="s">
        <v>23</v>
      </c>
    </row>
    <row r="28" spans="1:39" ht="39" customHeight="1" x14ac:dyDescent="0.3">
      <c r="A28" s="30" t="s">
        <v>152</v>
      </c>
      <c r="B28" s="14">
        <v>0</v>
      </c>
      <c r="C28" s="14">
        <v>25</v>
      </c>
      <c r="D28" s="14">
        <f>C28-B28</f>
        <v>25</v>
      </c>
      <c r="E28" s="15" t="str">
        <f>TEXT(B28/86400,"m:ss")&amp;"~"&amp;TEXT(C28/86400,"m:ss")</f>
        <v>0:00~0:25</v>
      </c>
      <c r="F28" s="16" t="s">
        <v>445</v>
      </c>
      <c r="G28" s="16" t="s">
        <v>446</v>
      </c>
      <c r="H28" s="16" t="s">
        <v>447</v>
      </c>
      <c r="I28" s="16" t="s">
        <v>448</v>
      </c>
      <c r="J28" s="16" t="s">
        <v>449</v>
      </c>
      <c r="K28" s="15" t="s">
        <v>41</v>
      </c>
    </row>
    <row r="29" spans="1:39" ht="39" customHeight="1" x14ac:dyDescent="0.3">
      <c r="A29" s="34" t="s">
        <v>136</v>
      </c>
      <c r="B29" s="14">
        <v>25</v>
      </c>
      <c r="C29" s="14">
        <v>55</v>
      </c>
      <c r="D29" s="14">
        <f>C29-B29</f>
        <v>30</v>
      </c>
      <c r="E29" s="15" t="str">
        <f>TEXT(B29/86400,"m:ss")&amp;"~"&amp;TEXT(C29/86400,"m:ss")</f>
        <v>0:25~0:55</v>
      </c>
      <c r="F29" s="16" t="s">
        <v>450</v>
      </c>
      <c r="G29" s="16" t="s">
        <v>451</v>
      </c>
      <c r="H29" s="16" t="s">
        <v>452</v>
      </c>
      <c r="I29" s="16" t="s">
        <v>453</v>
      </c>
      <c r="J29" s="16" t="s">
        <v>454</v>
      </c>
      <c r="K29" s="15" t="s">
        <v>41</v>
      </c>
    </row>
    <row r="30" spans="1:39" ht="39" customHeight="1" x14ac:dyDescent="0.3">
      <c r="A30" s="35" t="s">
        <v>133</v>
      </c>
      <c r="B30" s="14">
        <v>55</v>
      </c>
      <c r="C30" s="14">
        <v>90</v>
      </c>
      <c r="D30" s="14">
        <f>C30-B30</f>
        <v>35</v>
      </c>
      <c r="E30" s="15" t="str">
        <f>TEXT(B30/86400,"m:ss")&amp;"~"&amp;TEXT(C30/86400,"m:ss")</f>
        <v>0:55~1:30</v>
      </c>
      <c r="F30" s="16" t="s">
        <v>455</v>
      </c>
      <c r="G30" s="16" t="s">
        <v>456</v>
      </c>
      <c r="H30" s="16" t="s">
        <v>457</v>
      </c>
      <c r="I30" s="16" t="s">
        <v>458</v>
      </c>
      <c r="J30" s="16" t="s">
        <v>459</v>
      </c>
      <c r="K30" s="15" t="s">
        <v>41</v>
      </c>
    </row>
    <row r="31" spans="1:39" ht="39" customHeight="1" x14ac:dyDescent="0.3">
      <c r="A31" s="36" t="s">
        <v>132</v>
      </c>
      <c r="B31" s="14">
        <v>90</v>
      </c>
      <c r="C31" s="14">
        <v>120</v>
      </c>
      <c r="D31" s="14">
        <f>C31-B31</f>
        <v>30</v>
      </c>
      <c r="E31" s="15" t="str">
        <f>TEXT(B31/86400,"m:ss")&amp;"~"&amp;TEXT(C31/86400,"m:ss")</f>
        <v>1:30~2:00</v>
      </c>
      <c r="F31" s="16" t="s">
        <v>460</v>
      </c>
      <c r="G31" s="16" t="s">
        <v>461</v>
      </c>
      <c r="H31" s="16" t="s">
        <v>462</v>
      </c>
      <c r="I31" s="16" t="s">
        <v>463</v>
      </c>
      <c r="J31" s="16" t="s">
        <v>464</v>
      </c>
      <c r="K31" s="15" t="s">
        <v>41</v>
      </c>
    </row>
    <row r="32" spans="1:39" ht="24" customHeight="1" x14ac:dyDescent="0.3">
      <c r="A32" s="37" t="s">
        <v>179</v>
      </c>
      <c r="B32" s="37"/>
      <c r="C32" s="37"/>
      <c r="D32" s="37">
        <f>SUM(D28:D31)</f>
        <v>120</v>
      </c>
      <c r="E32" s="37" t="str">
        <f>TEXT(D32/86400,"m:ss")</f>
        <v>2:00</v>
      </c>
      <c r="F32" s="37"/>
      <c r="G32" s="37"/>
      <c r="H32" s="37"/>
      <c r="I32" s="37"/>
      <c r="J32" s="37" t="s">
        <v>465</v>
      </c>
      <c r="K32" s="37"/>
    </row>
    <row r="34" spans="1:39" x14ac:dyDescent="0.3">
      <c r="A34" s="212" t="s">
        <v>466</v>
      </c>
      <c r="B34" s="148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  <c r="W34" s="148"/>
      <c r="X34" s="148"/>
      <c r="Y34" s="148"/>
      <c r="Z34" s="148"/>
      <c r="AA34" s="148"/>
      <c r="AB34" s="148"/>
      <c r="AC34" s="148"/>
      <c r="AD34" s="148"/>
      <c r="AE34" s="148"/>
      <c r="AF34" s="148"/>
      <c r="AG34" s="148"/>
      <c r="AH34" s="148"/>
      <c r="AI34" s="148"/>
      <c r="AJ34" s="148"/>
      <c r="AK34" s="148"/>
      <c r="AL34" s="148"/>
      <c r="AM34" s="148"/>
    </row>
    <row r="35" spans="1:39" x14ac:dyDescent="0.3">
      <c r="A35" s="148"/>
      <c r="B35" s="148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148"/>
      <c r="AE35" s="148"/>
      <c r="AF35" s="148"/>
      <c r="AG35" s="148"/>
      <c r="AH35" s="148"/>
      <c r="AI35" s="148"/>
      <c r="AJ35" s="148"/>
      <c r="AK35" s="148"/>
      <c r="AL35" s="148"/>
      <c r="AM35" s="148"/>
    </row>
  </sheetData>
  <mergeCells count="21">
    <mergeCell ref="AI24:AM24"/>
    <mergeCell ref="A34:AM35"/>
    <mergeCell ref="A26:AM26"/>
    <mergeCell ref="P4:V4"/>
    <mergeCell ref="AI15:AM17"/>
    <mergeCell ref="AI9:AM11"/>
    <mergeCell ref="I4:N4"/>
    <mergeCell ref="B5:G5"/>
    <mergeCell ref="B4:G4"/>
    <mergeCell ref="T7:AF8"/>
    <mergeCell ref="J7:R8"/>
    <mergeCell ref="AI12:AM14"/>
    <mergeCell ref="B7:H8"/>
    <mergeCell ref="AI18:AM20"/>
    <mergeCell ref="X5:AD5"/>
    <mergeCell ref="A1:AM1"/>
    <mergeCell ref="X4:AD4"/>
    <mergeCell ref="AI7:AM8"/>
    <mergeCell ref="P5:V5"/>
    <mergeCell ref="I5:N5"/>
    <mergeCell ref="A2:AM2"/>
  </mergeCells>
  <phoneticPr fontId="42" type="noConversion"/>
  <pageMargins left="0.2" right="0.2" top="0.3" bottom="0.3" header="0.5" footer="0.5"/>
  <pageSetup scale="38" orientation="landscape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M36"/>
  <sheetViews>
    <sheetView showGridLines="0" workbookViewId="0">
      <pane xSplit="1" ySplit="6" topLeftCell="B7" activePane="bottomRight" state="frozen"/>
      <selection pane="topRight"/>
      <selection pane="bottomLeft"/>
      <selection pane="bottomRight" sqref="A1:AM1"/>
    </sheetView>
  </sheetViews>
  <sheetFormatPr defaultRowHeight="16.5" x14ac:dyDescent="0.3"/>
  <cols>
    <col min="1" max="1" width="8" customWidth="1"/>
    <col min="2" max="3" width="10" customWidth="1"/>
    <col min="4" max="4" width="11" customWidth="1"/>
    <col min="5" max="5" width="15" customWidth="1"/>
    <col min="6" max="6" width="22" customWidth="1"/>
    <col min="7" max="7" width="25" customWidth="1"/>
    <col min="8" max="8" width="28" customWidth="1"/>
    <col min="9" max="9" width="20" customWidth="1"/>
    <col min="10" max="10" width="22" customWidth="1"/>
    <col min="11" max="11" width="18" customWidth="1"/>
    <col min="12" max="33" width="3.75" customWidth="1"/>
    <col min="35" max="39" width="8.5" customWidth="1"/>
  </cols>
  <sheetData>
    <row r="1" spans="1:39" ht="38.1" customHeight="1" x14ac:dyDescent="0.3">
      <c r="A1" s="162" t="s">
        <v>467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</row>
    <row r="2" spans="1:39" ht="27.95" customHeight="1" x14ac:dyDescent="0.3">
      <c r="A2" s="173" t="s">
        <v>468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</row>
    <row r="4" spans="1:39" x14ac:dyDescent="0.3">
      <c r="B4" s="286" t="s">
        <v>125</v>
      </c>
      <c r="C4" s="148"/>
      <c r="D4" s="148"/>
      <c r="E4" s="148"/>
      <c r="F4" s="148"/>
      <c r="G4" s="148"/>
      <c r="I4" s="286" t="s">
        <v>23</v>
      </c>
      <c r="J4" s="148"/>
      <c r="K4" s="148"/>
      <c r="L4" s="148"/>
      <c r="M4" s="148"/>
      <c r="N4" s="148"/>
      <c r="P4" s="286" t="s">
        <v>126</v>
      </c>
      <c r="Q4" s="148"/>
      <c r="R4" s="148"/>
      <c r="S4" s="148"/>
      <c r="T4" s="148"/>
      <c r="U4" s="148"/>
      <c r="V4" s="148"/>
      <c r="X4" s="286" t="s">
        <v>26</v>
      </c>
      <c r="Y4" s="148"/>
      <c r="Z4" s="148"/>
      <c r="AA4" s="148"/>
      <c r="AB4" s="148"/>
      <c r="AC4" s="148"/>
      <c r="AD4" s="148"/>
    </row>
    <row r="5" spans="1:39" x14ac:dyDescent="0.3">
      <c r="B5" s="287" t="s">
        <v>81</v>
      </c>
      <c r="C5" s="148"/>
      <c r="D5" s="148"/>
      <c r="E5" s="148"/>
      <c r="F5" s="148"/>
      <c r="G5" s="148"/>
      <c r="I5" s="287" t="s">
        <v>41</v>
      </c>
      <c r="J5" s="148"/>
      <c r="K5" s="148"/>
      <c r="L5" s="148"/>
      <c r="M5" s="148"/>
      <c r="N5" s="148"/>
      <c r="P5" s="287" t="s">
        <v>469</v>
      </c>
      <c r="Q5" s="148"/>
      <c r="R5" s="148"/>
      <c r="S5" s="148"/>
      <c r="T5" s="148"/>
      <c r="U5" s="148"/>
      <c r="V5" s="148"/>
      <c r="X5" s="287" t="s">
        <v>48</v>
      </c>
      <c r="Y5" s="148"/>
      <c r="Z5" s="148"/>
      <c r="AA5" s="148"/>
      <c r="AB5" s="148"/>
      <c r="AC5" s="148"/>
      <c r="AD5" s="148"/>
    </row>
    <row r="7" spans="1:39" ht="21" customHeight="1" x14ac:dyDescent="0.3">
      <c r="B7" s="225" t="s">
        <v>128</v>
      </c>
      <c r="C7" s="217"/>
      <c r="D7" s="217"/>
      <c r="E7" s="217"/>
      <c r="F7" s="217"/>
      <c r="G7" s="217"/>
      <c r="H7" s="218"/>
      <c r="I7" s="85"/>
      <c r="J7" s="291" t="s">
        <v>47</v>
      </c>
      <c r="K7" s="217"/>
      <c r="L7" s="217"/>
      <c r="M7" s="217"/>
      <c r="N7" s="217"/>
      <c r="O7" s="217"/>
      <c r="P7" s="217"/>
      <c r="Q7" s="217"/>
      <c r="R7" s="218"/>
      <c r="S7" s="85"/>
      <c r="T7" s="290" t="s">
        <v>470</v>
      </c>
      <c r="U7" s="217"/>
      <c r="V7" s="217"/>
      <c r="W7" s="217"/>
      <c r="X7" s="217"/>
      <c r="Y7" s="217"/>
      <c r="Z7" s="217"/>
      <c r="AA7" s="217"/>
      <c r="AB7" s="217"/>
      <c r="AC7" s="217"/>
      <c r="AD7" s="217"/>
      <c r="AE7" s="217"/>
      <c r="AF7" s="218"/>
      <c r="AG7" s="40"/>
      <c r="AI7" s="210" t="s">
        <v>130</v>
      </c>
      <c r="AJ7" s="148"/>
      <c r="AK7" s="148"/>
      <c r="AL7" s="148"/>
      <c r="AM7" s="148"/>
    </row>
    <row r="8" spans="1:39" ht="21" customHeight="1" x14ac:dyDescent="0.3">
      <c r="B8" s="219"/>
      <c r="C8" s="220"/>
      <c r="D8" s="220"/>
      <c r="E8" s="220"/>
      <c r="F8" s="220"/>
      <c r="G8" s="220"/>
      <c r="H8" s="221"/>
      <c r="I8" s="85"/>
      <c r="J8" s="219"/>
      <c r="K8" s="220"/>
      <c r="L8" s="220"/>
      <c r="M8" s="220"/>
      <c r="N8" s="220"/>
      <c r="O8" s="220"/>
      <c r="P8" s="220"/>
      <c r="Q8" s="220"/>
      <c r="R8" s="221"/>
      <c r="S8" s="85"/>
      <c r="T8" s="219"/>
      <c r="U8" s="220"/>
      <c r="V8" s="220"/>
      <c r="W8" s="220"/>
      <c r="X8" s="220"/>
      <c r="Y8" s="220"/>
      <c r="Z8" s="220"/>
      <c r="AA8" s="220"/>
      <c r="AB8" s="220"/>
      <c r="AC8" s="220"/>
      <c r="AD8" s="220"/>
      <c r="AE8" s="220"/>
      <c r="AF8" s="221"/>
      <c r="AG8" s="39"/>
      <c r="AI8" s="148"/>
      <c r="AJ8" s="148"/>
      <c r="AK8" s="148"/>
      <c r="AL8" s="148"/>
      <c r="AM8" s="148"/>
    </row>
    <row r="9" spans="1:39" ht="21" customHeight="1" x14ac:dyDescent="0.3"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39"/>
      <c r="AI9" s="289" t="s">
        <v>471</v>
      </c>
      <c r="AJ9" s="148"/>
      <c r="AK9" s="148"/>
      <c r="AL9" s="148"/>
      <c r="AM9" s="148"/>
    </row>
    <row r="10" spans="1:39" ht="21" customHeight="1" x14ac:dyDescent="0.3">
      <c r="B10" s="107"/>
      <c r="C10" s="107"/>
      <c r="D10" s="107"/>
      <c r="E10" s="119" t="s">
        <v>105</v>
      </c>
      <c r="F10" s="119" t="s">
        <v>105</v>
      </c>
      <c r="G10" s="119" t="s">
        <v>105</v>
      </c>
      <c r="H10" s="119" t="s">
        <v>105</v>
      </c>
      <c r="I10" s="119" t="s">
        <v>105</v>
      </c>
      <c r="J10" s="119" t="s">
        <v>105</v>
      </c>
      <c r="K10" s="102" t="s">
        <v>106</v>
      </c>
      <c r="L10" s="102" t="s">
        <v>133</v>
      </c>
      <c r="M10" s="119" t="s">
        <v>105</v>
      </c>
      <c r="N10" s="119" t="s">
        <v>105</v>
      </c>
      <c r="O10" s="119" t="s">
        <v>105</v>
      </c>
      <c r="P10" s="119" t="s">
        <v>105</v>
      </c>
      <c r="Q10" s="119" t="s">
        <v>105</v>
      </c>
      <c r="R10" s="119" t="s">
        <v>105</v>
      </c>
      <c r="S10" s="119" t="s">
        <v>105</v>
      </c>
      <c r="T10" s="119" t="s">
        <v>105</v>
      </c>
      <c r="U10" s="102" t="s">
        <v>107</v>
      </c>
      <c r="V10" s="119" t="s">
        <v>105</v>
      </c>
      <c r="W10" s="119" t="s">
        <v>105</v>
      </c>
      <c r="X10" s="119" t="s">
        <v>105</v>
      </c>
      <c r="Y10" s="119" t="s">
        <v>105</v>
      </c>
      <c r="Z10" s="102" t="s">
        <v>136</v>
      </c>
      <c r="AA10" s="119" t="s">
        <v>105</v>
      </c>
      <c r="AB10" s="119" t="s">
        <v>105</v>
      </c>
      <c r="AC10" s="119" t="s">
        <v>105</v>
      </c>
      <c r="AD10" s="107"/>
      <c r="AE10" s="107"/>
      <c r="AF10" s="107"/>
      <c r="AG10" s="40"/>
      <c r="AI10" s="148"/>
      <c r="AJ10" s="148"/>
      <c r="AK10" s="148"/>
      <c r="AL10" s="148"/>
      <c r="AM10" s="148"/>
    </row>
    <row r="11" spans="1:39" ht="21" customHeight="1" x14ac:dyDescent="0.3">
      <c r="B11" s="107"/>
      <c r="C11" s="107"/>
      <c r="D11" s="109"/>
      <c r="E11" s="119" t="s">
        <v>105</v>
      </c>
      <c r="F11" s="109"/>
      <c r="G11" s="109"/>
      <c r="H11" s="109"/>
      <c r="I11" s="109"/>
      <c r="J11" s="109"/>
      <c r="K11" s="109"/>
      <c r="L11" s="109"/>
      <c r="M11" s="109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19" t="s">
        <v>105</v>
      </c>
      <c r="AD11" s="107"/>
      <c r="AE11" s="107"/>
      <c r="AF11" s="107"/>
      <c r="AG11" s="39"/>
      <c r="AI11" s="148"/>
      <c r="AJ11" s="148"/>
      <c r="AK11" s="148"/>
      <c r="AL11" s="148"/>
      <c r="AM11" s="148"/>
    </row>
    <row r="12" spans="1:39" ht="21" customHeight="1" x14ac:dyDescent="0.3">
      <c r="B12" s="107"/>
      <c r="C12" s="107"/>
      <c r="D12" s="107"/>
      <c r="E12" s="119" t="s">
        <v>105</v>
      </c>
      <c r="F12" s="107"/>
      <c r="G12" s="107"/>
      <c r="H12" s="107"/>
      <c r="I12" s="107"/>
      <c r="J12" s="107"/>
      <c r="K12" s="107"/>
      <c r="L12" s="107"/>
      <c r="M12" s="109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2" t="s">
        <v>108</v>
      </c>
      <c r="AD12" s="107"/>
      <c r="AE12" s="107"/>
      <c r="AF12" s="107"/>
      <c r="AG12" s="39"/>
      <c r="AI12" s="292" t="s">
        <v>472</v>
      </c>
      <c r="AJ12" s="148"/>
      <c r="AK12" s="148"/>
      <c r="AL12" s="148"/>
      <c r="AM12" s="148"/>
    </row>
    <row r="13" spans="1:39" ht="21" customHeight="1" x14ac:dyDescent="0.3">
      <c r="B13" s="107"/>
      <c r="C13" s="107"/>
      <c r="D13" s="107"/>
      <c r="E13" s="119" t="s">
        <v>105</v>
      </c>
      <c r="F13" s="107"/>
      <c r="G13" s="107"/>
      <c r="H13" s="107"/>
      <c r="I13" s="107"/>
      <c r="J13" s="107"/>
      <c r="K13" s="107"/>
      <c r="L13" s="107"/>
      <c r="M13" s="110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19" t="s">
        <v>105</v>
      </c>
      <c r="AD13" s="107"/>
      <c r="AE13" s="107"/>
      <c r="AF13" s="107"/>
      <c r="AG13" s="40"/>
      <c r="AI13" s="148"/>
      <c r="AJ13" s="148"/>
      <c r="AK13" s="148"/>
      <c r="AL13" s="148"/>
      <c r="AM13" s="148"/>
    </row>
    <row r="14" spans="1:39" ht="21" customHeight="1" x14ac:dyDescent="0.3">
      <c r="B14" s="107"/>
      <c r="C14" s="107"/>
      <c r="D14" s="107"/>
      <c r="E14" s="102" t="s">
        <v>109</v>
      </c>
      <c r="F14" s="107"/>
      <c r="G14" s="107"/>
      <c r="H14" s="107"/>
      <c r="I14" s="107"/>
      <c r="J14" s="107"/>
      <c r="K14" s="107"/>
      <c r="L14" s="107"/>
      <c r="M14" s="109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11"/>
      <c r="AB14" s="112"/>
      <c r="AC14" s="119" t="s">
        <v>105</v>
      </c>
      <c r="AD14" s="113"/>
      <c r="AE14" s="113"/>
      <c r="AF14" s="107"/>
      <c r="AG14" s="39"/>
      <c r="AI14" s="148"/>
      <c r="AJ14" s="148"/>
      <c r="AK14" s="148"/>
      <c r="AL14" s="148"/>
      <c r="AM14" s="148"/>
    </row>
    <row r="15" spans="1:39" ht="21" customHeight="1" x14ac:dyDescent="0.3">
      <c r="B15" s="107"/>
      <c r="C15" s="107"/>
      <c r="D15" s="107"/>
      <c r="E15" s="119" t="s">
        <v>105</v>
      </c>
      <c r="F15" s="107"/>
      <c r="G15" s="107"/>
      <c r="H15" s="107"/>
      <c r="I15" s="107"/>
      <c r="J15" s="107"/>
      <c r="K15" s="107"/>
      <c r="L15" s="107"/>
      <c r="M15" s="109"/>
      <c r="N15" s="107"/>
      <c r="O15" s="107"/>
      <c r="P15" s="109"/>
      <c r="Q15" s="109"/>
      <c r="R15" s="109"/>
      <c r="S15" s="110"/>
      <c r="T15" s="110"/>
      <c r="U15" s="109"/>
      <c r="V15" s="109"/>
      <c r="W15" s="109"/>
      <c r="X15" s="109"/>
      <c r="Y15" s="109"/>
      <c r="Z15" s="109"/>
      <c r="AA15" s="109"/>
      <c r="AB15" s="107"/>
      <c r="AC15" s="119" t="s">
        <v>105</v>
      </c>
      <c r="AD15" s="107"/>
      <c r="AE15" s="113"/>
      <c r="AF15" s="107"/>
      <c r="AG15" s="39"/>
      <c r="AI15" s="288" t="s">
        <v>473</v>
      </c>
      <c r="AJ15" s="148"/>
      <c r="AK15" s="148"/>
      <c r="AL15" s="148"/>
      <c r="AM15" s="148"/>
    </row>
    <row r="16" spans="1:39" ht="21" customHeight="1" x14ac:dyDescent="0.3">
      <c r="B16" s="107"/>
      <c r="C16" s="107"/>
      <c r="D16" s="107"/>
      <c r="E16" s="119" t="s">
        <v>105</v>
      </c>
      <c r="F16" s="102" t="s">
        <v>132</v>
      </c>
      <c r="G16" s="119" t="s">
        <v>105</v>
      </c>
      <c r="H16" s="119" t="s">
        <v>105</v>
      </c>
      <c r="I16" s="119" t="s">
        <v>105</v>
      </c>
      <c r="J16" s="119" t="s">
        <v>105</v>
      </c>
      <c r="K16" s="119" t="s">
        <v>105</v>
      </c>
      <c r="L16" s="119" t="s">
        <v>105</v>
      </c>
      <c r="M16" s="102" t="s">
        <v>110</v>
      </c>
      <c r="N16" s="119" t="s">
        <v>105</v>
      </c>
      <c r="O16" s="119" t="s">
        <v>105</v>
      </c>
      <c r="P16" s="119" t="s">
        <v>105</v>
      </c>
      <c r="Q16" s="119" t="s">
        <v>105</v>
      </c>
      <c r="R16" s="119" t="s">
        <v>105</v>
      </c>
      <c r="S16" s="119" t="s">
        <v>105</v>
      </c>
      <c r="T16" s="102" t="s">
        <v>138</v>
      </c>
      <c r="U16" s="119" t="s">
        <v>105</v>
      </c>
      <c r="V16" s="119" t="s">
        <v>105</v>
      </c>
      <c r="W16" s="102" t="s">
        <v>113</v>
      </c>
      <c r="X16" s="119" t="s">
        <v>105</v>
      </c>
      <c r="Y16" s="107"/>
      <c r="Z16" s="107"/>
      <c r="AA16" s="109"/>
      <c r="AB16" s="107"/>
      <c r="AC16" s="119" t="s">
        <v>105</v>
      </c>
      <c r="AD16" s="107"/>
      <c r="AE16" s="113"/>
      <c r="AF16" s="107"/>
      <c r="AG16" s="40"/>
      <c r="AI16" s="148"/>
      <c r="AJ16" s="148"/>
      <c r="AK16" s="148"/>
      <c r="AL16" s="148"/>
      <c r="AM16" s="148"/>
    </row>
    <row r="17" spans="1:39" ht="21" customHeight="1" x14ac:dyDescent="0.3">
      <c r="B17" s="107"/>
      <c r="C17" s="107"/>
      <c r="D17" s="107"/>
      <c r="E17" s="107"/>
      <c r="F17" s="107"/>
      <c r="G17" s="107"/>
      <c r="H17" s="109"/>
      <c r="I17" s="109"/>
      <c r="J17" s="109"/>
      <c r="K17" s="109"/>
      <c r="L17" s="109"/>
      <c r="M17" s="109"/>
      <c r="N17" s="107"/>
      <c r="O17" s="107"/>
      <c r="P17" s="109"/>
      <c r="Q17" s="107"/>
      <c r="R17" s="107"/>
      <c r="S17" s="107"/>
      <c r="T17" s="107"/>
      <c r="U17" s="107"/>
      <c r="V17" s="107"/>
      <c r="W17" s="107"/>
      <c r="X17" s="119" t="s">
        <v>105</v>
      </c>
      <c r="Y17" s="107"/>
      <c r="Z17" s="107"/>
      <c r="AA17" s="110"/>
      <c r="AB17" s="107"/>
      <c r="AC17" s="119" t="s">
        <v>105</v>
      </c>
      <c r="AD17" s="107"/>
      <c r="AE17" s="113"/>
      <c r="AF17" s="107"/>
      <c r="AG17" s="39"/>
      <c r="AI17" s="148"/>
      <c r="AJ17" s="148"/>
      <c r="AK17" s="148"/>
      <c r="AL17" s="148"/>
      <c r="AM17" s="148"/>
    </row>
    <row r="18" spans="1:39" ht="21" customHeight="1" x14ac:dyDescent="0.3">
      <c r="B18" s="113"/>
      <c r="C18" s="113"/>
      <c r="D18" s="113"/>
      <c r="E18" s="113"/>
      <c r="F18" s="113"/>
      <c r="G18" s="113"/>
      <c r="H18" s="110"/>
      <c r="I18" s="113"/>
      <c r="J18" s="113"/>
      <c r="K18" s="113"/>
      <c r="L18" s="113"/>
      <c r="M18" s="113"/>
      <c r="N18" s="113"/>
      <c r="O18" s="113"/>
      <c r="P18" s="109"/>
      <c r="Q18" s="113"/>
      <c r="R18" s="112"/>
      <c r="S18" s="113"/>
      <c r="T18" s="113"/>
      <c r="U18" s="113"/>
      <c r="V18" s="113"/>
      <c r="W18" s="113"/>
      <c r="X18" s="119" t="s">
        <v>105</v>
      </c>
      <c r="Y18" s="113"/>
      <c r="Z18" s="113"/>
      <c r="AA18" s="109"/>
      <c r="AB18" s="112"/>
      <c r="AC18" s="119" t="s">
        <v>105</v>
      </c>
      <c r="AD18" s="113"/>
      <c r="AE18" s="113"/>
      <c r="AF18" s="107"/>
      <c r="AG18" s="39"/>
      <c r="AI18" s="294" t="s">
        <v>474</v>
      </c>
      <c r="AJ18" s="148"/>
      <c r="AK18" s="148"/>
      <c r="AL18" s="148"/>
      <c r="AM18" s="148"/>
    </row>
    <row r="19" spans="1:39" ht="21" customHeight="1" x14ac:dyDescent="0.3">
      <c r="B19" s="113"/>
      <c r="C19" s="107"/>
      <c r="D19" s="107"/>
      <c r="E19" s="107"/>
      <c r="F19" s="107"/>
      <c r="G19" s="107"/>
      <c r="H19" s="109"/>
      <c r="I19" s="107"/>
      <c r="J19" s="107"/>
      <c r="K19" s="107"/>
      <c r="L19" s="107"/>
      <c r="M19" s="107"/>
      <c r="N19" s="107"/>
      <c r="O19" s="107"/>
      <c r="P19" s="109"/>
      <c r="Q19" s="107"/>
      <c r="R19" s="107"/>
      <c r="S19" s="107"/>
      <c r="T19" s="107"/>
      <c r="U19" s="109"/>
      <c r="V19" s="109"/>
      <c r="W19" s="109"/>
      <c r="X19" s="119" t="s">
        <v>105</v>
      </c>
      <c r="Y19" s="109"/>
      <c r="Z19" s="109"/>
      <c r="AA19" s="109"/>
      <c r="AB19" s="107"/>
      <c r="AC19" s="119" t="s">
        <v>105</v>
      </c>
      <c r="AD19" s="107"/>
      <c r="AE19" s="107"/>
      <c r="AF19" s="107"/>
      <c r="AG19" s="40"/>
      <c r="AI19" s="148"/>
      <c r="AJ19" s="148"/>
      <c r="AK19" s="148"/>
      <c r="AL19" s="148"/>
      <c r="AM19" s="148"/>
    </row>
    <row r="20" spans="1:39" ht="21" customHeight="1" x14ac:dyDescent="0.3">
      <c r="B20" s="113"/>
      <c r="C20" s="107"/>
      <c r="D20" s="107"/>
      <c r="E20" s="107"/>
      <c r="F20" s="107"/>
      <c r="G20" s="107"/>
      <c r="H20" s="109"/>
      <c r="I20" s="107"/>
      <c r="J20" s="107"/>
      <c r="K20" s="107"/>
      <c r="L20" s="107"/>
      <c r="M20" s="107"/>
      <c r="N20" s="107"/>
      <c r="O20" s="107"/>
      <c r="P20" s="109"/>
      <c r="Q20" s="107"/>
      <c r="R20" s="107"/>
      <c r="S20" s="107"/>
      <c r="T20" s="107"/>
      <c r="U20" s="109"/>
      <c r="V20" s="107"/>
      <c r="W20" s="107"/>
      <c r="X20" s="119" t="s">
        <v>105</v>
      </c>
      <c r="Y20" s="107"/>
      <c r="Z20" s="107"/>
      <c r="AA20" s="107"/>
      <c r="AB20" s="107"/>
      <c r="AC20" s="119" t="s">
        <v>105</v>
      </c>
      <c r="AD20" s="107"/>
      <c r="AE20" s="107"/>
      <c r="AF20" s="107"/>
      <c r="AG20" s="39"/>
      <c r="AI20" s="148"/>
      <c r="AJ20" s="148"/>
      <c r="AK20" s="148"/>
      <c r="AL20" s="148"/>
      <c r="AM20" s="148"/>
    </row>
    <row r="21" spans="1:39" ht="21" customHeight="1" x14ac:dyDescent="0.3">
      <c r="B21" s="113"/>
      <c r="C21" s="107"/>
      <c r="D21" s="107"/>
      <c r="E21" s="107"/>
      <c r="F21" s="107"/>
      <c r="G21" s="107"/>
      <c r="H21" s="109"/>
      <c r="I21" s="109"/>
      <c r="J21" s="109"/>
      <c r="K21" s="109"/>
      <c r="L21" s="110"/>
      <c r="M21" s="109"/>
      <c r="N21" s="109"/>
      <c r="O21" s="110"/>
      <c r="P21" s="109"/>
      <c r="Q21" s="107"/>
      <c r="R21" s="107"/>
      <c r="S21" s="107"/>
      <c r="T21" s="107"/>
      <c r="U21" s="110"/>
      <c r="V21" s="107"/>
      <c r="W21" s="107"/>
      <c r="X21" s="119" t="s">
        <v>105</v>
      </c>
      <c r="Y21" s="107"/>
      <c r="Z21" s="107"/>
      <c r="AA21" s="107"/>
      <c r="AB21" s="107"/>
      <c r="AC21" s="102" t="s">
        <v>118</v>
      </c>
      <c r="AD21" s="107"/>
      <c r="AE21" s="116"/>
      <c r="AF21" s="107"/>
      <c r="AG21" s="39"/>
      <c r="AI21" s="293" t="s">
        <v>475</v>
      </c>
      <c r="AJ21" s="148"/>
      <c r="AK21" s="148"/>
      <c r="AL21" s="148"/>
      <c r="AM21" s="148"/>
    </row>
    <row r="22" spans="1:39" ht="21" customHeight="1" x14ac:dyDescent="0.3">
      <c r="B22" s="112"/>
      <c r="C22" s="113"/>
      <c r="D22" s="113"/>
      <c r="E22" s="113"/>
      <c r="F22" s="113"/>
      <c r="G22" s="113"/>
      <c r="H22" s="113"/>
      <c r="I22" s="113"/>
      <c r="J22" s="113"/>
      <c r="K22" s="113"/>
      <c r="L22" s="112"/>
      <c r="M22" s="113"/>
      <c r="N22" s="113"/>
      <c r="O22" s="113"/>
      <c r="P22" s="113"/>
      <c r="Q22" s="113"/>
      <c r="R22" s="113"/>
      <c r="S22" s="113"/>
      <c r="T22" s="114" t="s">
        <v>119</v>
      </c>
      <c r="U22" s="102" t="s">
        <v>112</v>
      </c>
      <c r="V22" s="119" t="s">
        <v>105</v>
      </c>
      <c r="W22" s="119" t="s">
        <v>105</v>
      </c>
      <c r="X22" s="119" t="s">
        <v>105</v>
      </c>
      <c r="Y22" s="109"/>
      <c r="Z22" s="109"/>
      <c r="AA22" s="109"/>
      <c r="AB22" s="109"/>
      <c r="AC22" s="110"/>
      <c r="AD22" s="113"/>
      <c r="AE22" s="113"/>
      <c r="AF22" s="107"/>
      <c r="AG22" s="40"/>
      <c r="AI22" s="148"/>
      <c r="AJ22" s="148"/>
      <c r="AK22" s="148"/>
      <c r="AL22" s="148"/>
      <c r="AM22" s="148"/>
    </row>
    <row r="23" spans="1:39" ht="21" customHeight="1" x14ac:dyDescent="0.3">
      <c r="B23" s="107"/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39"/>
      <c r="AI23" s="148"/>
      <c r="AJ23" s="148"/>
      <c r="AK23" s="148"/>
      <c r="AL23" s="148"/>
      <c r="AM23" s="148"/>
    </row>
    <row r="24" spans="1:39" ht="21" customHeight="1" x14ac:dyDescent="0.3">
      <c r="B24" s="39"/>
      <c r="C24" s="39"/>
      <c r="D24" s="40"/>
      <c r="E24" s="39"/>
      <c r="F24" s="39"/>
      <c r="G24" s="40"/>
      <c r="H24" s="39"/>
      <c r="I24" s="39"/>
      <c r="J24" s="40"/>
      <c r="K24" s="39"/>
      <c r="L24" s="39"/>
      <c r="M24" s="40"/>
      <c r="N24" s="39"/>
      <c r="O24" s="39"/>
      <c r="P24" s="40"/>
      <c r="Q24" s="39"/>
      <c r="R24" s="39"/>
      <c r="S24" s="40"/>
      <c r="T24" s="39"/>
      <c r="U24" s="39"/>
      <c r="V24" s="40"/>
      <c r="W24" s="39"/>
      <c r="X24" s="39"/>
      <c r="Y24" s="40"/>
      <c r="Z24" s="39"/>
      <c r="AA24" s="39"/>
      <c r="AB24" s="40"/>
      <c r="AC24" s="39"/>
      <c r="AD24" s="39"/>
      <c r="AE24" s="40"/>
      <c r="AF24" s="39"/>
      <c r="AG24" s="39"/>
      <c r="AI24" s="213" t="s">
        <v>476</v>
      </c>
      <c r="AJ24" s="148"/>
      <c r="AK24" s="148"/>
      <c r="AL24" s="148"/>
      <c r="AM24" s="148"/>
    </row>
    <row r="26" spans="1:39" ht="24.95" customHeight="1" x14ac:dyDescent="0.3">
      <c r="A26" s="147" t="s">
        <v>141</v>
      </c>
      <c r="B26" s="148"/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  <c r="AD26" s="148"/>
      <c r="AE26" s="148"/>
      <c r="AF26" s="148"/>
      <c r="AG26" s="148"/>
      <c r="AH26" s="148"/>
      <c r="AI26" s="148"/>
      <c r="AJ26" s="148"/>
      <c r="AK26" s="148"/>
      <c r="AL26" s="148"/>
      <c r="AM26" s="148"/>
    </row>
    <row r="27" spans="1:39" x14ac:dyDescent="0.3">
      <c r="A27" s="1" t="s">
        <v>142</v>
      </c>
      <c r="B27" s="1" t="s">
        <v>143</v>
      </c>
      <c r="C27" s="1" t="s">
        <v>144</v>
      </c>
      <c r="D27" s="1" t="s">
        <v>145</v>
      </c>
      <c r="E27" s="1" t="s">
        <v>146</v>
      </c>
      <c r="F27" s="1" t="s">
        <v>147</v>
      </c>
      <c r="G27" s="1" t="s">
        <v>148</v>
      </c>
      <c r="H27" s="1" t="s">
        <v>149</v>
      </c>
      <c r="I27" s="1" t="s">
        <v>150</v>
      </c>
      <c r="J27" s="1" t="s">
        <v>151</v>
      </c>
      <c r="K27" s="1" t="s">
        <v>23</v>
      </c>
    </row>
    <row r="28" spans="1:39" ht="39" customHeight="1" x14ac:dyDescent="0.3">
      <c r="A28" s="38" t="s">
        <v>152</v>
      </c>
      <c r="B28" s="14">
        <v>0</v>
      </c>
      <c r="C28" s="14">
        <v>45</v>
      </c>
      <c r="D28" s="14">
        <f>C28-B28</f>
        <v>45</v>
      </c>
      <c r="E28" s="15" t="str">
        <f>TEXT(B28/86400,"m:ss")&amp;"~"&amp;TEXT(C28/86400,"m:ss")</f>
        <v>0:00~0:45</v>
      </c>
      <c r="F28" s="16" t="s">
        <v>477</v>
      </c>
      <c r="G28" s="16" t="s">
        <v>478</v>
      </c>
      <c r="H28" s="16" t="s">
        <v>479</v>
      </c>
      <c r="I28" s="16" t="s">
        <v>156</v>
      </c>
      <c r="J28" s="16" t="s">
        <v>480</v>
      </c>
      <c r="K28" s="15" t="s">
        <v>41</v>
      </c>
    </row>
    <row r="29" spans="1:39" ht="39" customHeight="1" x14ac:dyDescent="0.3">
      <c r="A29" s="41" t="s">
        <v>136</v>
      </c>
      <c r="B29" s="14">
        <v>45</v>
      </c>
      <c r="C29" s="14">
        <v>95</v>
      </c>
      <c r="D29" s="14">
        <f>C29-B29</f>
        <v>50</v>
      </c>
      <c r="E29" s="15" t="str">
        <f>TEXT(B29/86400,"m:ss")&amp;"~"&amp;TEXT(C29/86400,"m:ss")</f>
        <v>0:45~1:35</v>
      </c>
      <c r="F29" s="16" t="s">
        <v>481</v>
      </c>
      <c r="G29" s="16" t="s">
        <v>482</v>
      </c>
      <c r="H29" s="16" t="s">
        <v>483</v>
      </c>
      <c r="I29" s="16" t="s">
        <v>162</v>
      </c>
      <c r="J29" s="16" t="s">
        <v>484</v>
      </c>
      <c r="K29" s="15" t="s">
        <v>41</v>
      </c>
    </row>
    <row r="30" spans="1:39" ht="39" customHeight="1" x14ac:dyDescent="0.3">
      <c r="A30" s="42" t="s">
        <v>133</v>
      </c>
      <c r="B30" s="14">
        <v>95</v>
      </c>
      <c r="C30" s="14">
        <v>150</v>
      </c>
      <c r="D30" s="14">
        <f>C30-B30</f>
        <v>55</v>
      </c>
      <c r="E30" s="15" t="str">
        <f>TEXT(B30/86400,"m:ss")&amp;"~"&amp;TEXT(C30/86400,"m:ss")</f>
        <v>1:35~2:30</v>
      </c>
      <c r="F30" s="16" t="s">
        <v>485</v>
      </c>
      <c r="G30" s="16" t="s">
        <v>486</v>
      </c>
      <c r="H30" s="16" t="s">
        <v>487</v>
      </c>
      <c r="I30" s="16" t="s">
        <v>167</v>
      </c>
      <c r="J30" s="16" t="s">
        <v>488</v>
      </c>
      <c r="K30" s="15" t="s">
        <v>41</v>
      </c>
    </row>
    <row r="31" spans="1:39" ht="39" customHeight="1" x14ac:dyDescent="0.3">
      <c r="A31" s="43" t="s">
        <v>132</v>
      </c>
      <c r="B31" s="14">
        <v>150</v>
      </c>
      <c r="C31" s="14">
        <v>210</v>
      </c>
      <c r="D31" s="14">
        <f>C31-B31</f>
        <v>60</v>
      </c>
      <c r="E31" s="15" t="str">
        <f>TEXT(B31/86400,"m:ss")&amp;"~"&amp;TEXT(C31/86400,"m:ss")</f>
        <v>2:30~3:30</v>
      </c>
      <c r="F31" s="16" t="s">
        <v>489</v>
      </c>
      <c r="G31" s="16" t="s">
        <v>490</v>
      </c>
      <c r="H31" s="16" t="s">
        <v>491</v>
      </c>
      <c r="I31" s="16" t="s">
        <v>492</v>
      </c>
      <c r="J31" s="16" t="s">
        <v>493</v>
      </c>
      <c r="K31" s="15" t="s">
        <v>41</v>
      </c>
    </row>
    <row r="32" spans="1:39" ht="39" customHeight="1" x14ac:dyDescent="0.3">
      <c r="A32" s="44" t="s">
        <v>138</v>
      </c>
      <c r="B32" s="14">
        <v>210</v>
      </c>
      <c r="C32" s="14">
        <v>270</v>
      </c>
      <c r="D32" s="14">
        <f>C32-B32</f>
        <v>60</v>
      </c>
      <c r="E32" s="15" t="str">
        <f>TEXT(B32/86400,"m:ss")&amp;"~"&amp;TEXT(C32/86400,"m:ss")</f>
        <v>3:30~4:30</v>
      </c>
      <c r="F32" s="16" t="s">
        <v>494</v>
      </c>
      <c r="G32" s="16" t="s">
        <v>495</v>
      </c>
      <c r="H32" s="16" t="s">
        <v>496</v>
      </c>
      <c r="I32" s="16" t="s">
        <v>497</v>
      </c>
      <c r="J32" s="16" t="s">
        <v>498</v>
      </c>
      <c r="K32" s="15" t="s">
        <v>41</v>
      </c>
    </row>
    <row r="33" spans="1:39" ht="24" customHeight="1" x14ac:dyDescent="0.3">
      <c r="A33" s="45" t="s">
        <v>179</v>
      </c>
      <c r="B33" s="45"/>
      <c r="C33" s="45"/>
      <c r="D33" s="45">
        <f>SUM(D28:D32)</f>
        <v>270</v>
      </c>
      <c r="E33" s="45" t="str">
        <f>TEXT(D33/86400,"m:ss")</f>
        <v>4:30</v>
      </c>
      <c r="F33" s="45"/>
      <c r="G33" s="45"/>
      <c r="H33" s="45"/>
      <c r="I33" s="45"/>
      <c r="J33" s="45" t="s">
        <v>499</v>
      </c>
      <c r="K33" s="45"/>
    </row>
    <row r="35" spans="1:39" x14ac:dyDescent="0.3">
      <c r="A35" s="212" t="s">
        <v>500</v>
      </c>
      <c r="B35" s="148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148"/>
      <c r="AE35" s="148"/>
      <c r="AF35" s="148"/>
      <c r="AG35" s="148"/>
      <c r="AH35" s="148"/>
      <c r="AI35" s="148"/>
      <c r="AJ35" s="148"/>
      <c r="AK35" s="148"/>
      <c r="AL35" s="148"/>
      <c r="AM35" s="148"/>
    </row>
    <row r="36" spans="1:39" x14ac:dyDescent="0.3">
      <c r="A36" s="148"/>
      <c r="B36" s="148"/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148"/>
      <c r="AE36" s="148"/>
      <c r="AF36" s="148"/>
      <c r="AG36" s="148"/>
      <c r="AH36" s="148"/>
      <c r="AI36" s="148"/>
      <c r="AJ36" s="148"/>
      <c r="AK36" s="148"/>
      <c r="AL36" s="148"/>
      <c r="AM36" s="148"/>
    </row>
  </sheetData>
  <mergeCells count="22">
    <mergeCell ref="X5:AD5"/>
    <mergeCell ref="J7:R8"/>
    <mergeCell ref="AI12:AM14"/>
    <mergeCell ref="AI21:AM23"/>
    <mergeCell ref="B7:H8"/>
    <mergeCell ref="AI18:AM20"/>
    <mergeCell ref="A1:AM1"/>
    <mergeCell ref="X4:AD4"/>
    <mergeCell ref="AI7:AM8"/>
    <mergeCell ref="P5:V5"/>
    <mergeCell ref="A35:AM36"/>
    <mergeCell ref="I5:N5"/>
    <mergeCell ref="AI24:AM24"/>
    <mergeCell ref="A26:AM26"/>
    <mergeCell ref="P4:V4"/>
    <mergeCell ref="AI15:AM17"/>
    <mergeCell ref="AI9:AM11"/>
    <mergeCell ref="A2:AM2"/>
    <mergeCell ref="I4:N4"/>
    <mergeCell ref="B5:G5"/>
    <mergeCell ref="B4:G4"/>
    <mergeCell ref="T7:AF8"/>
  </mergeCells>
  <phoneticPr fontId="42" type="noConversion"/>
  <pageMargins left="0.2" right="0.2" top="0.3" bottom="0.3" header="0.5" footer="0.5"/>
  <pageSetup scale="38" orientation="landscape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M36"/>
  <sheetViews>
    <sheetView showGridLines="0" workbookViewId="0">
      <pane xSplit="1" ySplit="6" topLeftCell="B7" activePane="bottomRight" state="frozen"/>
      <selection pane="topRight"/>
      <selection pane="bottomLeft"/>
      <selection pane="bottomRight" sqref="A1:AM1"/>
    </sheetView>
  </sheetViews>
  <sheetFormatPr defaultRowHeight="16.5" x14ac:dyDescent="0.3"/>
  <cols>
    <col min="1" max="1" width="8" customWidth="1"/>
    <col min="2" max="3" width="10" customWidth="1"/>
    <col min="4" max="4" width="11" customWidth="1"/>
    <col min="5" max="5" width="15" customWidth="1"/>
    <col min="6" max="6" width="22" customWidth="1"/>
    <col min="7" max="7" width="25" customWidth="1"/>
    <col min="8" max="8" width="28" customWidth="1"/>
    <col min="9" max="9" width="20" customWidth="1"/>
    <col min="10" max="10" width="22" customWidth="1"/>
    <col min="11" max="11" width="18" customWidth="1"/>
    <col min="12" max="33" width="3.75" customWidth="1"/>
    <col min="35" max="39" width="8.5" customWidth="1"/>
  </cols>
  <sheetData>
    <row r="1" spans="1:39" ht="38.1" customHeight="1" x14ac:dyDescent="0.3">
      <c r="A1" s="162" t="s">
        <v>501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</row>
    <row r="2" spans="1:39" ht="27.95" customHeight="1" x14ac:dyDescent="0.3">
      <c r="A2" s="173" t="s">
        <v>502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</row>
    <row r="4" spans="1:39" x14ac:dyDescent="0.3">
      <c r="B4" s="295" t="s">
        <v>125</v>
      </c>
      <c r="C4" s="148"/>
      <c r="D4" s="148"/>
      <c r="E4" s="148"/>
      <c r="F4" s="148"/>
      <c r="G4" s="148"/>
      <c r="I4" s="295" t="s">
        <v>23</v>
      </c>
      <c r="J4" s="148"/>
      <c r="K4" s="148"/>
      <c r="L4" s="148"/>
      <c r="M4" s="148"/>
      <c r="N4" s="148"/>
      <c r="P4" s="295" t="s">
        <v>126</v>
      </c>
      <c r="Q4" s="148"/>
      <c r="R4" s="148"/>
      <c r="S4" s="148"/>
      <c r="T4" s="148"/>
      <c r="U4" s="148"/>
      <c r="V4" s="148"/>
      <c r="X4" s="295" t="s">
        <v>26</v>
      </c>
      <c r="Y4" s="148"/>
      <c r="Z4" s="148"/>
      <c r="AA4" s="148"/>
      <c r="AB4" s="148"/>
      <c r="AC4" s="148"/>
      <c r="AD4" s="148"/>
    </row>
    <row r="5" spans="1:39" x14ac:dyDescent="0.3">
      <c r="B5" s="296" t="s">
        <v>94</v>
      </c>
      <c r="C5" s="148"/>
      <c r="D5" s="148"/>
      <c r="E5" s="148"/>
      <c r="F5" s="148"/>
      <c r="G5" s="148"/>
      <c r="I5" s="296" t="s">
        <v>41</v>
      </c>
      <c r="J5" s="148"/>
      <c r="K5" s="148"/>
      <c r="L5" s="148"/>
      <c r="M5" s="148"/>
      <c r="N5" s="148"/>
      <c r="P5" s="296" t="s">
        <v>503</v>
      </c>
      <c r="Q5" s="148"/>
      <c r="R5" s="148"/>
      <c r="S5" s="148"/>
      <c r="T5" s="148"/>
      <c r="U5" s="148"/>
      <c r="V5" s="148"/>
      <c r="X5" s="296" t="s">
        <v>52</v>
      </c>
      <c r="Y5" s="148"/>
      <c r="Z5" s="148"/>
      <c r="AA5" s="148"/>
      <c r="AB5" s="148"/>
      <c r="AC5" s="148"/>
      <c r="AD5" s="148"/>
    </row>
    <row r="7" spans="1:39" ht="21" customHeight="1" x14ac:dyDescent="0.3">
      <c r="B7" s="225" t="s">
        <v>128</v>
      </c>
      <c r="C7" s="217"/>
      <c r="D7" s="217"/>
      <c r="E7" s="217"/>
      <c r="F7" s="217"/>
      <c r="G7" s="217"/>
      <c r="H7" s="218"/>
      <c r="I7" s="85"/>
      <c r="J7" s="300" t="s">
        <v>51</v>
      </c>
      <c r="K7" s="217"/>
      <c r="L7" s="217"/>
      <c r="M7" s="217"/>
      <c r="N7" s="217"/>
      <c r="O7" s="217"/>
      <c r="P7" s="217"/>
      <c r="Q7" s="217"/>
      <c r="R7" s="218"/>
      <c r="S7" s="85"/>
      <c r="T7" s="299" t="s">
        <v>504</v>
      </c>
      <c r="U7" s="217"/>
      <c r="V7" s="217"/>
      <c r="W7" s="217"/>
      <c r="X7" s="217"/>
      <c r="Y7" s="217"/>
      <c r="Z7" s="217"/>
      <c r="AA7" s="217"/>
      <c r="AB7" s="217"/>
      <c r="AC7" s="217"/>
      <c r="AD7" s="217"/>
      <c r="AE7" s="217"/>
      <c r="AF7" s="218"/>
      <c r="AG7" s="47"/>
      <c r="AI7" s="210" t="s">
        <v>130</v>
      </c>
      <c r="AJ7" s="148"/>
      <c r="AK7" s="148"/>
      <c r="AL7" s="148"/>
      <c r="AM7" s="148"/>
    </row>
    <row r="8" spans="1:39" ht="21" customHeight="1" x14ac:dyDescent="0.3">
      <c r="B8" s="219"/>
      <c r="C8" s="220"/>
      <c r="D8" s="220"/>
      <c r="E8" s="220"/>
      <c r="F8" s="220"/>
      <c r="G8" s="220"/>
      <c r="H8" s="221"/>
      <c r="I8" s="85"/>
      <c r="J8" s="219"/>
      <c r="K8" s="220"/>
      <c r="L8" s="220"/>
      <c r="M8" s="220"/>
      <c r="N8" s="220"/>
      <c r="O8" s="220"/>
      <c r="P8" s="220"/>
      <c r="Q8" s="220"/>
      <c r="R8" s="221"/>
      <c r="S8" s="85"/>
      <c r="T8" s="219"/>
      <c r="U8" s="220"/>
      <c r="V8" s="220"/>
      <c r="W8" s="220"/>
      <c r="X8" s="220"/>
      <c r="Y8" s="220"/>
      <c r="Z8" s="220"/>
      <c r="AA8" s="220"/>
      <c r="AB8" s="220"/>
      <c r="AC8" s="220"/>
      <c r="AD8" s="220"/>
      <c r="AE8" s="220"/>
      <c r="AF8" s="221"/>
      <c r="AG8" s="47"/>
      <c r="AI8" s="148"/>
      <c r="AJ8" s="148"/>
      <c r="AK8" s="148"/>
      <c r="AL8" s="148"/>
      <c r="AM8" s="148"/>
    </row>
    <row r="9" spans="1:39" ht="21" customHeight="1" x14ac:dyDescent="0.3"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16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47"/>
      <c r="AI9" s="298" t="s">
        <v>505</v>
      </c>
      <c r="AJ9" s="148"/>
      <c r="AK9" s="148"/>
      <c r="AL9" s="148"/>
      <c r="AM9" s="148"/>
    </row>
    <row r="10" spans="1:39" ht="21" customHeight="1" x14ac:dyDescent="0.3">
      <c r="B10" s="107"/>
      <c r="C10" s="107"/>
      <c r="D10" s="107"/>
      <c r="E10" s="120" t="s">
        <v>105</v>
      </c>
      <c r="F10" s="120" t="s">
        <v>105</v>
      </c>
      <c r="G10" s="120" t="s">
        <v>105</v>
      </c>
      <c r="H10" s="120" t="s">
        <v>105</v>
      </c>
      <c r="I10" s="93" t="s">
        <v>133</v>
      </c>
      <c r="J10" s="120" t="s">
        <v>105</v>
      </c>
      <c r="K10" s="93" t="s">
        <v>106</v>
      </c>
      <c r="L10" s="120" t="s">
        <v>105</v>
      </c>
      <c r="M10" s="120" t="s">
        <v>105</v>
      </c>
      <c r="N10" s="120" t="s">
        <v>105</v>
      </c>
      <c r="O10" s="120" t="s">
        <v>105</v>
      </c>
      <c r="P10" s="120" t="s">
        <v>105</v>
      </c>
      <c r="Q10" s="120" t="s">
        <v>105</v>
      </c>
      <c r="R10" s="120" t="s">
        <v>105</v>
      </c>
      <c r="S10" s="120" t="s">
        <v>105</v>
      </c>
      <c r="T10" s="120" t="s">
        <v>105</v>
      </c>
      <c r="U10" s="93" t="s">
        <v>107</v>
      </c>
      <c r="V10" s="120" t="s">
        <v>105</v>
      </c>
      <c r="W10" s="120" t="s">
        <v>105</v>
      </c>
      <c r="X10" s="93" t="s">
        <v>136</v>
      </c>
      <c r="Y10" s="120" t="s">
        <v>105</v>
      </c>
      <c r="Z10" s="120" t="s">
        <v>105</v>
      </c>
      <c r="AA10" s="120" t="s">
        <v>105</v>
      </c>
      <c r="AB10" s="120" t="s">
        <v>105</v>
      </c>
      <c r="AC10" s="120" t="s">
        <v>105</v>
      </c>
      <c r="AD10" s="107"/>
      <c r="AE10" s="107"/>
      <c r="AF10" s="107"/>
      <c r="AG10" s="48"/>
      <c r="AI10" s="148"/>
      <c r="AJ10" s="148"/>
      <c r="AK10" s="148"/>
      <c r="AL10" s="148"/>
      <c r="AM10" s="148"/>
    </row>
    <row r="11" spans="1:39" ht="21" customHeight="1" x14ac:dyDescent="0.3">
      <c r="B11" s="107"/>
      <c r="C11" s="107"/>
      <c r="D11" s="107"/>
      <c r="E11" s="120" t="s">
        <v>105</v>
      </c>
      <c r="F11" s="107"/>
      <c r="G11" s="107"/>
      <c r="H11" s="107"/>
      <c r="I11" s="107"/>
      <c r="J11" s="107"/>
      <c r="K11" s="107"/>
      <c r="L11" s="107"/>
      <c r="M11" s="107"/>
      <c r="N11" s="107"/>
      <c r="O11" s="109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20" t="s">
        <v>105</v>
      </c>
      <c r="AD11" s="107"/>
      <c r="AE11" s="107"/>
      <c r="AF11" s="107"/>
      <c r="AG11" s="48"/>
      <c r="AI11" s="148"/>
      <c r="AJ11" s="148"/>
      <c r="AK11" s="148"/>
      <c r="AL11" s="148"/>
      <c r="AM11" s="148"/>
    </row>
    <row r="12" spans="1:39" ht="21" customHeight="1" x14ac:dyDescent="0.3">
      <c r="B12" s="107"/>
      <c r="C12" s="107"/>
      <c r="D12" s="107"/>
      <c r="E12" s="120" t="s">
        <v>105</v>
      </c>
      <c r="F12" s="107"/>
      <c r="G12" s="107"/>
      <c r="H12" s="107"/>
      <c r="I12" s="107"/>
      <c r="J12" s="107"/>
      <c r="K12" s="107"/>
      <c r="L12" s="107"/>
      <c r="M12" s="107"/>
      <c r="N12" s="107"/>
      <c r="O12" s="109"/>
      <c r="P12" s="107"/>
      <c r="Q12" s="107"/>
      <c r="R12" s="110"/>
      <c r="S12" s="109"/>
      <c r="T12" s="110"/>
      <c r="U12" s="109"/>
      <c r="V12" s="109"/>
      <c r="W12" s="109"/>
      <c r="X12" s="109"/>
      <c r="Y12" s="109"/>
      <c r="Z12" s="109"/>
      <c r="AA12" s="109"/>
      <c r="AB12" s="109"/>
      <c r="AC12" s="93" t="s">
        <v>108</v>
      </c>
      <c r="AD12" s="107"/>
      <c r="AE12" s="107"/>
      <c r="AF12" s="107"/>
      <c r="AG12" s="48"/>
      <c r="AI12" s="301" t="s">
        <v>506</v>
      </c>
      <c r="AJ12" s="148"/>
      <c r="AK12" s="148"/>
      <c r="AL12" s="148"/>
      <c r="AM12" s="148"/>
    </row>
    <row r="13" spans="1:39" ht="21" customHeight="1" x14ac:dyDescent="0.3">
      <c r="B13" s="107"/>
      <c r="C13" s="107"/>
      <c r="D13" s="107"/>
      <c r="E13" s="120" t="s">
        <v>105</v>
      </c>
      <c r="F13" s="107"/>
      <c r="G13" s="107"/>
      <c r="H13" s="107"/>
      <c r="I13" s="107"/>
      <c r="J13" s="107"/>
      <c r="K13" s="107"/>
      <c r="L13" s="107"/>
      <c r="M13" s="107"/>
      <c r="N13" s="107"/>
      <c r="O13" s="109"/>
      <c r="P13" s="107"/>
      <c r="Q13" s="107"/>
      <c r="R13" s="109"/>
      <c r="S13" s="107"/>
      <c r="T13" s="107"/>
      <c r="U13" s="107"/>
      <c r="V13" s="107"/>
      <c r="W13" s="107"/>
      <c r="X13" s="107"/>
      <c r="Y13" s="107"/>
      <c r="Z13" s="107"/>
      <c r="AA13" s="107"/>
      <c r="AB13" s="109"/>
      <c r="AC13" s="120" t="s">
        <v>105</v>
      </c>
      <c r="AD13" s="107"/>
      <c r="AE13" s="107"/>
      <c r="AF13" s="107"/>
      <c r="AG13" s="48"/>
      <c r="AI13" s="148"/>
      <c r="AJ13" s="148"/>
      <c r="AK13" s="148"/>
      <c r="AL13" s="148"/>
      <c r="AM13" s="148"/>
    </row>
    <row r="14" spans="1:39" ht="21" customHeight="1" x14ac:dyDescent="0.3">
      <c r="B14" s="107"/>
      <c r="C14" s="107"/>
      <c r="D14" s="107"/>
      <c r="E14" s="93" t="s">
        <v>109</v>
      </c>
      <c r="F14" s="107"/>
      <c r="G14" s="107"/>
      <c r="H14" s="107"/>
      <c r="I14" s="107"/>
      <c r="J14" s="107"/>
      <c r="K14" s="107"/>
      <c r="L14" s="107"/>
      <c r="M14" s="107"/>
      <c r="N14" s="107"/>
      <c r="O14" s="109"/>
      <c r="P14" s="107"/>
      <c r="Q14" s="107"/>
      <c r="R14" s="109"/>
      <c r="S14" s="121"/>
      <c r="T14" s="113"/>
      <c r="U14" s="113"/>
      <c r="V14" s="113"/>
      <c r="W14" s="113"/>
      <c r="X14" s="113"/>
      <c r="Y14" s="113"/>
      <c r="Z14" s="113"/>
      <c r="AA14" s="113"/>
      <c r="AB14" s="110"/>
      <c r="AC14" s="120" t="s">
        <v>105</v>
      </c>
      <c r="AD14" s="113"/>
      <c r="AE14" s="113"/>
      <c r="AF14" s="107"/>
      <c r="AG14" s="48"/>
      <c r="AI14" s="148"/>
      <c r="AJ14" s="148"/>
      <c r="AK14" s="148"/>
      <c r="AL14" s="148"/>
      <c r="AM14" s="148"/>
    </row>
    <row r="15" spans="1:39" ht="21" customHeight="1" x14ac:dyDescent="0.3">
      <c r="B15" s="107"/>
      <c r="C15" s="107"/>
      <c r="D15" s="107"/>
      <c r="E15" s="120" t="s">
        <v>105</v>
      </c>
      <c r="F15" s="107"/>
      <c r="G15" s="107"/>
      <c r="H15" s="107"/>
      <c r="I15" s="107"/>
      <c r="J15" s="107"/>
      <c r="K15" s="107"/>
      <c r="L15" s="109"/>
      <c r="M15" s="109"/>
      <c r="N15" s="109"/>
      <c r="O15" s="109"/>
      <c r="P15" s="107"/>
      <c r="Q15" s="107"/>
      <c r="R15" s="109"/>
      <c r="S15" s="107"/>
      <c r="T15" s="107"/>
      <c r="U15" s="107"/>
      <c r="V15" s="107"/>
      <c r="W15" s="107"/>
      <c r="X15" s="107"/>
      <c r="Y15" s="107"/>
      <c r="Z15" s="107"/>
      <c r="AA15" s="107"/>
      <c r="AB15" s="109"/>
      <c r="AC15" s="120" t="s">
        <v>105</v>
      </c>
      <c r="AD15" s="107"/>
      <c r="AE15" s="113"/>
      <c r="AF15" s="107"/>
      <c r="AG15" s="48"/>
      <c r="AI15" s="297" t="s">
        <v>507</v>
      </c>
      <c r="AJ15" s="148"/>
      <c r="AK15" s="148"/>
      <c r="AL15" s="148"/>
      <c r="AM15" s="148"/>
    </row>
    <row r="16" spans="1:39" ht="21" customHeight="1" x14ac:dyDescent="0.3">
      <c r="B16" s="107"/>
      <c r="C16" s="107"/>
      <c r="D16" s="107"/>
      <c r="E16" s="120" t="s">
        <v>105</v>
      </c>
      <c r="F16" s="120" t="s">
        <v>105</v>
      </c>
      <c r="G16" s="120" t="s">
        <v>105</v>
      </c>
      <c r="H16" s="120" t="s">
        <v>105</v>
      </c>
      <c r="I16" s="120" t="s">
        <v>105</v>
      </c>
      <c r="J16" s="120" t="s">
        <v>105</v>
      </c>
      <c r="K16" s="93" t="s">
        <v>132</v>
      </c>
      <c r="L16" s="120" t="s">
        <v>105</v>
      </c>
      <c r="M16" s="93" t="s">
        <v>110</v>
      </c>
      <c r="N16" s="120" t="s">
        <v>105</v>
      </c>
      <c r="O16" s="120" t="s">
        <v>105</v>
      </c>
      <c r="P16" s="120" t="s">
        <v>105</v>
      </c>
      <c r="Q16" s="120" t="s">
        <v>105</v>
      </c>
      <c r="R16" s="120" t="s">
        <v>105</v>
      </c>
      <c r="S16" s="120" t="s">
        <v>105</v>
      </c>
      <c r="T16" s="120" t="s">
        <v>105</v>
      </c>
      <c r="U16" s="120" t="s">
        <v>105</v>
      </c>
      <c r="V16" s="120" t="s">
        <v>105</v>
      </c>
      <c r="W16" s="93" t="s">
        <v>113</v>
      </c>
      <c r="X16" s="120" t="s">
        <v>105</v>
      </c>
      <c r="Y16" s="120" t="s">
        <v>105</v>
      </c>
      <c r="Z16" s="107"/>
      <c r="AA16" s="107"/>
      <c r="AB16" s="109"/>
      <c r="AC16" s="120" t="s">
        <v>105</v>
      </c>
      <c r="AD16" s="107"/>
      <c r="AE16" s="113"/>
      <c r="AF16" s="107"/>
      <c r="AG16" s="48"/>
      <c r="AI16" s="148"/>
      <c r="AJ16" s="148"/>
      <c r="AK16" s="148"/>
      <c r="AL16" s="148"/>
      <c r="AM16" s="148"/>
    </row>
    <row r="17" spans="1:39" ht="21" customHeight="1" x14ac:dyDescent="0.3">
      <c r="B17" s="107"/>
      <c r="C17" s="107"/>
      <c r="D17" s="107"/>
      <c r="E17" s="109"/>
      <c r="F17" s="107"/>
      <c r="G17" s="107"/>
      <c r="H17" s="107"/>
      <c r="I17" s="107"/>
      <c r="J17" s="107"/>
      <c r="K17" s="107"/>
      <c r="L17" s="109"/>
      <c r="M17" s="107"/>
      <c r="N17" s="107"/>
      <c r="O17" s="107"/>
      <c r="P17" s="107"/>
      <c r="Q17" s="107"/>
      <c r="R17" s="109"/>
      <c r="S17" s="107"/>
      <c r="T17" s="107"/>
      <c r="U17" s="107"/>
      <c r="V17" s="107"/>
      <c r="W17" s="107"/>
      <c r="X17" s="107"/>
      <c r="Y17" s="93" t="s">
        <v>138</v>
      </c>
      <c r="Z17" s="107"/>
      <c r="AA17" s="107"/>
      <c r="AB17" s="110"/>
      <c r="AC17" s="120" t="s">
        <v>105</v>
      </c>
      <c r="AD17" s="107"/>
      <c r="AE17" s="113"/>
      <c r="AF17" s="107"/>
      <c r="AG17" s="48"/>
      <c r="AI17" s="148"/>
      <c r="AJ17" s="148"/>
      <c r="AK17" s="148"/>
      <c r="AL17" s="148"/>
      <c r="AM17" s="148"/>
    </row>
    <row r="18" spans="1:39" ht="21" customHeight="1" x14ac:dyDescent="0.3">
      <c r="B18" s="113"/>
      <c r="C18" s="113"/>
      <c r="D18" s="113"/>
      <c r="E18" s="109"/>
      <c r="F18" s="113"/>
      <c r="G18" s="113"/>
      <c r="H18" s="112"/>
      <c r="I18" s="113"/>
      <c r="J18" s="113"/>
      <c r="K18" s="113"/>
      <c r="L18" s="110"/>
      <c r="M18" s="113"/>
      <c r="N18" s="113"/>
      <c r="O18" s="113"/>
      <c r="P18" s="113"/>
      <c r="Q18" s="113"/>
      <c r="R18" s="109"/>
      <c r="S18" s="113"/>
      <c r="T18" s="113"/>
      <c r="U18" s="113"/>
      <c r="V18" s="113"/>
      <c r="W18" s="109"/>
      <c r="X18" s="109"/>
      <c r="Y18" s="120" t="s">
        <v>105</v>
      </c>
      <c r="Z18" s="109"/>
      <c r="AA18" s="109"/>
      <c r="AB18" s="109"/>
      <c r="AC18" s="120" t="s">
        <v>105</v>
      </c>
      <c r="AD18" s="113"/>
      <c r="AE18" s="113"/>
      <c r="AF18" s="107"/>
      <c r="AG18" s="48"/>
      <c r="AI18" s="303" t="s">
        <v>508</v>
      </c>
      <c r="AJ18" s="148"/>
      <c r="AK18" s="148"/>
      <c r="AL18" s="148"/>
      <c r="AM18" s="148"/>
    </row>
    <row r="19" spans="1:39" ht="21" customHeight="1" x14ac:dyDescent="0.3">
      <c r="B19" s="113"/>
      <c r="C19" s="107"/>
      <c r="D19" s="107"/>
      <c r="E19" s="109"/>
      <c r="F19" s="109"/>
      <c r="G19" s="107"/>
      <c r="H19" s="107"/>
      <c r="I19" s="107"/>
      <c r="J19" s="107"/>
      <c r="K19" s="107"/>
      <c r="L19" s="109"/>
      <c r="M19" s="107"/>
      <c r="N19" s="107"/>
      <c r="O19" s="107"/>
      <c r="P19" s="107"/>
      <c r="Q19" s="107"/>
      <c r="R19" s="109"/>
      <c r="S19" s="107"/>
      <c r="T19" s="107"/>
      <c r="U19" s="107"/>
      <c r="V19" s="107"/>
      <c r="W19" s="110"/>
      <c r="X19" s="107"/>
      <c r="Y19" s="120" t="s">
        <v>105</v>
      </c>
      <c r="Z19" s="107"/>
      <c r="AA19" s="107"/>
      <c r="AB19" s="107"/>
      <c r="AC19" s="120" t="s">
        <v>105</v>
      </c>
      <c r="AD19" s="107"/>
      <c r="AE19" s="107"/>
      <c r="AF19" s="107"/>
      <c r="AG19" s="48"/>
      <c r="AI19" s="148"/>
      <c r="AJ19" s="148"/>
      <c r="AK19" s="148"/>
      <c r="AL19" s="148"/>
      <c r="AM19" s="148"/>
    </row>
    <row r="20" spans="1:39" ht="21" customHeight="1" x14ac:dyDescent="0.3">
      <c r="B20" s="113"/>
      <c r="C20" s="107"/>
      <c r="D20" s="107"/>
      <c r="E20" s="107"/>
      <c r="F20" s="107"/>
      <c r="G20" s="107"/>
      <c r="H20" s="107"/>
      <c r="I20" s="107"/>
      <c r="J20" s="107"/>
      <c r="K20" s="107"/>
      <c r="L20" s="109"/>
      <c r="M20" s="109"/>
      <c r="N20" s="109"/>
      <c r="O20" s="109"/>
      <c r="P20" s="109"/>
      <c r="Q20" s="109"/>
      <c r="R20" s="110"/>
      <c r="S20" s="107"/>
      <c r="T20" s="107"/>
      <c r="U20" s="107"/>
      <c r="V20" s="107"/>
      <c r="W20" s="109"/>
      <c r="X20" s="107"/>
      <c r="Y20" s="120" t="s">
        <v>105</v>
      </c>
      <c r="Z20" s="107"/>
      <c r="AA20" s="107"/>
      <c r="AB20" s="107"/>
      <c r="AC20" s="120" t="s">
        <v>105</v>
      </c>
      <c r="AD20" s="107"/>
      <c r="AE20" s="107"/>
      <c r="AF20" s="107"/>
      <c r="AG20" s="48"/>
      <c r="AI20" s="148"/>
      <c r="AJ20" s="148"/>
      <c r="AK20" s="148"/>
      <c r="AL20" s="148"/>
      <c r="AM20" s="148"/>
    </row>
    <row r="21" spans="1:39" ht="21" customHeight="1" x14ac:dyDescent="0.3">
      <c r="B21" s="113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9"/>
      <c r="X21" s="107"/>
      <c r="Y21" s="120" t="s">
        <v>105</v>
      </c>
      <c r="Z21" s="107"/>
      <c r="AA21" s="107"/>
      <c r="AB21" s="107"/>
      <c r="AC21" s="93" t="s">
        <v>118</v>
      </c>
      <c r="AD21" s="107"/>
      <c r="AE21" s="107"/>
      <c r="AF21" s="107"/>
      <c r="AG21" s="48"/>
      <c r="AI21" s="302" t="s">
        <v>509</v>
      </c>
      <c r="AJ21" s="148"/>
      <c r="AK21" s="148"/>
      <c r="AL21" s="148"/>
      <c r="AM21" s="148"/>
    </row>
    <row r="22" spans="1:39" ht="21" customHeight="1" x14ac:dyDescent="0.3">
      <c r="B22" s="112"/>
      <c r="C22" s="113"/>
      <c r="D22" s="113"/>
      <c r="E22" s="113"/>
      <c r="F22" s="113"/>
      <c r="G22" s="113"/>
      <c r="H22" s="113"/>
      <c r="I22" s="113"/>
      <c r="J22" s="113"/>
      <c r="K22" s="113"/>
      <c r="L22" s="112"/>
      <c r="M22" s="113"/>
      <c r="N22" s="120" t="s">
        <v>119</v>
      </c>
      <c r="O22" s="120" t="s">
        <v>105</v>
      </c>
      <c r="P22" s="120" t="s">
        <v>105</v>
      </c>
      <c r="Q22" s="120" t="s">
        <v>105</v>
      </c>
      <c r="R22" s="120" t="s">
        <v>105</v>
      </c>
      <c r="S22" s="120" t="s">
        <v>105</v>
      </c>
      <c r="T22" s="120" t="s">
        <v>105</v>
      </c>
      <c r="U22" s="120" t="s">
        <v>105</v>
      </c>
      <c r="V22" s="120" t="s">
        <v>105</v>
      </c>
      <c r="W22" s="93" t="s">
        <v>112</v>
      </c>
      <c r="X22" s="120" t="s">
        <v>105</v>
      </c>
      <c r="Y22" s="120" t="s">
        <v>105</v>
      </c>
      <c r="Z22" s="109"/>
      <c r="AA22" s="109"/>
      <c r="AB22" s="109"/>
      <c r="AC22" s="110"/>
      <c r="AD22" s="113"/>
      <c r="AE22" s="113"/>
      <c r="AF22" s="107"/>
      <c r="AG22" s="48"/>
      <c r="AI22" s="148"/>
      <c r="AJ22" s="148"/>
      <c r="AK22" s="148"/>
      <c r="AL22" s="148"/>
      <c r="AM22" s="148"/>
    </row>
    <row r="23" spans="1:39" ht="21" customHeight="1" x14ac:dyDescent="0.3">
      <c r="B23" s="107"/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48"/>
      <c r="AI23" s="148"/>
      <c r="AJ23" s="148"/>
      <c r="AK23" s="148"/>
      <c r="AL23" s="148"/>
      <c r="AM23" s="148"/>
    </row>
    <row r="24" spans="1:39" ht="21" customHeight="1" x14ac:dyDescent="0.3"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I24" s="213" t="s">
        <v>476</v>
      </c>
      <c r="AJ24" s="148"/>
      <c r="AK24" s="148"/>
      <c r="AL24" s="148"/>
      <c r="AM24" s="148"/>
    </row>
    <row r="26" spans="1:39" ht="24.95" customHeight="1" x14ac:dyDescent="0.3">
      <c r="A26" s="147" t="s">
        <v>141</v>
      </c>
      <c r="B26" s="148"/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  <c r="AD26" s="148"/>
      <c r="AE26" s="148"/>
      <c r="AF26" s="148"/>
      <c r="AG26" s="148"/>
      <c r="AH26" s="148"/>
      <c r="AI26" s="148"/>
      <c r="AJ26" s="148"/>
      <c r="AK26" s="148"/>
      <c r="AL26" s="148"/>
      <c r="AM26" s="148"/>
    </row>
    <row r="27" spans="1:39" x14ac:dyDescent="0.3">
      <c r="A27" s="1" t="s">
        <v>142</v>
      </c>
      <c r="B27" s="1" t="s">
        <v>143</v>
      </c>
      <c r="C27" s="1" t="s">
        <v>144</v>
      </c>
      <c r="D27" s="1" t="s">
        <v>145</v>
      </c>
      <c r="E27" s="1" t="s">
        <v>146</v>
      </c>
      <c r="F27" s="1" t="s">
        <v>147</v>
      </c>
      <c r="G27" s="1" t="s">
        <v>148</v>
      </c>
      <c r="H27" s="1" t="s">
        <v>149</v>
      </c>
      <c r="I27" s="1" t="s">
        <v>150</v>
      </c>
      <c r="J27" s="1" t="s">
        <v>151</v>
      </c>
      <c r="K27" s="1" t="s">
        <v>23</v>
      </c>
    </row>
    <row r="28" spans="1:39" ht="39" customHeight="1" x14ac:dyDescent="0.3">
      <c r="A28" s="46" t="s">
        <v>152</v>
      </c>
      <c r="B28" s="14">
        <v>0</v>
      </c>
      <c r="C28" s="14">
        <v>45</v>
      </c>
      <c r="D28" s="14">
        <f>C28-B28</f>
        <v>45</v>
      </c>
      <c r="E28" s="15" t="str">
        <f>TEXT(B28/86400,"m:ss")&amp;"~"&amp;TEXT(C28/86400,"m:ss")</f>
        <v>0:00~0:45</v>
      </c>
      <c r="F28" s="16" t="s">
        <v>510</v>
      </c>
      <c r="G28" s="16" t="s">
        <v>511</v>
      </c>
      <c r="H28" s="16" t="s">
        <v>512</v>
      </c>
      <c r="I28" s="16" t="s">
        <v>156</v>
      </c>
      <c r="J28" s="16" t="s">
        <v>513</v>
      </c>
      <c r="K28" s="15" t="s">
        <v>41</v>
      </c>
    </row>
    <row r="29" spans="1:39" ht="39" customHeight="1" x14ac:dyDescent="0.3">
      <c r="A29" s="49" t="s">
        <v>136</v>
      </c>
      <c r="B29" s="14">
        <v>45</v>
      </c>
      <c r="C29" s="14">
        <v>100</v>
      </c>
      <c r="D29" s="14">
        <f>C29-B29</f>
        <v>55</v>
      </c>
      <c r="E29" s="15" t="str">
        <f>TEXT(B29/86400,"m:ss")&amp;"~"&amp;TEXT(C29/86400,"m:ss")</f>
        <v>0:45~1:40</v>
      </c>
      <c r="F29" s="16" t="s">
        <v>513</v>
      </c>
      <c r="G29" s="16" t="s">
        <v>514</v>
      </c>
      <c r="H29" s="16" t="s">
        <v>515</v>
      </c>
      <c r="I29" s="16" t="s">
        <v>162</v>
      </c>
      <c r="J29" s="16" t="s">
        <v>516</v>
      </c>
      <c r="K29" s="15" t="s">
        <v>41</v>
      </c>
    </row>
    <row r="30" spans="1:39" ht="39" customHeight="1" x14ac:dyDescent="0.3">
      <c r="A30" s="50" t="s">
        <v>133</v>
      </c>
      <c r="B30" s="14">
        <v>100</v>
      </c>
      <c r="C30" s="14">
        <v>165</v>
      </c>
      <c r="D30" s="14">
        <f>C30-B30</f>
        <v>65</v>
      </c>
      <c r="E30" s="15" t="str">
        <f>TEXT(B30/86400,"m:ss")&amp;"~"&amp;TEXT(C30/86400,"m:ss")</f>
        <v>1:40~2:45</v>
      </c>
      <c r="F30" s="16" t="s">
        <v>517</v>
      </c>
      <c r="G30" s="16" t="s">
        <v>518</v>
      </c>
      <c r="H30" s="16" t="s">
        <v>519</v>
      </c>
      <c r="I30" s="16" t="s">
        <v>167</v>
      </c>
      <c r="J30" s="16" t="s">
        <v>520</v>
      </c>
      <c r="K30" s="15" t="s">
        <v>41</v>
      </c>
    </row>
    <row r="31" spans="1:39" ht="39" customHeight="1" x14ac:dyDescent="0.3">
      <c r="A31" s="51" t="s">
        <v>132</v>
      </c>
      <c r="B31" s="14">
        <v>165</v>
      </c>
      <c r="C31" s="14">
        <v>230</v>
      </c>
      <c r="D31" s="14">
        <f>C31-B31</f>
        <v>65</v>
      </c>
      <c r="E31" s="15" t="str">
        <f>TEXT(B31/86400,"m:ss")&amp;"~"&amp;TEXT(C31/86400,"m:ss")</f>
        <v>2:45~3:50</v>
      </c>
      <c r="F31" s="16" t="s">
        <v>521</v>
      </c>
      <c r="G31" s="16" t="s">
        <v>522</v>
      </c>
      <c r="H31" s="16" t="s">
        <v>523</v>
      </c>
      <c r="I31" s="16" t="s">
        <v>524</v>
      </c>
      <c r="J31" s="16" t="s">
        <v>525</v>
      </c>
      <c r="K31" s="15" t="s">
        <v>41</v>
      </c>
    </row>
    <row r="32" spans="1:39" ht="39" customHeight="1" x14ac:dyDescent="0.3">
      <c r="A32" s="52" t="s">
        <v>138</v>
      </c>
      <c r="B32" s="14">
        <v>230</v>
      </c>
      <c r="C32" s="14">
        <v>300</v>
      </c>
      <c r="D32" s="14">
        <f>C32-B32</f>
        <v>70</v>
      </c>
      <c r="E32" s="15" t="str">
        <f>TEXT(B32/86400,"m:ss")&amp;"~"&amp;TEXT(C32/86400,"m:ss")</f>
        <v>3:50~5:00</v>
      </c>
      <c r="F32" s="16" t="s">
        <v>526</v>
      </c>
      <c r="G32" s="16" t="s">
        <v>527</v>
      </c>
      <c r="H32" s="16" t="s">
        <v>528</v>
      </c>
      <c r="I32" s="16" t="s">
        <v>529</v>
      </c>
      <c r="J32" s="16" t="s">
        <v>530</v>
      </c>
      <c r="K32" s="15" t="s">
        <v>41</v>
      </c>
    </row>
    <row r="33" spans="1:39" ht="24" customHeight="1" x14ac:dyDescent="0.3">
      <c r="A33" s="53" t="s">
        <v>179</v>
      </c>
      <c r="B33" s="53"/>
      <c r="C33" s="53"/>
      <c r="D33" s="53">
        <f>SUM(D28:D32)</f>
        <v>300</v>
      </c>
      <c r="E33" s="53" t="str">
        <f>TEXT(D33/86400,"m:ss")</f>
        <v>5:00</v>
      </c>
      <c r="F33" s="53"/>
      <c r="G33" s="53"/>
      <c r="H33" s="53"/>
      <c r="I33" s="53"/>
      <c r="J33" s="53" t="s">
        <v>531</v>
      </c>
      <c r="K33" s="53"/>
    </row>
    <row r="35" spans="1:39" x14ac:dyDescent="0.3">
      <c r="A35" s="212" t="s">
        <v>532</v>
      </c>
      <c r="B35" s="148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148"/>
      <c r="AE35" s="148"/>
      <c r="AF35" s="148"/>
      <c r="AG35" s="148"/>
      <c r="AH35" s="148"/>
      <c r="AI35" s="148"/>
      <c r="AJ35" s="148"/>
      <c r="AK35" s="148"/>
      <c r="AL35" s="148"/>
      <c r="AM35" s="148"/>
    </row>
    <row r="36" spans="1:39" x14ac:dyDescent="0.3">
      <c r="A36" s="148"/>
      <c r="B36" s="148"/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148"/>
      <c r="AE36" s="148"/>
      <c r="AF36" s="148"/>
      <c r="AG36" s="148"/>
      <c r="AH36" s="148"/>
      <c r="AI36" s="148"/>
      <c r="AJ36" s="148"/>
      <c r="AK36" s="148"/>
      <c r="AL36" s="148"/>
      <c r="AM36" s="148"/>
    </row>
  </sheetData>
  <mergeCells count="22">
    <mergeCell ref="X5:AD5"/>
    <mergeCell ref="J7:R8"/>
    <mergeCell ref="AI12:AM14"/>
    <mergeCell ref="AI21:AM23"/>
    <mergeCell ref="B7:H8"/>
    <mergeCell ref="AI18:AM20"/>
    <mergeCell ref="A1:AM1"/>
    <mergeCell ref="X4:AD4"/>
    <mergeCell ref="AI7:AM8"/>
    <mergeCell ref="P5:V5"/>
    <mergeCell ref="A35:AM36"/>
    <mergeCell ref="I5:N5"/>
    <mergeCell ref="AI24:AM24"/>
    <mergeCell ref="A26:AM26"/>
    <mergeCell ref="P4:V4"/>
    <mergeCell ref="AI15:AM17"/>
    <mergeCell ref="AI9:AM11"/>
    <mergeCell ref="A2:AM2"/>
    <mergeCell ref="I4:N4"/>
    <mergeCell ref="B5:G5"/>
    <mergeCell ref="B4:G4"/>
    <mergeCell ref="T7:AF8"/>
  </mergeCells>
  <phoneticPr fontId="42" type="noConversion"/>
  <pageMargins left="0.2" right="0.2" top="0.3" bottom="0.3" header="0.5" footer="0.5"/>
  <pageSetup scale="38" orientation="landscape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L28"/>
  <sheetViews>
    <sheetView showGridLines="0" workbookViewId="0">
      <pane ySplit="4" topLeftCell="A5" activePane="bottomLeft" state="frozen"/>
      <selection pane="bottomLeft" sqref="A1:L1"/>
    </sheetView>
  </sheetViews>
  <sheetFormatPr defaultRowHeight="16.5" x14ac:dyDescent="0.3"/>
  <cols>
    <col min="1" max="1" width="11" customWidth="1"/>
    <col min="2" max="2" width="12" customWidth="1"/>
    <col min="3" max="3" width="8" customWidth="1"/>
    <col min="4" max="4" width="14" customWidth="1"/>
    <col min="5" max="5" width="24" customWidth="1"/>
    <col min="6" max="6" width="25" customWidth="1"/>
    <col min="7" max="7" width="29" customWidth="1"/>
    <col min="8" max="8" width="21" customWidth="1"/>
    <col min="9" max="9" width="23" customWidth="1"/>
    <col min="10" max="10" width="13" customWidth="1"/>
    <col min="11" max="11" width="20" customWidth="1"/>
    <col min="12" max="12" width="22" customWidth="1"/>
  </cols>
  <sheetData>
    <row r="1" spans="1:12" ht="38.1" customHeight="1" x14ac:dyDescent="0.3">
      <c r="A1" s="162" t="s">
        <v>533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</row>
    <row r="2" spans="1:12" ht="27.95" customHeight="1" x14ac:dyDescent="0.3">
      <c r="A2" s="173" t="s">
        <v>534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</row>
    <row r="4" spans="1:12" x14ac:dyDescent="0.3">
      <c r="A4" s="1" t="s">
        <v>535</v>
      </c>
      <c r="B4" s="1" t="s">
        <v>2</v>
      </c>
      <c r="C4" s="1" t="s">
        <v>142</v>
      </c>
      <c r="D4" s="1" t="s">
        <v>73</v>
      </c>
      <c r="E4" s="1" t="s">
        <v>147</v>
      </c>
      <c r="F4" s="1" t="s">
        <v>148</v>
      </c>
      <c r="G4" s="1" t="s">
        <v>149</v>
      </c>
      <c r="H4" s="1" t="s">
        <v>150</v>
      </c>
      <c r="I4" s="1" t="s">
        <v>26</v>
      </c>
      <c r="J4" s="1" t="s">
        <v>536</v>
      </c>
      <c r="K4" s="1" t="s">
        <v>23</v>
      </c>
      <c r="L4" s="1" t="s">
        <v>537</v>
      </c>
    </row>
    <row r="5" spans="1:12" ht="30.95" customHeight="1" x14ac:dyDescent="0.3">
      <c r="A5" s="15" t="s">
        <v>538</v>
      </c>
      <c r="B5" s="54" t="s">
        <v>29</v>
      </c>
      <c r="C5" s="15" t="s">
        <v>152</v>
      </c>
      <c r="D5" s="15" t="s">
        <v>381</v>
      </c>
      <c r="E5" s="16" t="s">
        <v>153</v>
      </c>
      <c r="F5" s="16" t="s">
        <v>154</v>
      </c>
      <c r="G5" s="144" t="s">
        <v>539</v>
      </c>
      <c r="H5" s="16" t="s">
        <v>156</v>
      </c>
      <c r="I5" s="16" t="s">
        <v>157</v>
      </c>
      <c r="J5" s="15" t="s">
        <v>540</v>
      </c>
      <c r="K5" s="145" t="s">
        <v>541</v>
      </c>
      <c r="L5" s="144" t="s">
        <v>542</v>
      </c>
    </row>
    <row r="6" spans="1:12" ht="30.95" customHeight="1" x14ac:dyDescent="0.3">
      <c r="A6" s="15" t="s">
        <v>543</v>
      </c>
      <c r="B6" s="54" t="s">
        <v>29</v>
      </c>
      <c r="C6" s="15" t="s">
        <v>136</v>
      </c>
      <c r="D6" s="15" t="s">
        <v>385</v>
      </c>
      <c r="E6" s="16" t="s">
        <v>159</v>
      </c>
      <c r="F6" s="16" t="s">
        <v>160</v>
      </c>
      <c r="G6" s="144" t="s">
        <v>544</v>
      </c>
      <c r="H6" s="16" t="s">
        <v>162</v>
      </c>
      <c r="I6" s="16" t="s">
        <v>163</v>
      </c>
      <c r="J6" s="15" t="s">
        <v>540</v>
      </c>
      <c r="K6" s="145" t="s">
        <v>158</v>
      </c>
      <c r="L6" s="144" t="s">
        <v>545</v>
      </c>
    </row>
    <row r="7" spans="1:12" ht="30.95" customHeight="1" x14ac:dyDescent="0.3">
      <c r="A7" s="15" t="s">
        <v>546</v>
      </c>
      <c r="B7" s="54" t="s">
        <v>29</v>
      </c>
      <c r="C7" s="15" t="s">
        <v>133</v>
      </c>
      <c r="D7" s="15" t="s">
        <v>389</v>
      </c>
      <c r="E7" s="16" t="s">
        <v>164</v>
      </c>
      <c r="F7" s="16" t="s">
        <v>165</v>
      </c>
      <c r="G7" s="144" t="s">
        <v>547</v>
      </c>
      <c r="H7" s="16" t="s">
        <v>167</v>
      </c>
      <c r="I7" s="16" t="s">
        <v>168</v>
      </c>
      <c r="J7" s="15" t="s">
        <v>540</v>
      </c>
      <c r="K7" s="145" t="s">
        <v>158</v>
      </c>
      <c r="L7" s="144" t="s">
        <v>548</v>
      </c>
    </row>
    <row r="8" spans="1:12" ht="30.95" customHeight="1" x14ac:dyDescent="0.3">
      <c r="A8" s="15" t="s">
        <v>549</v>
      </c>
      <c r="B8" s="54" t="s">
        <v>29</v>
      </c>
      <c r="C8" s="15" t="s">
        <v>132</v>
      </c>
      <c r="D8" s="15" t="s">
        <v>393</v>
      </c>
      <c r="E8" s="16" t="s">
        <v>169</v>
      </c>
      <c r="F8" s="16" t="s">
        <v>170</v>
      </c>
      <c r="G8" s="144" t="s">
        <v>550</v>
      </c>
      <c r="H8" s="16" t="s">
        <v>172</v>
      </c>
      <c r="I8" s="16" t="s">
        <v>173</v>
      </c>
      <c r="J8" s="15" t="s">
        <v>540</v>
      </c>
      <c r="K8" s="145" t="s">
        <v>158</v>
      </c>
      <c r="L8" s="144" t="s">
        <v>551</v>
      </c>
    </row>
    <row r="9" spans="1:12" ht="30.95" customHeight="1" x14ac:dyDescent="0.3">
      <c r="A9" s="15" t="s">
        <v>552</v>
      </c>
      <c r="B9" s="54" t="s">
        <v>29</v>
      </c>
      <c r="C9" s="15" t="s">
        <v>138</v>
      </c>
      <c r="D9" s="15" t="s">
        <v>397</v>
      </c>
      <c r="E9" s="16" t="s">
        <v>174</v>
      </c>
      <c r="F9" s="16" t="s">
        <v>175</v>
      </c>
      <c r="G9" s="144" t="s">
        <v>553</v>
      </c>
      <c r="H9" s="16" t="s">
        <v>177</v>
      </c>
      <c r="I9" s="16" t="s">
        <v>178</v>
      </c>
      <c r="J9" s="15" t="s">
        <v>540</v>
      </c>
      <c r="K9" s="145" t="s">
        <v>158</v>
      </c>
      <c r="L9" s="144" t="s">
        <v>554</v>
      </c>
    </row>
    <row r="10" spans="1:12" ht="36" customHeight="1" x14ac:dyDescent="0.3">
      <c r="A10" s="15" t="s">
        <v>555</v>
      </c>
      <c r="B10" s="55" t="s">
        <v>35</v>
      </c>
      <c r="C10" s="15" t="s">
        <v>152</v>
      </c>
      <c r="D10" s="15" t="s">
        <v>381</v>
      </c>
      <c r="E10" s="16" t="s">
        <v>412</v>
      </c>
      <c r="F10" s="16" t="s">
        <v>413</v>
      </c>
      <c r="G10" s="16" t="s">
        <v>414</v>
      </c>
      <c r="H10" s="16" t="s">
        <v>156</v>
      </c>
      <c r="I10" s="16" t="s">
        <v>415</v>
      </c>
      <c r="J10" s="15" t="s">
        <v>556</v>
      </c>
      <c r="K10" s="15" t="s">
        <v>36</v>
      </c>
      <c r="L10" s="16" t="s">
        <v>557</v>
      </c>
    </row>
    <row r="11" spans="1:12" ht="36" customHeight="1" x14ac:dyDescent="0.3">
      <c r="A11" s="15" t="s">
        <v>558</v>
      </c>
      <c r="B11" s="55" t="s">
        <v>35</v>
      </c>
      <c r="C11" s="15" t="s">
        <v>136</v>
      </c>
      <c r="D11" s="15" t="s">
        <v>559</v>
      </c>
      <c r="E11" s="16" t="s">
        <v>416</v>
      </c>
      <c r="F11" s="16" t="s">
        <v>417</v>
      </c>
      <c r="G11" s="16" t="s">
        <v>418</v>
      </c>
      <c r="H11" s="16" t="s">
        <v>162</v>
      </c>
      <c r="I11" s="16" t="s">
        <v>419</v>
      </c>
      <c r="J11" s="15" t="s">
        <v>556</v>
      </c>
      <c r="K11" s="15" t="s">
        <v>36</v>
      </c>
      <c r="L11" s="16" t="s">
        <v>560</v>
      </c>
    </row>
    <row r="12" spans="1:12" ht="36" customHeight="1" x14ac:dyDescent="0.3">
      <c r="A12" s="15" t="s">
        <v>561</v>
      </c>
      <c r="B12" s="55" t="s">
        <v>35</v>
      </c>
      <c r="C12" s="15" t="s">
        <v>133</v>
      </c>
      <c r="D12" s="15" t="s">
        <v>562</v>
      </c>
      <c r="E12" s="16" t="s">
        <v>420</v>
      </c>
      <c r="F12" s="16" t="s">
        <v>421</v>
      </c>
      <c r="G12" s="16" t="s">
        <v>422</v>
      </c>
      <c r="H12" s="16" t="s">
        <v>167</v>
      </c>
      <c r="I12" s="16" t="s">
        <v>423</v>
      </c>
      <c r="J12" s="15" t="s">
        <v>556</v>
      </c>
      <c r="K12" s="15" t="s">
        <v>36</v>
      </c>
      <c r="L12" s="16" t="s">
        <v>557</v>
      </c>
    </row>
    <row r="13" spans="1:12" ht="36" customHeight="1" x14ac:dyDescent="0.3">
      <c r="A13" s="15" t="s">
        <v>563</v>
      </c>
      <c r="B13" s="55" t="s">
        <v>35</v>
      </c>
      <c r="C13" s="15" t="s">
        <v>132</v>
      </c>
      <c r="D13" s="15" t="s">
        <v>564</v>
      </c>
      <c r="E13" s="16" t="s">
        <v>424</v>
      </c>
      <c r="F13" s="16" t="s">
        <v>425</v>
      </c>
      <c r="G13" s="16" t="s">
        <v>426</v>
      </c>
      <c r="H13" s="16" t="s">
        <v>427</v>
      </c>
      <c r="I13" s="16" t="s">
        <v>428</v>
      </c>
      <c r="J13" s="15" t="s">
        <v>556</v>
      </c>
      <c r="K13" s="15" t="s">
        <v>36</v>
      </c>
      <c r="L13" s="16" t="s">
        <v>557</v>
      </c>
    </row>
    <row r="14" spans="1:12" ht="36" customHeight="1" x14ac:dyDescent="0.3">
      <c r="A14" s="15" t="s">
        <v>565</v>
      </c>
      <c r="B14" s="55" t="s">
        <v>35</v>
      </c>
      <c r="C14" s="15" t="s">
        <v>138</v>
      </c>
      <c r="D14" s="15" t="s">
        <v>566</v>
      </c>
      <c r="E14" s="16" t="s">
        <v>429</v>
      </c>
      <c r="F14" s="16" t="s">
        <v>430</v>
      </c>
      <c r="G14" s="16" t="s">
        <v>431</v>
      </c>
      <c r="H14" s="16" t="s">
        <v>432</v>
      </c>
      <c r="I14" s="16" t="s">
        <v>433</v>
      </c>
      <c r="J14" s="15" t="s">
        <v>556</v>
      </c>
      <c r="K14" s="15" t="s">
        <v>36</v>
      </c>
      <c r="L14" s="16" t="s">
        <v>557</v>
      </c>
    </row>
    <row r="15" spans="1:12" ht="36" customHeight="1" x14ac:dyDescent="0.3">
      <c r="A15" s="15" t="s">
        <v>567</v>
      </c>
      <c r="B15" s="56" t="s">
        <v>40</v>
      </c>
      <c r="C15" s="15" t="s">
        <v>152</v>
      </c>
      <c r="D15" s="15" t="s">
        <v>568</v>
      </c>
      <c r="E15" s="16" t="s">
        <v>445</v>
      </c>
      <c r="F15" s="16" t="s">
        <v>446</v>
      </c>
      <c r="G15" s="16" t="s">
        <v>447</v>
      </c>
      <c r="H15" s="16" t="s">
        <v>448</v>
      </c>
      <c r="I15" s="16" t="s">
        <v>449</v>
      </c>
      <c r="J15" s="15" t="s">
        <v>569</v>
      </c>
      <c r="K15" s="15" t="s">
        <v>41</v>
      </c>
      <c r="L15" s="16" t="s">
        <v>557</v>
      </c>
    </row>
    <row r="16" spans="1:12" ht="36" customHeight="1" x14ac:dyDescent="0.3">
      <c r="A16" s="15" t="s">
        <v>570</v>
      </c>
      <c r="B16" s="56" t="s">
        <v>40</v>
      </c>
      <c r="C16" s="15" t="s">
        <v>136</v>
      </c>
      <c r="D16" s="15" t="s">
        <v>571</v>
      </c>
      <c r="E16" s="16" t="s">
        <v>450</v>
      </c>
      <c r="F16" s="16" t="s">
        <v>451</v>
      </c>
      <c r="G16" s="16" t="s">
        <v>452</v>
      </c>
      <c r="H16" s="16" t="s">
        <v>453</v>
      </c>
      <c r="I16" s="16" t="s">
        <v>454</v>
      </c>
      <c r="J16" s="15" t="s">
        <v>569</v>
      </c>
      <c r="K16" s="15" t="s">
        <v>41</v>
      </c>
      <c r="L16" s="16" t="s">
        <v>557</v>
      </c>
    </row>
    <row r="17" spans="1:12" ht="36" customHeight="1" x14ac:dyDescent="0.3">
      <c r="A17" s="15" t="s">
        <v>572</v>
      </c>
      <c r="B17" s="56" t="s">
        <v>40</v>
      </c>
      <c r="C17" s="15" t="s">
        <v>133</v>
      </c>
      <c r="D17" s="15" t="s">
        <v>573</v>
      </c>
      <c r="E17" s="16" t="s">
        <v>455</v>
      </c>
      <c r="F17" s="16" t="s">
        <v>456</v>
      </c>
      <c r="G17" s="16" t="s">
        <v>457</v>
      </c>
      <c r="H17" s="16" t="s">
        <v>458</v>
      </c>
      <c r="I17" s="16" t="s">
        <v>459</v>
      </c>
      <c r="J17" s="15" t="s">
        <v>569</v>
      </c>
      <c r="K17" s="15" t="s">
        <v>41</v>
      </c>
      <c r="L17" s="16" t="s">
        <v>560</v>
      </c>
    </row>
    <row r="18" spans="1:12" ht="36" customHeight="1" x14ac:dyDescent="0.3">
      <c r="A18" s="15" t="s">
        <v>574</v>
      </c>
      <c r="B18" s="56" t="s">
        <v>40</v>
      </c>
      <c r="C18" s="15" t="s">
        <v>132</v>
      </c>
      <c r="D18" s="15" t="s">
        <v>575</v>
      </c>
      <c r="E18" s="16" t="s">
        <v>460</v>
      </c>
      <c r="F18" s="16" t="s">
        <v>461</v>
      </c>
      <c r="G18" s="16" t="s">
        <v>462</v>
      </c>
      <c r="H18" s="16" t="s">
        <v>463</v>
      </c>
      <c r="I18" s="16" t="s">
        <v>464</v>
      </c>
      <c r="J18" s="15" t="s">
        <v>569</v>
      </c>
      <c r="K18" s="15" t="s">
        <v>41</v>
      </c>
      <c r="L18" s="16" t="s">
        <v>557</v>
      </c>
    </row>
    <row r="19" spans="1:12" ht="36" customHeight="1" x14ac:dyDescent="0.3">
      <c r="A19" s="15" t="s">
        <v>576</v>
      </c>
      <c r="B19" s="57" t="s">
        <v>46</v>
      </c>
      <c r="C19" s="15" t="s">
        <v>152</v>
      </c>
      <c r="D19" s="15" t="s">
        <v>577</v>
      </c>
      <c r="E19" s="16" t="s">
        <v>477</v>
      </c>
      <c r="F19" s="16" t="s">
        <v>478</v>
      </c>
      <c r="G19" s="16" t="s">
        <v>479</v>
      </c>
      <c r="H19" s="16" t="s">
        <v>156</v>
      </c>
      <c r="I19" s="16" t="s">
        <v>480</v>
      </c>
      <c r="J19" s="15" t="s">
        <v>556</v>
      </c>
      <c r="K19" s="15" t="s">
        <v>41</v>
      </c>
      <c r="L19" s="16" t="s">
        <v>557</v>
      </c>
    </row>
    <row r="20" spans="1:12" ht="36" customHeight="1" x14ac:dyDescent="0.3">
      <c r="A20" s="15" t="s">
        <v>578</v>
      </c>
      <c r="B20" s="57" t="s">
        <v>46</v>
      </c>
      <c r="C20" s="15" t="s">
        <v>136</v>
      </c>
      <c r="D20" s="15" t="s">
        <v>579</v>
      </c>
      <c r="E20" s="16" t="s">
        <v>481</v>
      </c>
      <c r="F20" s="16" t="s">
        <v>482</v>
      </c>
      <c r="G20" s="16" t="s">
        <v>483</v>
      </c>
      <c r="H20" s="16" t="s">
        <v>162</v>
      </c>
      <c r="I20" s="16" t="s">
        <v>484</v>
      </c>
      <c r="J20" s="15" t="s">
        <v>556</v>
      </c>
      <c r="K20" s="15" t="s">
        <v>41</v>
      </c>
      <c r="L20" s="16" t="s">
        <v>560</v>
      </c>
    </row>
    <row r="21" spans="1:12" ht="36" customHeight="1" x14ac:dyDescent="0.3">
      <c r="A21" s="15" t="s">
        <v>580</v>
      </c>
      <c r="B21" s="57" t="s">
        <v>46</v>
      </c>
      <c r="C21" s="15" t="s">
        <v>133</v>
      </c>
      <c r="D21" s="15" t="s">
        <v>581</v>
      </c>
      <c r="E21" s="16" t="s">
        <v>485</v>
      </c>
      <c r="F21" s="16" t="s">
        <v>486</v>
      </c>
      <c r="G21" s="16" t="s">
        <v>487</v>
      </c>
      <c r="H21" s="16" t="s">
        <v>167</v>
      </c>
      <c r="I21" s="16" t="s">
        <v>488</v>
      </c>
      <c r="J21" s="15" t="s">
        <v>556</v>
      </c>
      <c r="K21" s="15" t="s">
        <v>41</v>
      </c>
      <c r="L21" s="16" t="s">
        <v>557</v>
      </c>
    </row>
    <row r="22" spans="1:12" ht="36" customHeight="1" x14ac:dyDescent="0.3">
      <c r="A22" s="15" t="s">
        <v>582</v>
      </c>
      <c r="B22" s="57" t="s">
        <v>46</v>
      </c>
      <c r="C22" s="15" t="s">
        <v>132</v>
      </c>
      <c r="D22" s="15" t="s">
        <v>583</v>
      </c>
      <c r="E22" s="16" t="s">
        <v>489</v>
      </c>
      <c r="F22" s="16" t="s">
        <v>490</v>
      </c>
      <c r="G22" s="16" t="s">
        <v>491</v>
      </c>
      <c r="H22" s="16" t="s">
        <v>492</v>
      </c>
      <c r="I22" s="16" t="s">
        <v>493</v>
      </c>
      <c r="J22" s="15" t="s">
        <v>556</v>
      </c>
      <c r="K22" s="15" t="s">
        <v>41</v>
      </c>
      <c r="L22" s="16" t="s">
        <v>557</v>
      </c>
    </row>
    <row r="23" spans="1:12" ht="36" customHeight="1" x14ac:dyDescent="0.3">
      <c r="A23" s="15" t="s">
        <v>584</v>
      </c>
      <c r="B23" s="57" t="s">
        <v>46</v>
      </c>
      <c r="C23" s="15" t="s">
        <v>138</v>
      </c>
      <c r="D23" s="15" t="s">
        <v>585</v>
      </c>
      <c r="E23" s="16" t="s">
        <v>494</v>
      </c>
      <c r="F23" s="16" t="s">
        <v>495</v>
      </c>
      <c r="G23" s="16" t="s">
        <v>496</v>
      </c>
      <c r="H23" s="16" t="s">
        <v>497</v>
      </c>
      <c r="I23" s="16" t="s">
        <v>498</v>
      </c>
      <c r="J23" s="15" t="s">
        <v>556</v>
      </c>
      <c r="K23" s="15" t="s">
        <v>41</v>
      </c>
      <c r="L23" s="16" t="s">
        <v>557</v>
      </c>
    </row>
    <row r="24" spans="1:12" ht="36" customHeight="1" x14ac:dyDescent="0.3">
      <c r="A24" s="15" t="s">
        <v>586</v>
      </c>
      <c r="B24" s="58" t="s">
        <v>50</v>
      </c>
      <c r="C24" s="15" t="s">
        <v>152</v>
      </c>
      <c r="D24" s="15" t="s">
        <v>577</v>
      </c>
      <c r="E24" s="16" t="s">
        <v>510</v>
      </c>
      <c r="F24" s="16" t="s">
        <v>511</v>
      </c>
      <c r="G24" s="16" t="s">
        <v>512</v>
      </c>
      <c r="H24" s="16" t="s">
        <v>156</v>
      </c>
      <c r="I24" s="16" t="s">
        <v>513</v>
      </c>
      <c r="J24" s="15" t="s">
        <v>556</v>
      </c>
      <c r="K24" s="15" t="s">
        <v>41</v>
      </c>
      <c r="L24" s="16" t="s">
        <v>557</v>
      </c>
    </row>
    <row r="25" spans="1:12" ht="36" customHeight="1" x14ac:dyDescent="0.3">
      <c r="A25" s="15" t="s">
        <v>587</v>
      </c>
      <c r="B25" s="58" t="s">
        <v>50</v>
      </c>
      <c r="C25" s="15" t="s">
        <v>136</v>
      </c>
      <c r="D25" s="15" t="s">
        <v>588</v>
      </c>
      <c r="E25" s="16" t="s">
        <v>513</v>
      </c>
      <c r="F25" s="16" t="s">
        <v>514</v>
      </c>
      <c r="G25" s="16" t="s">
        <v>515</v>
      </c>
      <c r="H25" s="16" t="s">
        <v>162</v>
      </c>
      <c r="I25" s="16" t="s">
        <v>516</v>
      </c>
      <c r="J25" s="15" t="s">
        <v>556</v>
      </c>
      <c r="K25" s="15" t="s">
        <v>41</v>
      </c>
      <c r="L25" s="16" t="s">
        <v>560</v>
      </c>
    </row>
    <row r="26" spans="1:12" ht="36" customHeight="1" x14ac:dyDescent="0.3">
      <c r="A26" s="15" t="s">
        <v>589</v>
      </c>
      <c r="B26" s="58" t="s">
        <v>50</v>
      </c>
      <c r="C26" s="15" t="s">
        <v>133</v>
      </c>
      <c r="D26" s="15" t="s">
        <v>590</v>
      </c>
      <c r="E26" s="16" t="s">
        <v>517</v>
      </c>
      <c r="F26" s="16" t="s">
        <v>518</v>
      </c>
      <c r="G26" s="16" t="s">
        <v>519</v>
      </c>
      <c r="H26" s="16" t="s">
        <v>167</v>
      </c>
      <c r="I26" s="16" t="s">
        <v>520</v>
      </c>
      <c r="J26" s="15" t="s">
        <v>556</v>
      </c>
      <c r="K26" s="15" t="s">
        <v>41</v>
      </c>
      <c r="L26" s="16" t="s">
        <v>557</v>
      </c>
    </row>
    <row r="27" spans="1:12" ht="36" customHeight="1" x14ac:dyDescent="0.3">
      <c r="A27" s="15" t="s">
        <v>591</v>
      </c>
      <c r="B27" s="58" t="s">
        <v>50</v>
      </c>
      <c r="C27" s="15" t="s">
        <v>132</v>
      </c>
      <c r="D27" s="15" t="s">
        <v>592</v>
      </c>
      <c r="E27" s="16" t="s">
        <v>521</v>
      </c>
      <c r="F27" s="16" t="s">
        <v>522</v>
      </c>
      <c r="G27" s="16" t="s">
        <v>523</v>
      </c>
      <c r="H27" s="16" t="s">
        <v>524</v>
      </c>
      <c r="I27" s="16" t="s">
        <v>525</v>
      </c>
      <c r="J27" s="15" t="s">
        <v>556</v>
      </c>
      <c r="K27" s="15" t="s">
        <v>41</v>
      </c>
      <c r="L27" s="16" t="s">
        <v>557</v>
      </c>
    </row>
    <row r="28" spans="1:12" ht="36" customHeight="1" x14ac:dyDescent="0.3">
      <c r="A28" s="15" t="s">
        <v>593</v>
      </c>
      <c r="B28" s="58" t="s">
        <v>50</v>
      </c>
      <c r="C28" s="15" t="s">
        <v>138</v>
      </c>
      <c r="D28" s="15" t="s">
        <v>594</v>
      </c>
      <c r="E28" s="16" t="s">
        <v>526</v>
      </c>
      <c r="F28" s="16" t="s">
        <v>527</v>
      </c>
      <c r="G28" s="16" t="s">
        <v>528</v>
      </c>
      <c r="H28" s="16" t="s">
        <v>529</v>
      </c>
      <c r="I28" s="16" t="s">
        <v>530</v>
      </c>
      <c r="J28" s="15" t="s">
        <v>556</v>
      </c>
      <c r="K28" s="15" t="s">
        <v>41</v>
      </c>
      <c r="L28" s="16" t="s">
        <v>557</v>
      </c>
    </row>
  </sheetData>
  <mergeCells count="2">
    <mergeCell ref="A2:L2"/>
    <mergeCell ref="A1:L1"/>
  </mergeCells>
  <phoneticPr fontId="42" type="noConversion"/>
  <dataValidations count="1">
    <dataValidation type="list" sqref="K5:K28" xr:uid="{00000000-0002-0000-0A00-000000000000}">
      <formula1>"실측 기반,기존 씬 기반 제안,문서 기반 신규 제안"</formula1>
    </dataValidation>
  </dataValidations>
  <pageMargins left="0.2" right="0.2" top="0.3" bottom="0.3" header="0.5" footer="0.5"/>
  <pageSetup scale="56" orientation="landscape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P18"/>
  <sheetViews>
    <sheetView showGridLines="0" workbookViewId="0">
      <pane ySplit="4" topLeftCell="A5" activePane="bottomLeft" state="frozen"/>
      <selection pane="bottomLeft" sqref="A1:P1"/>
    </sheetView>
  </sheetViews>
  <sheetFormatPr defaultRowHeight="16.5" x14ac:dyDescent="0.3"/>
  <cols>
    <col min="1" max="1" width="6" customWidth="1"/>
    <col min="2" max="2" width="14" customWidth="1"/>
    <col min="3" max="4" width="10" customWidth="1"/>
    <col min="5" max="5" width="17" customWidth="1"/>
    <col min="6" max="6" width="13" customWidth="1"/>
    <col min="7" max="8" width="11" customWidth="1"/>
    <col min="9" max="10" width="15" customWidth="1"/>
    <col min="11" max="12" width="10" customWidth="1"/>
    <col min="13" max="13" width="2" customWidth="1"/>
    <col min="14" max="14" width="18" customWidth="1"/>
    <col min="15" max="15" width="13" customWidth="1"/>
    <col min="16" max="16" width="8" customWidth="1"/>
  </cols>
  <sheetData>
    <row r="1" spans="1:16" ht="33.950000000000003" customHeight="1" x14ac:dyDescent="0.3">
      <c r="A1" s="306" t="s">
        <v>595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</row>
    <row r="2" spans="1:16" x14ac:dyDescent="0.3">
      <c r="A2" s="308" t="s">
        <v>596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</row>
    <row r="4" spans="1:16" x14ac:dyDescent="0.3">
      <c r="A4" s="60" t="s">
        <v>20</v>
      </c>
      <c r="B4" s="60" t="s">
        <v>2</v>
      </c>
      <c r="C4" s="60" t="s">
        <v>21</v>
      </c>
      <c r="D4" s="60" t="s">
        <v>146</v>
      </c>
      <c r="E4" s="60" t="s">
        <v>597</v>
      </c>
      <c r="F4" s="60" t="s">
        <v>598</v>
      </c>
      <c r="G4" s="60" t="s">
        <v>599</v>
      </c>
      <c r="H4" s="60" t="s">
        <v>600</v>
      </c>
      <c r="I4" s="60" t="s">
        <v>601</v>
      </c>
      <c r="J4" s="60" t="s">
        <v>602</v>
      </c>
      <c r="K4" s="60" t="s">
        <v>75</v>
      </c>
      <c r="L4" s="60" t="s">
        <v>603</v>
      </c>
      <c r="N4" s="61" t="s">
        <v>604</v>
      </c>
      <c r="O4" s="62"/>
      <c r="P4" s="62"/>
    </row>
    <row r="5" spans="1:16" x14ac:dyDescent="0.3">
      <c r="A5" s="63">
        <v>1</v>
      </c>
      <c r="B5" s="64" t="s">
        <v>29</v>
      </c>
      <c r="C5" s="63">
        <v>270</v>
      </c>
      <c r="D5" s="63" t="str">
        <f t="shared" ref="D5:D10" si="0">INT(C5/60)&amp;":"&amp;TEXT(MOD(C5,60),"00")</f>
        <v>4:30</v>
      </c>
      <c r="E5" s="65">
        <f>IF(C5&lt;=$O$8,$O$5*C5+0.5*$O$7*C5^2,$O$9+(C5-$O$8)*$O$6)</f>
        <v>1580</v>
      </c>
      <c r="F5" s="66" t="s">
        <v>6</v>
      </c>
      <c r="G5" s="63">
        <f>$O$12+ROUNDUP((E5-$O$11)/$O$10,0)</f>
        <v>142</v>
      </c>
      <c r="H5" s="63">
        <f>G5-$O$12</f>
        <v>121</v>
      </c>
      <c r="I5" s="65">
        <f>$O$11+H5*$O$10</f>
        <v>1581.9750245346802</v>
      </c>
      <c r="J5" s="65">
        <f>IF(I5&lt;=$O$9,(-$O$5+SQRT($O$5^2+2*$O$7*I5))/$O$7,$O$8+(I5-$O$9)/$O$6)</f>
        <v>270.32917075578007</v>
      </c>
      <c r="K5" s="63">
        <f>ROUNDUP(G5/$O$13,0)</f>
        <v>71</v>
      </c>
      <c r="L5" s="63" t="str">
        <f>IF(ABS(J5-C5)&lt;=2,"OK","재조정")</f>
        <v>OK</v>
      </c>
      <c r="N5" s="67" t="s">
        <v>605</v>
      </c>
      <c r="O5" s="68">
        <v>4</v>
      </c>
      <c r="P5" s="68" t="s">
        <v>606</v>
      </c>
    </row>
    <row r="6" spans="1:16" x14ac:dyDescent="0.3">
      <c r="A6" s="69">
        <v>2</v>
      </c>
      <c r="B6" s="70" t="s">
        <v>35</v>
      </c>
      <c r="C6" s="69">
        <v>240</v>
      </c>
      <c r="D6" s="69" t="str">
        <f t="shared" si="0"/>
        <v>4:00</v>
      </c>
      <c r="E6" s="71">
        <f>IF(C6&lt;=$O$8,$O$5*C6+0.5*$O$7*C6^2,$O$9+(C6-$O$8)*$O$6)</f>
        <v>1400</v>
      </c>
      <c r="F6" s="72" t="s">
        <v>6</v>
      </c>
      <c r="G6" s="69">
        <f>ROUNDUP(E6/$O$10,0)</f>
        <v>125</v>
      </c>
      <c r="H6" s="69">
        <f>G6</f>
        <v>125</v>
      </c>
      <c r="I6" s="71">
        <f>G6*$O$10</f>
        <v>1406.25</v>
      </c>
      <c r="J6" s="71">
        <f>IF(I6&lt;=$O$9,(-$O$5+SQRT($O$5^2+2*$O$7*I6))/$O$7,$O$8+(I6-$O$9)/$O$6)</f>
        <v>241.04166666666666</v>
      </c>
      <c r="K6" s="69">
        <f>ROUNDUP(G6/$O$13,0)</f>
        <v>63</v>
      </c>
      <c r="L6" s="69" t="str">
        <f>IF(ABS(J6-C6)&lt;=2,"OK","재조정")</f>
        <v>OK</v>
      </c>
      <c r="N6" s="73" t="s">
        <v>607</v>
      </c>
      <c r="O6" s="69">
        <v>6</v>
      </c>
      <c r="P6" s="69" t="s">
        <v>606</v>
      </c>
    </row>
    <row r="7" spans="1:16" x14ac:dyDescent="0.3">
      <c r="A7" s="74">
        <v>3</v>
      </c>
      <c r="B7" s="75" t="s">
        <v>40</v>
      </c>
      <c r="C7" s="74">
        <v>120</v>
      </c>
      <c r="D7" s="74" t="str">
        <f t="shared" si="0"/>
        <v>2:00</v>
      </c>
      <c r="E7" s="76">
        <f>IF(C7&lt;=$O$8,$O$5*C7+0.5*$O$7*C7^2,$O$9+(C7-$O$8)*$O$6)</f>
        <v>680</v>
      </c>
      <c r="F7" s="77" t="s">
        <v>6</v>
      </c>
      <c r="G7" s="74">
        <f>ROUNDUP(E7/$O$10,0)</f>
        <v>61</v>
      </c>
      <c r="H7" s="74">
        <f>G7</f>
        <v>61</v>
      </c>
      <c r="I7" s="76">
        <f>G7*$O$10</f>
        <v>686.25</v>
      </c>
      <c r="J7" s="76">
        <f>IF(I7&lt;=$O$9,(-$O$5+SQRT($O$5^2+2*$O$7*I7))/$O$7,$O$8+(I7-$O$9)/$O$6)</f>
        <v>121.04166666666667</v>
      </c>
      <c r="K7" s="74">
        <f>ROUNDUP(G7/$O$13,0)</f>
        <v>31</v>
      </c>
      <c r="L7" s="74" t="str">
        <f>IF(ABS(J7-C7)&lt;=2,"OK","재조정")</f>
        <v>OK</v>
      </c>
      <c r="N7" s="67" t="s">
        <v>608</v>
      </c>
      <c r="O7" s="68">
        <v>0.05</v>
      </c>
      <c r="P7" s="68" t="s">
        <v>609</v>
      </c>
    </row>
    <row r="8" spans="1:16" x14ac:dyDescent="0.3">
      <c r="A8" s="69">
        <v>4</v>
      </c>
      <c r="B8" s="78" t="s">
        <v>46</v>
      </c>
      <c r="C8" s="69">
        <v>270</v>
      </c>
      <c r="D8" s="69" t="str">
        <f t="shared" si="0"/>
        <v>4:30</v>
      </c>
      <c r="E8" s="71">
        <f>IF(C8&lt;=$O$8,$O$5*C8+0.5*$O$7*C8^2,$O$9+(C8-$O$8)*$O$6)</f>
        <v>1580</v>
      </c>
      <c r="F8" s="72" t="s">
        <v>6</v>
      </c>
      <c r="G8" s="69">
        <f>ROUNDUP(E8/$O$10,0)</f>
        <v>141</v>
      </c>
      <c r="H8" s="69">
        <f>G8</f>
        <v>141</v>
      </c>
      <c r="I8" s="71">
        <f>G8*$O$10</f>
        <v>1586.25</v>
      </c>
      <c r="J8" s="71">
        <f>IF(I8&lt;=$O$9,(-$O$5+SQRT($O$5^2+2*$O$7*I8))/$O$7,$O$8+(I8-$O$9)/$O$6)</f>
        <v>271.04166666666663</v>
      </c>
      <c r="K8" s="69">
        <f>ROUNDUP(G8/$O$13,0)</f>
        <v>71</v>
      </c>
      <c r="L8" s="69" t="str">
        <f>IF(ABS(J8-C8)&lt;=2,"OK","재조정")</f>
        <v>OK</v>
      </c>
      <c r="N8" s="73" t="s">
        <v>610</v>
      </c>
      <c r="O8" s="69">
        <f>(O6-O5)/O7</f>
        <v>40</v>
      </c>
      <c r="P8" s="69" t="s">
        <v>611</v>
      </c>
    </row>
    <row r="9" spans="1:16" x14ac:dyDescent="0.3">
      <c r="A9" s="79">
        <v>5</v>
      </c>
      <c r="B9" s="80" t="s">
        <v>50</v>
      </c>
      <c r="C9" s="79">
        <v>300</v>
      </c>
      <c r="D9" s="79" t="str">
        <f t="shared" si="0"/>
        <v>5:00</v>
      </c>
      <c r="E9" s="81">
        <f>IF(C9&lt;=$O$8,$O$5*C9+0.5*$O$7*C9^2,$O$9+(C9-$O$8)*$O$6)</f>
        <v>1760</v>
      </c>
      <c r="F9" s="82" t="s">
        <v>6</v>
      </c>
      <c r="G9" s="79">
        <f>ROUNDUP(E9/$O$10,0)</f>
        <v>157</v>
      </c>
      <c r="H9" s="79">
        <f>G9</f>
        <v>157</v>
      </c>
      <c r="I9" s="81">
        <f>G9*$O$10</f>
        <v>1766.25</v>
      </c>
      <c r="J9" s="81">
        <f>IF(I9&lt;=$O$9,(-$O$5+SQRT($O$5^2+2*$O$7*I9))/$O$7,$O$8+(I9-$O$9)/$O$6)</f>
        <v>301.04166666666669</v>
      </c>
      <c r="K9" s="79">
        <f>ROUNDUP(G9/$O$13,0)</f>
        <v>79</v>
      </c>
      <c r="L9" s="79" t="str">
        <f>IF(ABS(J9-C9)&lt;=2,"OK","재조정")</f>
        <v>OK</v>
      </c>
      <c r="N9" s="67" t="s">
        <v>612</v>
      </c>
      <c r="O9" s="68">
        <f>O5*O8+0.5*O7*O8^2</f>
        <v>200</v>
      </c>
      <c r="P9" s="68" t="s">
        <v>613</v>
      </c>
    </row>
    <row r="10" spans="1:16" x14ac:dyDescent="0.3">
      <c r="A10" s="83" t="s">
        <v>179</v>
      </c>
      <c r="B10" s="83">
        <f>COUNTA(B5:B9)</f>
        <v>5</v>
      </c>
      <c r="C10" s="83">
        <f>SUM(C5:C9)</f>
        <v>1200</v>
      </c>
      <c r="D10" s="83" t="str">
        <f t="shared" si="0"/>
        <v>20:00</v>
      </c>
      <c r="E10" s="84">
        <f>SUM(E5:E9)</f>
        <v>7000</v>
      </c>
      <c r="F10" s="83" t="s">
        <v>8</v>
      </c>
      <c r="G10" s="83">
        <f>SUM(G5:G9)</f>
        <v>626</v>
      </c>
      <c r="H10" s="83">
        <f>SUM(H5:H9)</f>
        <v>605</v>
      </c>
      <c r="I10" s="84">
        <f>SUM(I5:I9)</f>
        <v>7026.9750245346804</v>
      </c>
      <c r="J10" s="84">
        <f>SUM(J5:J9)</f>
        <v>1204.4958374224466</v>
      </c>
      <c r="K10" s="83">
        <f>SUM(K5:K9)</f>
        <v>315</v>
      </c>
      <c r="L10" s="83" t="str">
        <f>IF(COUNTIF(L5:L9,"&lt;&gt;OK")=0,"전체 OK","확인")</f>
        <v>전체 OK</v>
      </c>
      <c r="N10" s="73" t="s">
        <v>614</v>
      </c>
      <c r="O10" s="69">
        <v>11.25</v>
      </c>
      <c r="P10" s="69" t="s">
        <v>613</v>
      </c>
    </row>
    <row r="11" spans="1:16" x14ac:dyDescent="0.3">
      <c r="N11" s="67" t="s">
        <v>615</v>
      </c>
      <c r="O11" s="68">
        <v>220.72502453468019</v>
      </c>
      <c r="P11" s="68" t="s">
        <v>613</v>
      </c>
    </row>
    <row r="12" spans="1:16" x14ac:dyDescent="0.3">
      <c r="N12" s="73" t="s">
        <v>616</v>
      </c>
      <c r="O12" s="69">
        <v>21</v>
      </c>
      <c r="P12" s="69" t="s">
        <v>7</v>
      </c>
    </row>
    <row r="13" spans="1:16" x14ac:dyDescent="0.3">
      <c r="A13" s="307" t="s">
        <v>603</v>
      </c>
      <c r="B13" s="148"/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N13" s="67" t="s">
        <v>617</v>
      </c>
      <c r="O13" s="68">
        <v>2</v>
      </c>
      <c r="P13" s="68" t="s">
        <v>7</v>
      </c>
    </row>
    <row r="14" spans="1:16" ht="27.95" customHeight="1" x14ac:dyDescent="0.3">
      <c r="A14" s="305" t="s">
        <v>618</v>
      </c>
      <c r="B14" s="148"/>
      <c r="C14" s="148"/>
      <c r="D14" s="148"/>
      <c r="E14" s="148"/>
      <c r="F14" s="148"/>
      <c r="G14" s="148"/>
      <c r="H14" s="148"/>
      <c r="I14" s="148"/>
      <c r="J14" s="148"/>
      <c r="K14" s="148"/>
      <c r="L14" s="148"/>
    </row>
    <row r="15" spans="1:16" ht="27.95" customHeight="1" x14ac:dyDescent="0.3">
      <c r="A15" s="305" t="s">
        <v>619</v>
      </c>
      <c r="B15" s="148"/>
      <c r="C15" s="148"/>
      <c r="D15" s="148"/>
      <c r="E15" s="148"/>
      <c r="F15" s="148"/>
      <c r="G15" s="148"/>
      <c r="H15" s="148"/>
      <c r="I15" s="148"/>
      <c r="J15" s="148"/>
      <c r="K15" s="148"/>
      <c r="L15" s="148"/>
    </row>
    <row r="16" spans="1:16" ht="27.95" customHeight="1" x14ac:dyDescent="0.3">
      <c r="A16" s="304" t="s">
        <v>620</v>
      </c>
      <c r="B16" s="148"/>
      <c r="C16" s="148"/>
      <c r="D16" s="148"/>
      <c r="E16" s="148"/>
      <c r="F16" s="148"/>
      <c r="G16" s="148"/>
      <c r="H16" s="148"/>
      <c r="I16" s="148"/>
      <c r="J16" s="148"/>
      <c r="K16" s="148"/>
      <c r="L16" s="148"/>
    </row>
    <row r="17" spans="1:12" ht="27.95" customHeight="1" x14ac:dyDescent="0.3">
      <c r="A17" s="304" t="s">
        <v>621</v>
      </c>
      <c r="B17" s="148"/>
      <c r="C17" s="148"/>
      <c r="D17" s="148"/>
      <c r="E17" s="148"/>
      <c r="F17" s="148"/>
      <c r="G17" s="148"/>
      <c r="H17" s="148"/>
      <c r="I17" s="148"/>
      <c r="J17" s="148"/>
      <c r="K17" s="148"/>
      <c r="L17" s="148"/>
    </row>
    <row r="18" spans="1:12" ht="27.95" customHeight="1" x14ac:dyDescent="0.3">
      <c r="A18" s="304" t="s">
        <v>622</v>
      </c>
      <c r="B18" s="148"/>
      <c r="C18" s="148"/>
      <c r="D18" s="148"/>
      <c r="E18" s="148"/>
      <c r="F18" s="148"/>
      <c r="G18" s="148"/>
      <c r="H18" s="148"/>
      <c r="I18" s="148"/>
      <c r="J18" s="148"/>
      <c r="K18" s="148"/>
      <c r="L18" s="148"/>
    </row>
  </sheetData>
  <mergeCells count="8">
    <mergeCell ref="A17:L17"/>
    <mergeCell ref="A18:L18"/>
    <mergeCell ref="A2:P2"/>
    <mergeCell ref="A16:L16"/>
    <mergeCell ref="A15:L15"/>
    <mergeCell ref="A1:P1"/>
    <mergeCell ref="A13:L13"/>
    <mergeCell ref="A14:L14"/>
  </mergeCells>
  <phoneticPr fontId="42" type="noConversion"/>
  <conditionalFormatting sqref="E5:E9">
    <cfRule type="dataBar" priority="1">
      <dataBar>
        <cfvo type="num" val="0"/>
        <cfvo type="max"/>
        <color rgb="FF4C9DB5"/>
      </dataBar>
    </cfRule>
  </conditionalFormatting>
  <pageMargins left="0.75" right="0.75" top="1" bottom="1" header="0.5" footer="0.5"/>
  <pageSetup scale="60" orientation="landscape" r:id="rId1"/>
  <legacy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H20"/>
  <sheetViews>
    <sheetView showGridLines="0" workbookViewId="0">
      <pane ySplit="4" topLeftCell="A5" activePane="bottomLeft" state="frozen"/>
      <selection pane="bottomLeft" sqref="A1:H1"/>
    </sheetView>
  </sheetViews>
  <sheetFormatPr defaultRowHeight="16.5" x14ac:dyDescent="0.3"/>
  <cols>
    <col min="1" max="1" width="16" customWidth="1"/>
    <col min="2" max="2" width="17" customWidth="1"/>
    <col min="3" max="3" width="72" customWidth="1"/>
    <col min="4" max="4" width="40" customWidth="1"/>
    <col min="5" max="5" width="34" customWidth="1"/>
    <col min="6" max="6" width="14" customWidth="1"/>
    <col min="7" max="8" width="4" customWidth="1"/>
  </cols>
  <sheetData>
    <row r="1" spans="1:8" ht="38.1" customHeight="1" x14ac:dyDescent="0.3">
      <c r="A1" s="162" t="s">
        <v>623</v>
      </c>
      <c r="B1" s="148"/>
      <c r="C1" s="148"/>
      <c r="D1" s="148"/>
      <c r="E1" s="148"/>
      <c r="F1" s="148"/>
      <c r="G1" s="148"/>
      <c r="H1" s="148"/>
    </row>
    <row r="2" spans="1:8" ht="27.95" customHeight="1" x14ac:dyDescent="0.3">
      <c r="A2" s="173" t="s">
        <v>624</v>
      </c>
      <c r="B2" s="148"/>
      <c r="C2" s="148"/>
      <c r="D2" s="148"/>
      <c r="E2" s="148"/>
      <c r="F2" s="148"/>
      <c r="G2" s="148"/>
      <c r="H2" s="148"/>
    </row>
    <row r="4" spans="1:8" x14ac:dyDescent="0.3">
      <c r="A4" s="1" t="s">
        <v>625</v>
      </c>
      <c r="B4" s="1" t="s">
        <v>2</v>
      </c>
      <c r="C4" s="1" t="s">
        <v>626</v>
      </c>
      <c r="D4" s="1" t="s">
        <v>627</v>
      </c>
      <c r="E4" s="1" t="s">
        <v>628</v>
      </c>
      <c r="F4" s="1" t="s">
        <v>629</v>
      </c>
    </row>
    <row r="5" spans="1:8" ht="45.95" customHeight="1" x14ac:dyDescent="0.3">
      <c r="A5" s="59" t="s">
        <v>630</v>
      </c>
      <c r="B5" s="59" t="s">
        <v>29</v>
      </c>
      <c r="C5" s="59" t="s">
        <v>631</v>
      </c>
      <c r="D5" s="59" t="s">
        <v>632</v>
      </c>
      <c r="E5" s="59" t="s">
        <v>633</v>
      </c>
      <c r="F5" s="59" t="s">
        <v>634</v>
      </c>
    </row>
    <row r="6" spans="1:8" ht="45.95" customHeight="1" x14ac:dyDescent="0.3">
      <c r="A6" s="59" t="s">
        <v>635</v>
      </c>
      <c r="B6" s="59" t="s">
        <v>29</v>
      </c>
      <c r="C6" s="59" t="s">
        <v>636</v>
      </c>
      <c r="D6" s="59" t="s">
        <v>637</v>
      </c>
      <c r="E6" s="59" t="s">
        <v>638</v>
      </c>
      <c r="F6" s="59" t="s">
        <v>634</v>
      </c>
    </row>
    <row r="7" spans="1:8" ht="45.95" customHeight="1" x14ac:dyDescent="0.3">
      <c r="A7" s="59" t="s">
        <v>630</v>
      </c>
      <c r="B7" s="59" t="s">
        <v>35</v>
      </c>
      <c r="C7" s="59" t="s">
        <v>639</v>
      </c>
      <c r="D7" s="59" t="s">
        <v>640</v>
      </c>
      <c r="E7" s="59" t="s">
        <v>641</v>
      </c>
      <c r="F7" s="59" t="s">
        <v>634</v>
      </c>
    </row>
    <row r="8" spans="1:8" ht="45.95" customHeight="1" x14ac:dyDescent="0.3">
      <c r="A8" s="59" t="s">
        <v>642</v>
      </c>
      <c r="B8" s="59" t="s">
        <v>35</v>
      </c>
      <c r="C8" s="59" t="s">
        <v>643</v>
      </c>
      <c r="D8" s="59" t="s">
        <v>644</v>
      </c>
      <c r="E8" s="59" t="s">
        <v>645</v>
      </c>
      <c r="F8" s="59" t="s">
        <v>634</v>
      </c>
    </row>
    <row r="9" spans="1:8" ht="45.95" customHeight="1" x14ac:dyDescent="0.3">
      <c r="A9" s="59" t="s">
        <v>646</v>
      </c>
      <c r="B9" s="59" t="s">
        <v>647</v>
      </c>
      <c r="C9" s="59" t="s">
        <v>648</v>
      </c>
      <c r="D9" s="59" t="s">
        <v>649</v>
      </c>
      <c r="E9" s="59" t="s">
        <v>650</v>
      </c>
      <c r="F9" s="59" t="s">
        <v>634</v>
      </c>
    </row>
    <row r="10" spans="1:8" ht="45.95" customHeight="1" x14ac:dyDescent="0.3">
      <c r="A10" s="59" t="s">
        <v>651</v>
      </c>
      <c r="B10" s="59" t="s">
        <v>647</v>
      </c>
      <c r="C10" s="59" t="s">
        <v>652</v>
      </c>
      <c r="D10" s="59" t="s">
        <v>653</v>
      </c>
      <c r="E10" s="59" t="s">
        <v>654</v>
      </c>
      <c r="F10" s="59" t="s">
        <v>634</v>
      </c>
    </row>
    <row r="11" spans="1:8" ht="45.95" customHeight="1" x14ac:dyDescent="0.3">
      <c r="A11" s="59" t="s">
        <v>655</v>
      </c>
      <c r="B11" s="59" t="s">
        <v>656</v>
      </c>
      <c r="C11" s="59" t="s">
        <v>657</v>
      </c>
      <c r="D11" s="59" t="s">
        <v>658</v>
      </c>
      <c r="E11" s="59" t="s">
        <v>659</v>
      </c>
      <c r="F11" s="59" t="s">
        <v>660</v>
      </c>
    </row>
    <row r="12" spans="1:8" ht="36" customHeight="1" x14ac:dyDescent="0.3">
      <c r="A12" s="59" t="s">
        <v>661</v>
      </c>
      <c r="B12" s="59" t="s">
        <v>647</v>
      </c>
      <c r="C12" s="59" t="s">
        <v>662</v>
      </c>
      <c r="D12" s="59" t="s">
        <v>663</v>
      </c>
      <c r="E12" s="59" t="s">
        <v>664</v>
      </c>
      <c r="F12" s="59" t="s">
        <v>634</v>
      </c>
    </row>
    <row r="13" spans="1:8" ht="36" customHeight="1" x14ac:dyDescent="0.3">
      <c r="A13" s="59" t="s">
        <v>665</v>
      </c>
      <c r="B13" s="59" t="s">
        <v>647</v>
      </c>
      <c r="C13" s="59" t="s">
        <v>666</v>
      </c>
      <c r="D13" s="59" t="s">
        <v>667</v>
      </c>
      <c r="E13" s="59" t="s">
        <v>668</v>
      </c>
      <c r="F13" s="59" t="s">
        <v>634</v>
      </c>
    </row>
    <row r="14" spans="1:8" x14ac:dyDescent="0.3">
      <c r="A14" s="309" t="s">
        <v>669</v>
      </c>
      <c r="B14" s="148"/>
      <c r="C14" s="148"/>
      <c r="D14" s="148"/>
      <c r="E14" s="148"/>
      <c r="F14" s="148"/>
      <c r="G14" s="148"/>
      <c r="H14" s="148"/>
    </row>
    <row r="15" spans="1:8" x14ac:dyDescent="0.3">
      <c r="A15" s="148"/>
      <c r="B15" s="148"/>
      <c r="C15" s="148"/>
      <c r="D15" s="148"/>
      <c r="E15" s="148"/>
      <c r="F15" s="148"/>
      <c r="G15" s="148"/>
      <c r="H15" s="148"/>
    </row>
    <row r="16" spans="1:8" x14ac:dyDescent="0.3">
      <c r="A16" s="148"/>
      <c r="B16" s="148"/>
      <c r="C16" s="148"/>
      <c r="D16" s="148"/>
      <c r="E16" s="148"/>
      <c r="F16" s="148"/>
      <c r="G16" s="148"/>
      <c r="H16" s="148"/>
    </row>
    <row r="17" spans="1:8" x14ac:dyDescent="0.3">
      <c r="A17" s="148"/>
      <c r="B17" s="148"/>
      <c r="C17" s="148"/>
      <c r="D17" s="148"/>
      <c r="E17" s="148"/>
      <c r="F17" s="148"/>
      <c r="G17" s="148"/>
      <c r="H17" s="148"/>
    </row>
    <row r="19" spans="1:8" x14ac:dyDescent="0.3">
      <c r="A19" s="146" t="s">
        <v>625</v>
      </c>
      <c r="B19" s="146" t="s">
        <v>670</v>
      </c>
      <c r="C19" s="146" t="s">
        <v>629</v>
      </c>
      <c r="D19" s="146" t="s">
        <v>671</v>
      </c>
      <c r="E19" s="146" t="s">
        <v>672</v>
      </c>
      <c r="F19" s="146" t="s">
        <v>673</v>
      </c>
      <c r="G19" s="146" t="s">
        <v>674</v>
      </c>
      <c r="H19" s="146" t="s">
        <v>675</v>
      </c>
    </row>
    <row r="20" spans="1:8" ht="33.950000000000003" customHeight="1" x14ac:dyDescent="0.3">
      <c r="A20" s="128" t="s">
        <v>676</v>
      </c>
      <c r="B20" s="129" t="s">
        <v>677</v>
      </c>
      <c r="C20" s="128" t="s">
        <v>678</v>
      </c>
      <c r="D20" s="129" t="s">
        <v>679</v>
      </c>
      <c r="E20" s="129" t="s">
        <v>680</v>
      </c>
      <c r="F20" s="129" t="s">
        <v>681</v>
      </c>
      <c r="G20" s="129" t="s">
        <v>682</v>
      </c>
      <c r="H20" s="128" t="s">
        <v>683</v>
      </c>
    </row>
  </sheetData>
  <mergeCells count="3">
    <mergeCell ref="A2:H2"/>
    <mergeCell ref="A14:H17"/>
    <mergeCell ref="A1:H1"/>
  </mergeCells>
  <phoneticPr fontId="42" type="noConversion"/>
  <pageMargins left="0.2" right="0.2" top="0.3" bottom="0.3" header="0.5" footer="0.5"/>
  <pageSetup scale="61" orientation="landscape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V51"/>
  <sheetViews>
    <sheetView showGridLines="0" zoomScale="50" workbookViewId="0">
      <selection sqref="A1:V1"/>
    </sheetView>
  </sheetViews>
  <sheetFormatPr defaultRowHeight="16.5" x14ac:dyDescent="0.3"/>
  <cols>
    <col min="1" max="22" width="12" customWidth="1"/>
  </cols>
  <sheetData>
    <row r="1" spans="1:22" ht="38.1" customHeight="1" x14ac:dyDescent="0.3">
      <c r="A1" s="162" t="s">
        <v>684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</row>
    <row r="2" spans="1:22" ht="27.95" customHeight="1" x14ac:dyDescent="0.3">
      <c r="A2" s="310" t="s">
        <v>685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</row>
    <row r="4" spans="1:22" ht="18" customHeight="1" x14ac:dyDescent="0.3"/>
    <row r="5" spans="1:22" ht="18" customHeight="1" x14ac:dyDescent="0.3"/>
    <row r="6" spans="1:22" ht="18" customHeight="1" x14ac:dyDescent="0.3"/>
    <row r="7" spans="1:22" ht="18" customHeight="1" x14ac:dyDescent="0.3"/>
    <row r="8" spans="1:22" ht="18" customHeight="1" x14ac:dyDescent="0.3"/>
    <row r="9" spans="1:22" ht="18" customHeight="1" x14ac:dyDescent="0.3"/>
    <row r="10" spans="1:22" ht="18" customHeight="1" x14ac:dyDescent="0.3"/>
    <row r="11" spans="1:22" ht="18" customHeight="1" x14ac:dyDescent="0.3"/>
    <row r="12" spans="1:22" ht="18" customHeight="1" x14ac:dyDescent="0.3"/>
    <row r="13" spans="1:22" ht="18" customHeight="1" x14ac:dyDescent="0.3"/>
    <row r="14" spans="1:22" ht="18" customHeight="1" x14ac:dyDescent="0.3"/>
    <row r="15" spans="1:22" ht="18" customHeight="1" x14ac:dyDescent="0.3"/>
    <row r="16" spans="1:22" ht="18" customHeight="1" x14ac:dyDescent="0.3"/>
    <row r="17" ht="18" customHeight="1" x14ac:dyDescent="0.3"/>
    <row r="18" ht="18" customHeight="1" x14ac:dyDescent="0.3"/>
    <row r="19" ht="18" customHeight="1" x14ac:dyDescent="0.3"/>
    <row r="20" ht="18" customHeight="1" x14ac:dyDescent="0.3"/>
    <row r="21" ht="18" customHeight="1" x14ac:dyDescent="0.3"/>
    <row r="22" ht="18" customHeight="1" x14ac:dyDescent="0.3"/>
    <row r="23" ht="18" customHeight="1" x14ac:dyDescent="0.3"/>
    <row r="24" ht="18" customHeight="1" x14ac:dyDescent="0.3"/>
    <row r="25" ht="18" customHeight="1" x14ac:dyDescent="0.3"/>
    <row r="26" ht="18" customHeight="1" x14ac:dyDescent="0.3"/>
    <row r="27" ht="18" customHeight="1" x14ac:dyDescent="0.3"/>
    <row r="28" ht="18" customHeight="1" x14ac:dyDescent="0.3"/>
    <row r="29" ht="18" customHeight="1" x14ac:dyDescent="0.3"/>
    <row r="30" ht="18" customHeight="1" x14ac:dyDescent="0.3"/>
    <row r="31" ht="18" customHeight="1" x14ac:dyDescent="0.3"/>
    <row r="32" ht="18" customHeight="1" x14ac:dyDescent="0.3"/>
    <row r="33" ht="18" customHeight="1" x14ac:dyDescent="0.3"/>
    <row r="34" ht="18" customHeight="1" x14ac:dyDescent="0.3"/>
    <row r="35" ht="18" customHeight="1" x14ac:dyDescent="0.3"/>
    <row r="36" ht="18" customHeight="1" x14ac:dyDescent="0.3"/>
    <row r="37" ht="18" customHeight="1" x14ac:dyDescent="0.3"/>
    <row r="38" ht="18" customHeight="1" x14ac:dyDescent="0.3"/>
    <row r="39" ht="18" customHeight="1" x14ac:dyDescent="0.3"/>
    <row r="40" ht="18" customHeight="1" x14ac:dyDescent="0.3"/>
    <row r="41" ht="18" customHeight="1" x14ac:dyDescent="0.3"/>
    <row r="42" ht="18" customHeight="1" x14ac:dyDescent="0.3"/>
    <row r="43" ht="18" customHeight="1" x14ac:dyDescent="0.3"/>
    <row r="44" ht="18" customHeight="1" x14ac:dyDescent="0.3"/>
    <row r="45" ht="18" customHeight="1" x14ac:dyDescent="0.3"/>
    <row r="46" ht="18" customHeight="1" x14ac:dyDescent="0.3"/>
    <row r="47" ht="18" customHeight="1" x14ac:dyDescent="0.3"/>
    <row r="48" ht="18" customHeight="1" x14ac:dyDescent="0.3"/>
    <row r="49" ht="18" customHeight="1" x14ac:dyDescent="0.3"/>
    <row r="50" ht="18" customHeight="1" x14ac:dyDescent="0.3"/>
    <row r="51" ht="18" customHeight="1" x14ac:dyDescent="0.3"/>
  </sheetData>
  <mergeCells count="2">
    <mergeCell ref="A2:V2"/>
    <mergeCell ref="A1:V1"/>
  </mergeCells>
  <phoneticPr fontId="42" type="noConversion"/>
  <pageMargins left="0.2" right="0.2" top="0.3" bottom="0.3" header="0.5" footer="0.5"/>
  <pageSetup paperSize="8" scale="7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 지정된 범위</vt:lpstr>
      </vt:variant>
      <vt:variant>
        <vt:i4>14</vt:i4>
      </vt:variant>
    </vt:vector>
  </HeadingPairs>
  <TitlesOfParts>
    <vt:vector size="28" baseType="lpstr">
      <vt:lpstr>캠페인_요약</vt:lpstr>
      <vt:lpstr>사용자_스케치_해석</vt:lpstr>
      <vt:lpstr>챕터_연결도</vt:lpstr>
      <vt:lpstr>01_노량진_4분30초</vt:lpstr>
      <vt:lpstr>노량진_오브젝트매칭</vt:lpstr>
      <vt:lpstr>노량진_오브젝트배치</vt:lpstr>
      <vt:lpstr>02_고속도로_4분</vt:lpstr>
      <vt:lpstr>03_휴게소_2분</vt:lpstr>
      <vt:lpstr>04_도심_4분30초</vt:lpstr>
      <vt:lpstr>05_백화점_5분</vt:lpstr>
      <vt:lpstr>구간_오브젝트표</vt:lpstr>
      <vt:lpstr>설정_계산</vt:lpstr>
      <vt:lpstr>자료_근거</vt:lpstr>
      <vt:lpstr>고해상도_전체도</vt:lpstr>
      <vt:lpstr>'01_노량진_4분30초'!Print_Area</vt:lpstr>
      <vt:lpstr>'02_고속도로_4분'!Print_Area</vt:lpstr>
      <vt:lpstr>'03_휴게소_2분'!Print_Area</vt:lpstr>
      <vt:lpstr>'04_도심_4분30초'!Print_Area</vt:lpstr>
      <vt:lpstr>'05_백화점_5분'!Print_Area</vt:lpstr>
      <vt:lpstr>고해상도_전체도!Print_Area</vt:lpstr>
      <vt:lpstr>구간_오브젝트표!Print_Area</vt:lpstr>
      <vt:lpstr>노량진_오브젝트매칭!Print_Area</vt:lpstr>
      <vt:lpstr>노량진_오브젝트배치!Print_Area</vt:lpstr>
      <vt:lpstr>사용자_스케치_해석!Print_Area</vt:lpstr>
      <vt:lpstr>설정_계산!Print_Area</vt:lpstr>
      <vt:lpstr>자료_근거!Print_Area</vt:lpstr>
      <vt:lpstr>챕터_연결도!Print_Area</vt:lpstr>
      <vt:lpstr>캠페인_요약!Print_Area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dlwlgud2dlwlgud2@gmail.com</cp:lastModifiedBy>
  <cp:lastPrinted>2026-07-19T11:28:07Z</cp:lastPrinted>
  <dcterms:created xsi:type="dcterms:W3CDTF">2026-07-19T07:13:22Z</dcterms:created>
  <dcterms:modified xsi:type="dcterms:W3CDTF">2026-07-19T11:28:08Z</dcterms:modified>
</cp:coreProperties>
</file>