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<sst xmlns="http://schemas.openxmlformats.org/spreadsheetml/2006/main" count="5031" uniqueCount="786">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</sst>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520</v>
      </c>
    </row>
    <row r="32" spans="2:4">
      <c r="B32" t="s">
        <v>179</v>
      </c>
      <c r="C32" t="s">
        <v>150</v>
      </c>
      <c r="D32">
        <f>'밸런스 조정'!C116</f>
        <v>3.2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26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 t="n">
        <f>ROUND('밸런스 조정'!$C$31*(1+'밸런스 조정'!$C$33)^0*1,0)</f>
        <v>500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62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 t="n">
        <f>ROUND(O53*(1+P54),0)</f>
        <v>575</v>
      </c>
      <c r="P54">
        <v>0.15</v>
      </c>
      <c r="Q54" s="41">
        <f>'밸런스 조정'!$C$64</f>
        <v>0</v>
      </c>
      <c r="R54" s="41" t="n">
        <f>'밸런스 조정'!$C$91*IF(M54="Boss",5,IF(M54="Elite",2,1))</f>
        <v>62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 t="n">
        <f>ROUND('밸런스 조정'!$C$31*(1+'밸런스 조정'!$C$33)^1*1,0)</f>
        <v>538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62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 t="n">
        <f>ROUND(O55*(1+P56),0)</f>
        <v>619</v>
      </c>
      <c r="P56">
        <v>0.15</v>
      </c>
      <c r="Q56" s="41">
        <f>'밸런스 조정'!$C$64</f>
        <v>0</v>
      </c>
      <c r="R56" s="41" t="n">
        <f>'밸런스 조정'!$C$91*IF(M56="Boss",5,IF(M56="Elite",2,1))</f>
        <v>62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 t="n">
        <f>ROUND('밸런스 조정'!$C$31*(1+'밸런스 조정'!$C$33)^2*'밸런스 조정'!$C$35,0)</f>
        <v>867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124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 t="n">
        <f>ROUND(O57*(1+P58),0)</f>
        <v>997</v>
      </c>
      <c r="P58">
        <v>0.15</v>
      </c>
      <c r="Q58" s="41">
        <f>'밸런스 조정'!$C$64</f>
        <v>0</v>
      </c>
      <c r="R58" s="41" t="n">
        <f>'밸런스 조정'!$C$91*IF(M58="Boss",5,IF(M58="Elite",2,1))</f>
        <v>124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 t="n">
        <f>ROUND('밸런스 조정'!$C$31*(1+'밸런스 조정'!$C$33)^3*'밸런스 조정'!$C$35,0)</f>
        <v>932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124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 t="n">
        <f>ROUND(O59*(1+P60),0)</f>
        <v>1072</v>
      </c>
      <c r="P60">
        <v>0.15</v>
      </c>
      <c r="Q60" s="41">
        <f>'밸런스 조정'!$C$64</f>
        <v>0</v>
      </c>
      <c r="R60" s="41" t="n">
        <f>'밸런스 조정'!$C$91*IF(M60="Boss",5,IF(M60="Elite",2,1))</f>
        <v>124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 t="n">
        <f>ROUND('밸런스 조정'!$C$31*(1+'밸런스 조정'!$C$33)^4*1,0)</f>
        <v>668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62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 t="n">
        <f>ROUND(O61*(1+P62),0)</f>
        <v>768</v>
      </c>
      <c r="P62">
        <v>0.15</v>
      </c>
      <c r="Q62" s="41">
        <f>'밸런스 조정'!$C$64</f>
        <v>0</v>
      </c>
      <c r="R62" s="41" t="n">
        <f>'밸런스 조정'!$C$91*IF(M62="Boss",5,IF(M62="Elite",2,1))</f>
        <v>62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 t="n">
        <f>ROUND('밸런스 조정'!$C$31*(1+'밸런스 조정'!$C$33)^5*1,0)</f>
        <v>718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62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 t="n">
        <f>ROUND(O63*(1+P64),0)</f>
        <v>826</v>
      </c>
      <c r="P64">
        <v>0.15</v>
      </c>
      <c r="Q64" s="41">
        <f>'밸런스 조정'!$C$64</f>
        <v>0</v>
      </c>
      <c r="R64" s="41" t="n">
        <f>'밸런스 조정'!$C$91*IF(M64="Boss",5,IF(M64="Elite",2,1))</f>
        <v>62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 t="n">
        <f>ROUND('밸런스 조정'!$C$31*(1+'밸런스 조정'!$C$33)^6*1,0)</f>
        <v>772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62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 t="n">
        <f>ROUND(O65*(1+P66),0)</f>
        <v>888</v>
      </c>
      <c r="P66">
        <v>0.15</v>
      </c>
      <c r="Q66" s="41">
        <f>'밸런스 조정'!$C$64</f>
        <v>0</v>
      </c>
      <c r="R66" s="41" t="n">
        <f>'밸런스 조정'!$C$91*IF(M66="Boss",5,IF(M66="Elite",2,1))</f>
        <v>62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 t="n">
        <f>ROUND('밸런스 조정'!$C$31*(1+'밸런스 조정'!$C$33)^7*1,0)</f>
        <v>830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62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 t="n">
        <f>ROUND(O67*(1+P68),0)</f>
        <v>954</v>
      </c>
      <c r="P68">
        <v>0.15</v>
      </c>
      <c r="Q68" s="41">
        <f>'밸런스 조정'!$C$64</f>
        <v>0</v>
      </c>
      <c r="R68" s="41" t="n">
        <f>'밸런스 조정'!$C$91*IF(M68="Boss",5,IF(M68="Elite",2,1))</f>
        <v>62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 t="n">
        <f>ROUND('밸런스 조정'!$C$31*(1+'밸런스 조정'!$C$33)^8*'밸런스 조정'!$C$35,0)</f>
        <v>1338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124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 t="n">
        <f>ROUND(O69*(1+P70),0)</f>
        <v>1539</v>
      </c>
      <c r="P70">
        <v>0.15</v>
      </c>
      <c r="Q70" s="41">
        <f>'밸런스 조정'!$C$64</f>
        <v>0</v>
      </c>
      <c r="R70" s="41" t="n">
        <f>'밸런스 조정'!$C$91*IF(M70="Boss",5,IF(M70="Elite",2,1))</f>
        <v>124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 t="n">
        <f>ROUND('밸런스 조정'!$C$31*(1+'밸런스 조정'!$C$33)^9*'밸런스 조정'!$C$35,0)</f>
        <v>1438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124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 t="n">
        <f>ROUND(O71*(1+P72),0)</f>
        <v>1654</v>
      </c>
      <c r="P72">
        <v>0.15</v>
      </c>
      <c r="Q72" s="41">
        <f>'밸런스 조정'!$C$64</f>
        <v>0</v>
      </c>
      <c r="R72" s="41" t="n">
        <f>'밸런스 조정'!$C$91*IF(M72="Boss",5,IF(M72="Elite",2,1))</f>
        <v>124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 t="n">
        <f>ROUND('밸런스 조정'!$C$31*(1+'밸런스 조정'!$C$33)^10*1,0)</f>
        <v>1031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62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 t="n">
        <f>ROUND(O73*(1+P74),0)</f>
        <v>1186</v>
      </c>
      <c r="P74">
        <v>0.15</v>
      </c>
      <c r="Q74" s="41">
        <f>'밸런스 조정'!$C$64</f>
        <v>0</v>
      </c>
      <c r="R74" s="41" t="n">
        <f>'밸런스 조정'!$C$91*IF(M74="Boss",5,IF(M74="Elite",2,1))</f>
        <v>62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 t="n">
        <f>ROUND('밸런스 조정'!$C$31*(1+'밸런스 조정'!$C$33)^11*1,0)</f>
        <v>1108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62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 t="n">
        <f>ROUND(O75*(1+P76),0)</f>
        <v>1274</v>
      </c>
      <c r="P76">
        <v>0.15</v>
      </c>
      <c r="Q76" s="41">
        <f>'밸런스 조정'!$C$64</f>
        <v>0</v>
      </c>
      <c r="R76" s="41" t="n">
        <f>'밸런스 조정'!$C$91*IF(M76="Boss",5,IF(M76="Elite",2,1))</f>
        <v>62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 t="n">
        <f>ROUND('밸런스 조정'!$C$31*(1+'밸런스 조정'!$C$33)^12*1,0)</f>
        <v>1191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62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 t="n">
        <f>ROUND(O77*(1+P78),0)</f>
        <v>1370</v>
      </c>
      <c r="P78">
        <v>0.15</v>
      </c>
      <c r="Q78" s="41">
        <f>'밸런스 조정'!$C$64</f>
        <v>0</v>
      </c>
      <c r="R78" s="41" t="n">
        <f>'밸런스 조정'!$C$91*IF(M78="Boss",5,IF(M78="Elite",2,1))</f>
        <v>62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 t="n">
        <f>ROUND('밸런스 조정'!$C$31*(1+'밸런스 조정'!$C$33)^13*1,0)</f>
        <v>1280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62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 t="n">
        <f>ROUND(O79*(1+P80),0)</f>
        <v>1472</v>
      </c>
      <c r="P80">
        <v>0.15</v>
      </c>
      <c r="Q80" s="41">
        <f>'밸런스 조정'!$C$64</f>
        <v>0</v>
      </c>
      <c r="R80" s="41" t="n">
        <f>'밸런스 조정'!$C$91*IF(M80="Boss",5,IF(M80="Elite",2,1))</f>
        <v>62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 t="n">
        <f>ROUND('밸런스 조정'!$C$31*(1+'밸런스 조정'!$C$33)^14*'밸런스 조정'!$C$35,0)</f>
        <v>2064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124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 t="n">
        <f>ROUND(O81*(1+P82),0)</f>
        <v>2374</v>
      </c>
      <c r="P82">
        <v>0.15</v>
      </c>
      <c r="Q82" s="41">
        <f>'밸런스 조정'!$C$64</f>
        <v>0</v>
      </c>
      <c r="R82" s="41" t="n">
        <f>'밸런스 조정'!$C$91*IF(M82="Boss",5,IF(M82="Elite",2,1))</f>
        <v>124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 t="n">
        <f>ROUND('밸런스 조정'!$C$31*(1+'밸런스 조정'!$C$33)^15*'밸런스 조정'!$C$35,0)</f>
        <v>2219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124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 t="n">
        <f>ROUND(O83*(1+P84),0)</f>
        <v>2552</v>
      </c>
      <c r="P84">
        <v>0.15</v>
      </c>
      <c r="Q84" s="41">
        <f>'밸런스 조정'!$C$64</f>
        <v>0</v>
      </c>
      <c r="R84" s="41" t="n">
        <f>'밸런스 조정'!$C$91*IF(M84="Boss",5,IF(M84="Elite",2,1))</f>
        <v>124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 t="n">
        <f>ROUND('밸런스 조정'!$C$31*(1+'밸런스 조정'!$C$33)^16*1,0)</f>
        <v>1590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62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 t="n">
        <f>ROUND(O85*(1+P86),0)</f>
        <v>1828</v>
      </c>
      <c r="P86">
        <v>0.15</v>
      </c>
      <c r="Q86" s="41">
        <f>'밸런스 조정'!$C$64</f>
        <v>0</v>
      </c>
      <c r="R86" s="41" t="n">
        <f>'밸런스 조정'!$C$91*IF(M86="Boss",5,IF(M86="Elite",2,1))</f>
        <v>62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 t="n">
        <f>ROUND('밸런스 조정'!$C$31*(1+'밸런스 조정'!$C$33)^17*1,0)</f>
        <v>1710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62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 t="n">
        <f>ROUND(O87*(1+P88),0)</f>
        <v>1966</v>
      </c>
      <c r="P88">
        <v>0.15</v>
      </c>
      <c r="Q88" s="41">
        <f>'밸런스 조정'!$C$64</f>
        <v>0</v>
      </c>
      <c r="R88" s="41" t="n">
        <f>'밸런스 조정'!$C$91*IF(M88="Boss",5,IF(M88="Elite",2,1))</f>
        <v>62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 t="n">
        <f>ROUND('밸런스 조정'!$C$31*(1+'밸런스 조정'!$C$33)^18*1,0)</f>
        <v>1838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62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 t="n">
        <f>ROUND(O89*(1+P90),0)</f>
        <v>2114</v>
      </c>
      <c r="P90">
        <v>0.15</v>
      </c>
      <c r="Q90" s="41">
        <f>'밸런스 조정'!$C$64</f>
        <v>0</v>
      </c>
      <c r="R90" s="41" t="n">
        <f>'밸런스 조정'!$C$91*IF(M90="Boss",5,IF(M90="Elite",2,1))</f>
        <v>62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 t="n">
        <f>ROUND('밸런스 조정'!$C$31*(1+'밸런스 조정'!$C$33)^19*1,0)</f>
        <v>1976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62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 t="n">
        <f>ROUND(O91*(1+P92),0)</f>
        <v>2272</v>
      </c>
      <c r="P92">
        <v>0.15</v>
      </c>
      <c r="Q92" s="41">
        <f>'밸런스 조정'!$C$64</f>
        <v>0</v>
      </c>
      <c r="R92" s="41" t="n">
        <f>'밸런스 조정'!$C$91*IF(M92="Boss",5,IF(M92="Elite",2,1))</f>
        <v>62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 t="n">
        <f>ROUND('밸런스 조정'!$C$31*(1+'밸런스 조정'!$C$33)^20*'밸런스 조정'!$C$35,0)</f>
        <v>3186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124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 t="n">
        <f>ROUND(O93*(1+P94),0)</f>
        <v>3664</v>
      </c>
      <c r="P94">
        <v>0.15</v>
      </c>
      <c r="Q94" s="41">
        <f>'밸런스 조정'!$C$64</f>
        <v>0</v>
      </c>
      <c r="R94" s="41" t="n">
        <f>'밸런스 조정'!$C$91*IF(M94="Boss",5,IF(M94="Elite",2,1))</f>
        <v>124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 t="n">
        <f>ROUND('밸런스 조정'!$C$31*(1+'밸런스 조정'!$C$33)^21*'밸런스 조정'!$C$35,0)</f>
        <v>3425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124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 t="n">
        <f>ROUND(O95*(1+P96),0)</f>
        <v>3939</v>
      </c>
      <c r="P96">
        <v>0.15</v>
      </c>
      <c r="Q96" s="41">
        <f>'밸런스 조정'!$C$64</f>
        <v>0</v>
      </c>
      <c r="R96" s="41" t="n">
        <f>'밸런스 조정'!$C$91*IF(M96="Boss",5,IF(M96="Elite",2,1))</f>
        <v>124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 t="n">
        <f>ROUND('밸런스 조정'!$C$31*(1+'밸런스 조정'!$C$33)^22*1,0)</f>
        <v>2454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62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 t="n">
        <f>ROUND(O97*(1+P98),0)</f>
        <v>2822</v>
      </c>
      <c r="P98">
        <v>0.15</v>
      </c>
      <c r="Q98" s="41">
        <f>'밸런스 조정'!$C$64</f>
        <v>0</v>
      </c>
      <c r="R98" s="41" t="n">
        <f>'밸런스 조정'!$C$91*IF(M98="Boss",5,IF(M98="Elite",2,1))</f>
        <v>62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 t="n">
        <f>ROUND('밸런스 조정'!$C$31*(1+'밸런스 조정'!$C$33)^23*1,0)</f>
        <v>2639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62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 t="n">
        <f>ROUND(O99*(1+P100),0)</f>
        <v>3035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62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 t="n">
        <f>ROUND('밸런스 조정'!$C$31*(1+'밸런스 조정'!$C$33)^24*'밸런스 조정'!$C$37,0)</f>
        <v>5247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310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 t="n">
        <f>ROUND(O101*(1+P102),0)</f>
        <v>6034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310</v>
      </c>
    </row>
    <row r="103" spans="2:18">
      <c r="B103">
        <v>111</v>
      </c>
      <c r="C103" t="s">
        <v>307</v>
      </c>
      <c r="D103" t="s">
        <v>319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조정'!$C$74)^5*IF(M113="Boss",'밸런스 조정'!$C$78,IF(M113="Elite",'밸런스 조정'!$C$76,1)),0)</f>
        <v>772</v>
      </c>
      <c r="O103" t="n">
        <f>ROUND('밸런스 조정'!$C$73*(1+'밸런스 조정'!$C$75)^5*IF(M113="Boss",'밸런스 조정'!$C$79,IF(M113="Elite",'밸런스 조정'!$C$77,1)),0)</f>
        <v>2553</v>
      </c>
      <c r="P103" t="n">
        <f>'밸런스 조정'!$C$75</f>
        <v>0.05</v>
      </c>
      <c r="Q103">
        <f>'밸런스 조정'!$C$64</f>
        <v>0</v>
      </c>
      <c r="R103" t="n">
        <f>'밸런스 조정'!$C$90*IF(M113="Boss",5,IF(M113="Elite",2,1))</f>
        <v>350</v>
      </c>
    </row>
    <row r="104" spans="2:18">
      <c r="B104">
        <v>112</v>
      </c>
      <c r="C104" t="s">
        <v>307</v>
      </c>
      <c r="D104" t="s">
        <v>320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조정'!$C$74)^5*IF(M114="Boss",'밸런스 조정'!$C$78,IF(M114="Elite",'밸런스 조정'!$C$76,1)),0)</f>
        <v>772</v>
      </c>
      <c r="O104" t="n">
        <f>ROUND(O113*(1+P114),0)</f>
        <v>2936</v>
      </c>
      <c r="P104">
        <v>0.15</v>
      </c>
      <c r="Q104">
        <f>'밸런스 조정'!$C$64</f>
        <v>0</v>
      </c>
      <c r="R104" t="n">
        <f>'밸런스 조정'!$C$90*IF(M114="Boss",5,IF(M114="Elite",2,1))</f>
        <v>350</v>
      </c>
    </row>
    <row r="105" spans="2:18">
      <c r="B105">
        <v>113</v>
      </c>
      <c r="C105" t="s">
        <v>307</v>
      </c>
      <c r="D105" t="s">
        <v>321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조정'!$C$74)^6*IF(M115="Boss",'밸런스 조정'!$C$78,IF(M115="Elite",'밸런스 조정'!$C$76,1)),0)</f>
        <v>799</v>
      </c>
      <c r="O105" t="n">
        <f>ROUND('밸런스 조정'!$C$73*(1+'밸런스 조정'!$C$75)^6*IF(M115="Boss",'밸런스 조정'!$C$79,IF(M115="Elite",'밸런스 조정'!$C$77,1)),0)</f>
        <v>2680</v>
      </c>
      <c r="P105" t="n">
        <f>'밸런스 조정'!$C$75</f>
        <v>0.05</v>
      </c>
      <c r="Q105">
        <f>'밸런스 조정'!$C$64</f>
        <v>0</v>
      </c>
      <c r="R105" t="n">
        <f>'밸런스 조정'!$C$90*IF(M115="Boss",5,IF(M115="Elite",2,1))</f>
        <v>350</v>
      </c>
    </row>
    <row r="106" spans="2:18">
      <c r="B106">
        <v>114</v>
      </c>
      <c r="C106" t="s">
        <v>307</v>
      </c>
      <c r="D106" t="s">
        <v>322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조정'!$C$74)^6*IF(M116="Boss",'밸런스 조정'!$C$78,IF(M116="Elite",'밸런스 조정'!$C$76,1)),0)</f>
        <v>799</v>
      </c>
      <c r="O106" t="n">
        <f>ROUND(O115*(1+P116),0)</f>
        <v>3082</v>
      </c>
      <c r="P106">
        <v>0.15</v>
      </c>
      <c r="Q106">
        <f>'밸런스 조정'!$C$64</f>
        <v>0</v>
      </c>
      <c r="R106" t="n">
        <f>'밸런스 조정'!$C$90*IF(M116="Boss",5,IF(M116="Elite",2,1))</f>
        <v>350</v>
      </c>
    </row>
    <row r="107" spans="2:18">
      <c r="B107">
        <v>115</v>
      </c>
      <c r="C107" t="s">
        <v>307</v>
      </c>
      <c r="D107" t="s">
        <v>323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조정'!$C$74)^7*IF(M117="Boss",'밸런스 조정'!$C$78,IF(M117="Elite",'밸런스 조정'!$C$76,1)),0))*0.45</f>
        <v>372.15000000000003</v>
      </c>
      <c r="O107" t="n">
        <f>ROUND('밸런스 조정'!$C$73*(1+'밸런스 조정'!$C$75)^7*IF(M117="Boss",'밸런스 조정'!$C$79,IF(M117="Elite",'밸런스 조정'!$C$77,1)),0)</f>
        <v>2814</v>
      </c>
      <c r="P107" t="n">
        <f>'밸런스 조정'!$C$75</f>
        <v>0.05</v>
      </c>
      <c r="Q107">
        <f>'밸런스 조정'!$C$64</f>
        <v>0</v>
      </c>
      <c r="R107" t="n">
        <f>'밸런스 조정'!$C$90*IF(M117="Boss",5,IF(M117="Elite",2,1))</f>
        <v>350</v>
      </c>
    </row>
    <row r="108" spans="2:18">
      <c r="B108">
        <v>116</v>
      </c>
      <c r="C108" t="s">
        <v>307</v>
      </c>
      <c r="D108" t="s">
        <v>324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조정'!$C$74)^7*IF(M118="Boss",'밸런스 조정'!$C$78,IF(M118="Elite",'밸런스 조정'!$C$76,1)),0))*0.45</f>
        <v>372.15000000000003</v>
      </c>
      <c r="O108" t="n">
        <f>ROUND(O117*(1+P118),0)</f>
        <v>3236</v>
      </c>
      <c r="P108">
        <v>0.15</v>
      </c>
      <c r="Q108">
        <f>'밸런스 조정'!$C$64</f>
        <v>0</v>
      </c>
      <c r="R108" t="n">
        <f>'밸런스 조정'!$C$90*IF(M118="Boss",5,IF(M118="Elite",2,1))</f>
        <v>350</v>
      </c>
    </row>
    <row r="109" spans="2:18">
      <c r="B109">
        <v>117</v>
      </c>
      <c r="C109" t="s">
        <v>307</v>
      </c>
      <c r="D109" t="s">
        <v>325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조정'!$C$74)^8*IF(M119="Boss",'밸런스 조정'!$C$78,IF(M119="Elite",'밸런스 조정'!$C$76,1)),0))*0.45</f>
        <v>385.2</v>
      </c>
      <c r="O109" t="n">
        <f>ROUND('밸런스 조정'!$C$73*(1+'밸런스 조정'!$C$75)^8*IF(M119="Boss",'밸런스 조정'!$C$79,IF(M119="Elite",'밸런스 조정'!$C$77,1)),0)</f>
        <v>2955</v>
      </c>
      <c r="P109" t="n">
        <f>'밸런스 조정'!$C$75</f>
        <v>0.05</v>
      </c>
      <c r="Q109">
        <f>'밸런스 조정'!$C$64</f>
        <v>0</v>
      </c>
      <c r="R109" t="n">
        <f>'밸런스 조정'!$C$90*IF(M119="Boss",5,IF(M119="Elite",2,1))</f>
        <v>350</v>
      </c>
    </row>
    <row r="110" spans="2:18">
      <c r="B110">
        <v>118</v>
      </c>
      <c r="C110" t="s">
        <v>307</v>
      </c>
      <c r="D110" t="s">
        <v>326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조정'!$C$74)^8*IF(M120="Boss",'밸런스 조정'!$C$78,IF(M120="Elite",'밸런스 조정'!$C$76,1)),0))*0.45</f>
        <v>385.2</v>
      </c>
      <c r="O110" t="n">
        <f>ROUND(O119*(1+P120),0)</f>
        <v>3398</v>
      </c>
      <c r="P110">
        <v>0.15</v>
      </c>
      <c r="Q110">
        <f>'밸런스 조정'!$C$64</f>
        <v>0</v>
      </c>
      <c r="R110" t="n">
        <f>'밸런스 조정'!$C$90*IF(M120="Boss",5,IF(M120="Elite",2,1))</f>
        <v>350</v>
      </c>
    </row>
    <row r="111" spans="2:18">
      <c r="B111">
        <v>119</v>
      </c>
      <c r="C111" t="s">
        <v>307</v>
      </c>
      <c r="D111" t="s">
        <v>327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조정'!$C$74)^9*IF(M121="Boss",'밸런스 조정'!$C$78,IF(M121="Elite",'밸런스 조정'!$C$76,1)),0))*0.45</f>
        <v>498.15000000000003</v>
      </c>
      <c r="O111" t="n">
        <f>ROUND('밸런스 조정'!$C$73*(1+'밸런스 조정'!$C$75)^9*IF(M121="Boss",'밸런스 조정'!$C$79,IF(M121="Elite",'밸런스 조정'!$C$77,1)),0)</f>
        <v>4654</v>
      </c>
      <c r="P111" t="n">
        <f>'밸런스 조정'!$C$75</f>
        <v>0.05</v>
      </c>
      <c r="Q111">
        <f>'밸런스 조정'!$C$64</f>
        <v>0</v>
      </c>
      <c r="R111" t="n">
        <f>'밸런스 조정'!$C$90*IF(M121="Boss",5,IF(M121="Elite",2,1))</f>
        <v>700</v>
      </c>
    </row>
    <row r="112" spans="2:18">
      <c r="B112">
        <v>120</v>
      </c>
      <c r="C112" t="s">
        <v>307</v>
      </c>
      <c r="D112" t="s">
        <v>328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조정'!$C$74)^9*IF(M122="Boss",'밸런스 조정'!$C$78,IF(M122="Elite",'밸런스 조정'!$C$76,1)),0))*0.45</f>
        <v>498.15000000000003</v>
      </c>
      <c r="O112" t="n">
        <f>ROUND(O121*(1+P122),0)</f>
        <v>5352</v>
      </c>
      <c r="P112">
        <v>0.15</v>
      </c>
      <c r="Q112">
        <f>'밸런스 조정'!$C$64</f>
        <v>0</v>
      </c>
      <c r="R112" t="n">
        <f>'밸런스 조정'!$C$90*IF(M122="Boss",5,IF(M122="Elite",2,1))</f>
        <v>700</v>
      </c>
    </row>
    <row r="113" spans="2:18">
      <c r="B113">
        <v>121</v>
      </c>
      <c r="C113" t="s">
        <v>307</v>
      </c>
      <c r="D113" t="s">
        <v>329</v>
      </c>
      <c r="E113">
        <v>0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조정'!$C$74)^10*IF(M123="Boss",'밸런스 조정'!$C$78,IF(M123="Elite",'밸런스 조정'!$C$76,1)),0)</f>
        <v>917</v>
      </c>
      <c r="O113" t="n">
        <f>ROUND('밸런스 조정'!$C$73*(1+'밸런스 조정'!$C$75)^10*IF(M123="Boss",'밸런스 조정'!$C$79,IF(M123="Elite",'밸런스 조정'!$C$77,1)),0)</f>
        <v>3258</v>
      </c>
      <c r="P113" t="n">
        <f>'밸런스 조정'!$C$75</f>
        <v>0.05</v>
      </c>
      <c r="Q113">
        <f>'밸런스 조정'!$C$64</f>
        <v>0</v>
      </c>
      <c r="R113" t="n">
        <f>'밸런스 조정'!$C$90*IF(M123="Boss",5,IF(M123="Elite",2,1))</f>
        <v>350</v>
      </c>
    </row>
    <row r="114" spans="2:18">
      <c r="B114">
        <v>122</v>
      </c>
      <c r="C114" t="s">
        <v>307</v>
      </c>
      <c r="D114" t="s">
        <v>330</v>
      </c>
      <c r="E114">
        <v>0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조정'!$C$74)^10*IF(M124="Boss",'밸런스 조정'!$C$78,IF(M124="Elite",'밸런스 조정'!$C$76,1)),0)</f>
        <v>917</v>
      </c>
      <c r="O114" t="n">
        <f>ROUND(O123*(1+P124),0)</f>
        <v>3747</v>
      </c>
      <c r="P114">
        <v>0.15</v>
      </c>
      <c r="Q114">
        <f>'밸런스 조정'!$C$64</f>
        <v>0</v>
      </c>
      <c r="R114" t="n">
        <f>'밸런스 조정'!$C$90*IF(M124="Boss",5,IF(M124="Elite",2,1))</f>
        <v>350</v>
      </c>
    </row>
    <row r="115" spans="2:18">
      <c r="B115">
        <v>123</v>
      </c>
      <c r="C115" t="s">
        <v>307</v>
      </c>
      <c r="D115" t="s">
        <v>331</v>
      </c>
      <c r="E115">
        <v>0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조정'!$C$74)^11*IF(M125="Boss",'밸런스 조정'!$C$78,IF(M125="Elite",'밸런스 조정'!$C$76,1)),0)</f>
        <v>949</v>
      </c>
      <c r="O115" t="n">
        <f>ROUND('밸런스 조정'!$C$73*(1+'밸런스 조정'!$C$75)^11*IF(M125="Boss",'밸런스 조정'!$C$79,IF(M125="Elite",'밸런스 조정'!$C$77,1)),0)</f>
        <v>3421</v>
      </c>
      <c r="P115" t="n">
        <f>'밸런스 조정'!$C$75</f>
        <v>0.05</v>
      </c>
      <c r="Q115">
        <f>'밸런스 조정'!$C$64</f>
        <v>0</v>
      </c>
      <c r="R115" t="n">
        <f>'밸런스 조정'!$C$90*IF(M125="Boss",5,IF(M125="Elite",2,1))</f>
        <v>350</v>
      </c>
    </row>
    <row r="116" spans="2:18">
      <c r="B116">
        <v>124</v>
      </c>
      <c r="C116" t="s">
        <v>307</v>
      </c>
      <c r="D116" t="s">
        <v>332</v>
      </c>
      <c r="E116">
        <v>0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조정'!$C$74)^11*IF(M126="Boss",'밸런스 조정'!$C$78,IF(M126="Elite",'밸런스 조정'!$C$76,1)),0)</f>
        <v>949</v>
      </c>
      <c r="O116" t="n">
        <f>ROUND(O125*(1+P126),0)</f>
        <v>3934</v>
      </c>
      <c r="P116">
        <v>0.15</v>
      </c>
      <c r="Q116">
        <f>'밸런스 조정'!$C$64</f>
        <v>0</v>
      </c>
      <c r="R116" t="n">
        <f>'밸런스 조정'!$C$90*IF(M126="Boss",5,IF(M126="Elite",2,1))</f>
        <v>350</v>
      </c>
    </row>
    <row r="117" spans="2:18">
      <c r="B117">
        <v>125</v>
      </c>
      <c r="C117" t="s">
        <v>307</v>
      </c>
      <c r="D117" t="s">
        <v>333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조정'!$C$74)^12*IF(M127="Boss",'밸런스 조정'!$C$78,IF(M127="Elite",'밸런스 조정'!$C$76,1)),0))*0.45</f>
        <v>441.90000000000003</v>
      </c>
      <c r="O117" t="n">
        <f>ROUND('밸런스 조정'!$C$73*(1+'밸런스 조정'!$C$75)^12*IF(M127="Boss",'밸런스 조정'!$C$79,IF(M127="Elite",'밸런스 조정'!$C$77,1)),0)</f>
        <v>3592</v>
      </c>
      <c r="P117" t="n">
        <f>'밸런스 조정'!$C$75</f>
        <v>0.05</v>
      </c>
      <c r="Q117">
        <f>'밸런스 조정'!$C$64</f>
        <v>0</v>
      </c>
      <c r="R117" t="n">
        <f>'밸런스 조정'!$C$90*IF(M127="Boss",5,IF(M127="Elite",2,1))</f>
        <v>350</v>
      </c>
    </row>
    <row r="118" spans="2:18">
      <c r="B118">
        <v>126</v>
      </c>
      <c r="C118" t="s">
        <v>307</v>
      </c>
      <c r="D118" t="s">
        <v>334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조정'!$C$74)^12*IF(M128="Boss",'밸런스 조정'!$C$78,IF(M128="Elite",'밸런스 조정'!$C$76,1)),0))*0.45</f>
        <v>441.90000000000003</v>
      </c>
      <c r="O118" t="n">
        <f>ROUND(O127*(1+P128),0)</f>
        <v>4131</v>
      </c>
      <c r="P118">
        <v>0.15</v>
      </c>
      <c r="Q118">
        <f>'밸런스 조정'!$C$64</f>
        <v>0</v>
      </c>
      <c r="R118" t="n">
        <f>'밸런스 조정'!$C$90*IF(M128="Boss",5,IF(M128="Elite",2,1))</f>
        <v>350</v>
      </c>
    </row>
    <row r="119" spans="2:18">
      <c r="B119">
        <v>127</v>
      </c>
      <c r="C119" t="s">
        <v>307</v>
      </c>
      <c r="D119" t="s">
        <v>335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조정'!$C$74)^13*IF(M129="Boss",'밸런스 조정'!$C$78,IF(M129="Elite",'밸런스 조정'!$C$76,1)),0))*0.45</f>
        <v>457.65000000000003</v>
      </c>
      <c r="O119" t="n">
        <f>ROUND('밸런스 조정'!$C$73*(1+'밸런스 조정'!$C$75)^13*IF(M129="Boss",'밸런스 조정'!$C$79,IF(M129="Elite",'밸런스 조정'!$C$77,1)),0)</f>
        <v>3771</v>
      </c>
      <c r="P119" t="n">
        <f>'밸런스 조정'!$C$75</f>
        <v>0.05</v>
      </c>
      <c r="Q119">
        <f>'밸런스 조정'!$C$64</f>
        <v>0</v>
      </c>
      <c r="R119" t="n">
        <f>'밸런스 조정'!$C$90*IF(M129="Boss",5,IF(M129="Elite",2,1))</f>
        <v>350</v>
      </c>
    </row>
    <row r="120" spans="2:18">
      <c r="B120">
        <v>128</v>
      </c>
      <c r="C120" t="s">
        <v>307</v>
      </c>
      <c r="D120" t="s">
        <v>336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조정'!$C$74)^13*IF(M130="Boss",'밸런스 조정'!$C$78,IF(M130="Elite",'밸런스 조정'!$C$76,1)),0))*0.45</f>
        <v>457.65000000000003</v>
      </c>
      <c r="O120" t="n">
        <f>ROUND(O129*(1+P130),0)</f>
        <v>4337</v>
      </c>
      <c r="P120">
        <v>0.15</v>
      </c>
      <c r="Q120">
        <f>'밸런스 조정'!$C$64</f>
        <v>0</v>
      </c>
      <c r="R120" t="n">
        <f>'밸런스 조정'!$C$90*IF(M130="Boss",5,IF(M130="Elite",2,1))</f>
        <v>350</v>
      </c>
    </row>
    <row r="121" spans="2:18">
      <c r="B121">
        <v>129</v>
      </c>
      <c r="C121" t="s">
        <v>307</v>
      </c>
      <c r="D121" t="s">
        <v>337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조정'!$C$74)^14*IF(M131="Boss",'밸런스 조정'!$C$78,IF(M131="Elite",'밸런스 조정'!$C$76,1)),0))*0.45</f>
        <v>591.75</v>
      </c>
      <c r="O121" t="n">
        <f>ROUND('밸런스 조정'!$C$73*(1+'밸런스 조정'!$C$75)^14*IF(M131="Boss",'밸런스 조정'!$C$79,IF(M131="Elite",'밸런스 조정'!$C$77,1)),0)</f>
        <v>5940</v>
      </c>
      <c r="P121" t="n">
        <f>'밸런스 조정'!$C$75</f>
        <v>0.05</v>
      </c>
      <c r="Q121">
        <f>'밸런스 조정'!$C$64</f>
        <v>0</v>
      </c>
      <c r="R121" t="n">
        <f>'밸런스 조정'!$C$90*IF(M131="Boss",5,IF(M131="Elite",2,1))</f>
        <v>700</v>
      </c>
    </row>
    <row r="122" spans="2:18">
      <c r="B122">
        <v>130</v>
      </c>
      <c r="C122" t="s">
        <v>307</v>
      </c>
      <c r="D122" t="s">
        <v>338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조정'!$C$74)^14*IF(M132="Boss",'밸런스 조정'!$C$78,IF(M132="Elite",'밸런스 조정'!$C$76,1)),0))*0.45</f>
        <v>591.75</v>
      </c>
      <c r="O122" t="n">
        <f>ROUND(O131*(1+P132),0)</f>
        <v>6831</v>
      </c>
      <c r="P122">
        <v>0.15</v>
      </c>
      <c r="Q122">
        <f>'밸런스 조정'!$C$64</f>
        <v>0</v>
      </c>
      <c r="R122" t="n">
        <f>'밸런스 조정'!$C$90*IF(M132="Boss",5,IF(M132="Elite",2,1))</f>
        <v>700</v>
      </c>
    </row>
    <row r="123" spans="2:18">
      <c r="B123">
        <v>131</v>
      </c>
      <c r="C123" t="s">
        <v>307</v>
      </c>
      <c r="D123" t="s">
        <v>339</v>
      </c>
      <c r="E123">
        <v>1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조정'!$C$74)^15*IF(M133="Boss",'밸런스 조정'!$C$78,IF(M133="Elite",'밸런스 조정'!$C$76,1)),0)</f>
        <v>1089</v>
      </c>
      <c r="O123" t="n">
        <f>ROUND('밸런스 조정'!$C$73*(1+'밸런스 조정'!$C$75)^15*IF(M133="Boss",'밸런스 조정'!$C$79,IF(M133="Elite",'밸런스 조정'!$C$77,1)),0)</f>
        <v>4158</v>
      </c>
      <c r="P123" t="n">
        <f>'밸런스 조정'!$C$75</f>
        <v>0.05</v>
      </c>
      <c r="Q123">
        <f>'밸런스 조정'!$C$64</f>
        <v>0</v>
      </c>
      <c r="R123" t="n">
        <f>'밸런스 조정'!$C$90*IF(M133="Boss",5,IF(M133="Elite",2,1))</f>
        <v>350</v>
      </c>
    </row>
    <row r="124" spans="2:18">
      <c r="B124">
        <v>132</v>
      </c>
      <c r="C124" t="s">
        <v>307</v>
      </c>
      <c r="D124" t="s">
        <v>340</v>
      </c>
      <c r="E124">
        <v>1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조정'!$C$74)^15*IF(M134="Boss",'밸런스 조정'!$C$78,IF(M134="Elite",'밸런스 조정'!$C$76,1)),0)</f>
        <v>1089</v>
      </c>
      <c r="O124" t="n">
        <f>ROUND(O133*(1+P134),0)</f>
        <v>4782</v>
      </c>
      <c r="P124">
        <v>0.15</v>
      </c>
      <c r="Q124">
        <f>'밸런스 조정'!$C$64</f>
        <v>0</v>
      </c>
      <c r="R124" t="n">
        <f>'밸런스 조정'!$C$90*IF(M134="Boss",5,IF(M134="Elite",2,1))</f>
        <v>350</v>
      </c>
    </row>
    <row r="125" spans="2:18">
      <c r="B125">
        <v>133</v>
      </c>
      <c r="C125" t="s">
        <v>307</v>
      </c>
      <c r="D125" t="s">
        <v>341</v>
      </c>
      <c r="E125">
        <v>1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조정'!$C$74)^16*IF(M135="Boss",'밸런스 조정'!$C$78,IF(M135="Elite",'밸런스 조정'!$C$76,1)),0)</f>
        <v>1127</v>
      </c>
      <c r="O125" t="n">
        <f>ROUND('밸런스 조정'!$C$73*(1+'밸런스 조정'!$C$75)^16*IF(M135="Boss",'밸런스 조정'!$C$79,IF(M135="Elite",'밸런스 조정'!$C$77,1)),0)</f>
        <v>4366</v>
      </c>
      <c r="P125" t="n">
        <f>'밸런스 조정'!$C$75</f>
        <v>0.05</v>
      </c>
      <c r="Q125">
        <f>'밸런스 조정'!$C$64</f>
        <v>0</v>
      </c>
      <c r="R125" t="n">
        <f>'밸런스 조정'!$C$90*IF(M135="Boss",5,IF(M135="Elite",2,1))</f>
        <v>350</v>
      </c>
    </row>
    <row r="126" spans="2:18">
      <c r="B126">
        <v>134</v>
      </c>
      <c r="C126" t="s">
        <v>307</v>
      </c>
      <c r="D126" t="s">
        <v>342</v>
      </c>
      <c r="E126">
        <v>1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조정'!$C$74)^16*IF(M136="Boss",'밸런스 조정'!$C$78,IF(M136="Elite",'밸런스 조정'!$C$76,1)),0)</f>
        <v>1127</v>
      </c>
      <c r="O126" t="n">
        <f>ROUND(O135*(1+P136),0)</f>
        <v>5021</v>
      </c>
      <c r="P126">
        <v>0.15</v>
      </c>
      <c r="Q126">
        <f>'밸런스 조정'!$C$64</f>
        <v>0</v>
      </c>
      <c r="R126" t="n">
        <f>'밸런스 조정'!$C$90*IF(M136="Boss",5,IF(M136="Elite",2,1))</f>
        <v>350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900-000000000000}">
  <dimension ref="B1:G65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56</v>
      </c>
      <c r="C53" t="s">
        <v>307</v>
      </c>
      <c r="D53" t="s">
        <v>419</v>
      </c>
      <c r="E53">
        <v>1</v>
      </c>
      <c r="F53" t="s">
        <v>43</v>
      </c>
      <c r="G53" t="s">
        <v>414</v>
      </c>
    </row>
    <row r="54" spans="2:7">
      <c r="B54">
        <v>57</v>
      </c>
      <c r="C54" t="s">
        <v>307</v>
      </c>
      <c r="D54" t="s">
        <v>420</v>
      </c>
      <c r="E54">
        <v>1</v>
      </c>
      <c r="F54" t="s">
        <v>43</v>
      </c>
      <c r="G54" t="s">
        <v>414</v>
      </c>
    </row>
    <row r="55" spans="2:7">
      <c r="B55">
        <v>58</v>
      </c>
      <c r="C55" t="s">
        <v>307</v>
      </c>
      <c r="D55" t="s">
        <v>421</v>
      </c>
      <c r="E55">
        <v>1</v>
      </c>
      <c r="F55" t="s">
        <v>43</v>
      </c>
      <c r="G55" t="s">
        <v>414</v>
      </c>
    </row>
    <row r="56" spans="2:7">
      <c r="B56">
        <v>59</v>
      </c>
      <c r="C56" t="s">
        <v>307</v>
      </c>
      <c r="D56" t="s">
        <v>422</v>
      </c>
      <c r="E56">
        <v>1</v>
      </c>
      <c r="F56" t="s">
        <v>43</v>
      </c>
      <c r="G56" t="s">
        <v>414</v>
      </c>
    </row>
    <row r="57" spans="2:7">
      <c r="B57">
        <v>60</v>
      </c>
      <c r="C57" t="s">
        <v>307</v>
      </c>
      <c r="D57" t="s">
        <v>423</v>
      </c>
      <c r="E57">
        <v>1</v>
      </c>
      <c r="F57" t="s">
        <v>59</v>
      </c>
      <c r="G57" t="s">
        <v>414</v>
      </c>
    </row>
    <row r="58" spans="2:7">
      <c r="B58">
        <v>61</v>
      </c>
      <c r="C58" t="s">
        <v>307</v>
      </c>
      <c r="D58" t="s">
        <v>424</v>
      </c>
      <c r="E58">
        <v>0</v>
      </c>
      <c r="F58" t="s">
        <v>43</v>
      </c>
      <c r="G58" t="s">
        <v>414</v>
      </c>
    </row>
    <row r="59" spans="2:7">
      <c r="B59">
        <v>62</v>
      </c>
      <c r="C59" t="s">
        <v>307</v>
      </c>
      <c r="D59" t="s">
        <v>425</v>
      </c>
      <c r="E59">
        <v>0</v>
      </c>
      <c r="F59" t="s">
        <v>43</v>
      </c>
      <c r="G59" t="s">
        <v>414</v>
      </c>
    </row>
    <row r="60" spans="2:7">
      <c r="B60">
        <v>63</v>
      </c>
      <c r="C60" t="s">
        <v>307</v>
      </c>
      <c r="D60" t="s">
        <v>426</v>
      </c>
      <c r="E60">
        <v>1</v>
      </c>
      <c r="F60" t="s">
        <v>43</v>
      </c>
      <c r="G60" t="s">
        <v>414</v>
      </c>
    </row>
    <row r="61" spans="2:7">
      <c r="B61">
        <v>64</v>
      </c>
      <c r="C61" t="s">
        <v>307</v>
      </c>
      <c r="D61" t="s">
        <v>427</v>
      </c>
      <c r="E61">
        <v>1</v>
      </c>
      <c r="F61" t="s">
        <v>43</v>
      </c>
      <c r="G61" t="s">
        <v>414</v>
      </c>
    </row>
    <row r="62" spans="2:7">
      <c r="B62">
        <v>65</v>
      </c>
      <c r="C62" t="s">
        <v>307</v>
      </c>
      <c r="D62" t="s">
        <v>428</v>
      </c>
      <c r="E62">
        <v>1</v>
      </c>
      <c r="F62" t="s">
        <v>59</v>
      </c>
      <c r="G62" t="s">
        <v>414</v>
      </c>
    </row>
    <row r="63" spans="2:7">
      <c r="B63">
        <v>66</v>
      </c>
      <c r="C63" t="s">
        <v>307</v>
      </c>
      <c r="D63" t="s">
        <v>429</v>
      </c>
      <c r="E63">
        <v>1</v>
      </c>
      <c r="F63" t="s">
        <v>43</v>
      </c>
      <c r="G63" t="s">
        <v>414</v>
      </c>
    </row>
    <row r="64" spans="2:7">
      <c r="B64">
        <v>67</v>
      </c>
      <c r="C64" t="s">
        <v>307</v>
      </c>
      <c r="D64" t="s">
        <v>430</v>
      </c>
      <c r="E64">
        <v>1</v>
      </c>
      <c r="F64" t="s">
        <v>43</v>
      </c>
      <c r="G64" t="s">
        <v>414</v>
      </c>
    </row>
    <row r="65" spans="2:7">
      <c r="B65">
        <v>68</v>
      </c>
      <c r="C65" t="s">
        <v>307</v>
      </c>
      <c r="D65" t="s">
        <v>431</v>
      </c>
      <c r="E65">
        <v>1</v>
      </c>
      <c r="F65" t="s">
        <v>43</v>
      </c>
      <c r="G65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A00-000000000000}">
  <dimension ref="B1:L64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56</v>
      </c>
      <c r="C53" t="s">
        <v>307</v>
      </c>
      <c r="D53" t="s">
        <v>516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57</v>
      </c>
      <c r="C54" t="s">
        <v>307</v>
      </c>
      <c r="D54" t="s">
        <v>517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58</v>
      </c>
      <c r="C55" t="s">
        <v>307</v>
      </c>
      <c r="D55" t="s">
        <v>518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59</v>
      </c>
      <c r="C56" t="s">
        <v>307</v>
      </c>
      <c r="D56" t="s">
        <v>519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60</v>
      </c>
      <c r="C57" t="s">
        <v>307</v>
      </c>
      <c r="D57" t="s">
        <v>520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61</v>
      </c>
      <c r="C58" t="s">
        <v>307</v>
      </c>
      <c r="D58" t="s">
        <v>521</v>
      </c>
      <c r="E58">
        <v>0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62</v>
      </c>
      <c r="C59" t="s">
        <v>307</v>
      </c>
      <c r="D59" t="s">
        <v>522</v>
      </c>
      <c r="E59">
        <v>0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63</v>
      </c>
      <c r="C60" t="s">
        <v>307</v>
      </c>
      <c r="D60" t="s">
        <v>523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64</v>
      </c>
      <c r="C61" t="s">
        <v>307</v>
      </c>
      <c r="D61" t="s">
        <v>524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65</v>
      </c>
      <c r="C62" t="s">
        <v>307</v>
      </c>
      <c r="D62" t="s">
        <v>525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66</v>
      </c>
      <c r="C63" t="s">
        <v>307</v>
      </c>
      <c r="D63" t="s">
        <v>526</v>
      </c>
      <c r="E63">
        <v>1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67</v>
      </c>
      <c r="C64" t="s">
        <v>307</v>
      </c>
      <c r="D64" t="s">
        <v>527</v>
      </c>
      <c r="E64">
        <v>1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520</v>
      </c>
      <c r="D115" s="36" t="s">
        <v>695</v>
      </c>
    </row>
    <row r="116" spans="2:4" ht="44.1" customHeight="1">
      <c r="B116" s="31" t="s">
        <v>696</v>
      </c>
      <c r="C116" s="34">
        <v>3.2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