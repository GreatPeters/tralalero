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jh\tralalero Shooter\Assets\ShooterSurvival\GameData\Editor\"/>
    </mc:Choice>
  </mc:AlternateContent>
  <xr:revisionPtr revIDLastSave="0" documentId="13_ncr:1_{0E8B25E0-5287-403F-A369-C851E8EEF520}" xr6:coauthVersionLast="47" xr6:coauthVersionMax="47" xr10:uidLastSave="{00000000-0000-0000-0000-000000000000}"/>
  <bookViews>
    <workbookView xWindow="28680" yWindow="-120" windowWidth="29040" windowHeight="15720" activeTab="8" xr2:uid="{00000000-000D-0000-FFFF-FFFF00000000}"/>
  </bookViews>
  <sheets>
    <sheet name="업그레이드" sheetId="1" r:id="rId1"/>
    <sheet name="스킨" sheetId="2" r:id="rId2"/>
    <sheet name="보너스" sheetId="3" r:id="rId3"/>
    <sheet name="몬스터" sheetId="4" r:id="rId4"/>
    <sheet name="패턴" sheetId="5" r:id="rId5"/>
    <sheet name="패턴목록" sheetId="6" r:id="rId6"/>
    <sheet name="환경 변수" sheetId="7" r:id="rId7"/>
    <sheet name="몬스터 성장" sheetId="8" r:id="rId8"/>
    <sheet name="적 배치" sheetId="9" r:id="rId9"/>
    <sheet name="보너스 배치" sheetId="10" r:id="rId10"/>
    <sheet name="기믹 배치" sheetId="11" r:id="rId11"/>
    <sheet name="밸런스 조정" sheetId="12" r:id="rId12"/>
    <sheet name="커스터마이징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3" i="12" l="1"/>
  <c r="C92" i="12"/>
  <c r="R75" i="12"/>
  <c r="P75" i="12"/>
  <c r="R74" i="12"/>
  <c r="P74" i="12"/>
  <c r="R73" i="12"/>
  <c r="M73" i="12"/>
  <c r="M74" i="12" s="1"/>
  <c r="M75" i="12" s="1"/>
  <c r="M76" i="12" s="1"/>
  <c r="M77" i="12" s="1"/>
  <c r="L77" i="11"/>
  <c r="K77" i="11"/>
  <c r="J77" i="11"/>
  <c r="G77" i="11"/>
  <c r="K76" i="11"/>
  <c r="G76" i="11"/>
  <c r="I75" i="11"/>
  <c r="G75" i="11"/>
  <c r="L74" i="11"/>
  <c r="K74" i="11"/>
  <c r="J74" i="11"/>
  <c r="G74" i="11"/>
  <c r="I73" i="11"/>
  <c r="G73" i="11"/>
  <c r="L72" i="11"/>
  <c r="K72" i="11"/>
  <c r="J72" i="11"/>
  <c r="G72" i="11"/>
  <c r="K71" i="11"/>
  <c r="G71" i="11"/>
  <c r="I70" i="11"/>
  <c r="G70" i="11"/>
  <c r="L69" i="11"/>
  <c r="K69" i="11"/>
  <c r="J69" i="11"/>
  <c r="G69" i="11"/>
  <c r="I68" i="11"/>
  <c r="G68" i="11"/>
  <c r="L67" i="11"/>
  <c r="K67" i="11"/>
  <c r="J67" i="11"/>
  <c r="G67" i="11"/>
  <c r="K66" i="11"/>
  <c r="G66" i="11"/>
  <c r="I65" i="11"/>
  <c r="G65" i="11"/>
  <c r="L64" i="11"/>
  <c r="K64" i="11"/>
  <c r="J64" i="11"/>
  <c r="G64" i="11"/>
  <c r="I63" i="11"/>
  <c r="G63" i="11"/>
  <c r="L62" i="11"/>
  <c r="K62" i="11"/>
  <c r="J62" i="11"/>
  <c r="G62" i="11"/>
  <c r="K61" i="11"/>
  <c r="G61" i="11"/>
  <c r="I60" i="11"/>
  <c r="G60" i="11"/>
  <c r="L59" i="11"/>
  <c r="K59" i="11"/>
  <c r="J59" i="11"/>
  <c r="G59" i="11"/>
  <c r="I58" i="11"/>
  <c r="G58" i="11"/>
  <c r="L57" i="11"/>
  <c r="K57" i="11"/>
  <c r="J57" i="11"/>
  <c r="G57" i="11"/>
  <c r="K56" i="11"/>
  <c r="G56" i="11"/>
  <c r="I55" i="11"/>
  <c r="G55" i="11"/>
  <c r="L54" i="11"/>
  <c r="K54" i="11"/>
  <c r="J54" i="11"/>
  <c r="G54" i="11"/>
  <c r="I53" i="11"/>
  <c r="G53" i="11"/>
  <c r="L52" i="11"/>
  <c r="K52" i="11"/>
  <c r="J52" i="11"/>
  <c r="I52" i="11"/>
  <c r="G52" i="11"/>
  <c r="L51" i="11"/>
  <c r="K51" i="11"/>
  <c r="J51" i="11"/>
  <c r="I51" i="11"/>
  <c r="G51" i="11"/>
  <c r="L50" i="11"/>
  <c r="K50" i="11"/>
  <c r="J50" i="11"/>
  <c r="I50" i="11"/>
  <c r="G50" i="11"/>
  <c r="L49" i="11"/>
  <c r="K49" i="11"/>
  <c r="J49" i="11"/>
  <c r="I49" i="11"/>
  <c r="G49" i="11"/>
  <c r="L48" i="11"/>
  <c r="K48" i="11"/>
  <c r="J48" i="11"/>
  <c r="I48" i="11"/>
  <c r="G48" i="11"/>
  <c r="L47" i="11"/>
  <c r="K47" i="11"/>
  <c r="J47" i="11"/>
  <c r="I47" i="11"/>
  <c r="G47" i="11"/>
  <c r="L46" i="11"/>
  <c r="K46" i="11"/>
  <c r="J46" i="11"/>
  <c r="I46" i="11"/>
  <c r="G46" i="11"/>
  <c r="L45" i="11"/>
  <c r="K45" i="11"/>
  <c r="J45" i="11"/>
  <c r="I45" i="11"/>
  <c r="G45" i="11"/>
  <c r="L44" i="11"/>
  <c r="K44" i="11"/>
  <c r="J44" i="11"/>
  <c r="I44" i="11"/>
  <c r="G44" i="11"/>
  <c r="L43" i="11"/>
  <c r="K43" i="11"/>
  <c r="J43" i="11"/>
  <c r="I43" i="11"/>
  <c r="G43" i="11"/>
  <c r="L42" i="11"/>
  <c r="K42" i="11"/>
  <c r="J42" i="11"/>
  <c r="I42" i="11"/>
  <c r="G42" i="11"/>
  <c r="L41" i="11"/>
  <c r="K41" i="11"/>
  <c r="J41" i="11"/>
  <c r="I41" i="11"/>
  <c r="G41" i="11"/>
  <c r="L40" i="11"/>
  <c r="K40" i="11"/>
  <c r="J40" i="11"/>
  <c r="I40" i="11"/>
  <c r="G40" i="11"/>
  <c r="L39" i="11"/>
  <c r="K39" i="11"/>
  <c r="J39" i="11"/>
  <c r="I39" i="11"/>
  <c r="G39" i="11"/>
  <c r="L38" i="11"/>
  <c r="K38" i="11"/>
  <c r="J38" i="11"/>
  <c r="I38" i="11"/>
  <c r="G38" i="11"/>
  <c r="L37" i="11"/>
  <c r="K37" i="11"/>
  <c r="J37" i="11"/>
  <c r="I37" i="11"/>
  <c r="G37" i="11"/>
  <c r="L36" i="11"/>
  <c r="K36" i="11"/>
  <c r="J36" i="11"/>
  <c r="I36" i="11"/>
  <c r="G36" i="11"/>
  <c r="L35" i="11"/>
  <c r="K35" i="11"/>
  <c r="J35" i="11"/>
  <c r="I35" i="11"/>
  <c r="G35" i="11"/>
  <c r="L34" i="11"/>
  <c r="K34" i="11"/>
  <c r="J34" i="11"/>
  <c r="I34" i="11"/>
  <c r="G34" i="11"/>
  <c r="L33" i="11"/>
  <c r="K33" i="11"/>
  <c r="J33" i="11"/>
  <c r="I33" i="11"/>
  <c r="G33" i="11"/>
  <c r="L32" i="11"/>
  <c r="K32" i="11"/>
  <c r="J32" i="11"/>
  <c r="I32" i="11"/>
  <c r="G32" i="11"/>
  <c r="L31" i="11"/>
  <c r="K31" i="11"/>
  <c r="J31" i="11"/>
  <c r="I31" i="11"/>
  <c r="G31" i="11"/>
  <c r="L30" i="11"/>
  <c r="K30" i="11"/>
  <c r="J30" i="11"/>
  <c r="I30" i="11"/>
  <c r="G30" i="11"/>
  <c r="L29" i="11"/>
  <c r="K29" i="11"/>
  <c r="J29" i="11"/>
  <c r="I29" i="11"/>
  <c r="G29" i="11"/>
  <c r="L28" i="11"/>
  <c r="K28" i="11"/>
  <c r="J28" i="11"/>
  <c r="I28" i="11"/>
  <c r="G28" i="11"/>
  <c r="G27" i="11"/>
  <c r="G21" i="11"/>
  <c r="G19" i="11"/>
  <c r="G18" i="11"/>
  <c r="G12" i="11"/>
  <c r="G10" i="11"/>
  <c r="R152" i="9"/>
  <c r="Q152" i="9"/>
  <c r="N152" i="9"/>
  <c r="R151" i="9"/>
  <c r="Q151" i="9"/>
  <c r="P151" i="9"/>
  <c r="O151" i="9"/>
  <c r="O152" i="9" s="1"/>
  <c r="N151" i="9"/>
  <c r="R150" i="9"/>
  <c r="Q150" i="9"/>
  <c r="N150" i="9"/>
  <c r="R149" i="9"/>
  <c r="Q149" i="9"/>
  <c r="P149" i="9"/>
  <c r="O149" i="9"/>
  <c r="O150" i="9" s="1"/>
  <c r="N149" i="9"/>
  <c r="R148" i="9"/>
  <c r="Q148" i="9"/>
  <c r="N148" i="9"/>
  <c r="R147" i="9"/>
  <c r="Q147" i="9"/>
  <c r="P147" i="9"/>
  <c r="O147" i="9"/>
  <c r="O148" i="9" s="1"/>
  <c r="N147" i="9"/>
  <c r="R146" i="9"/>
  <c r="Q146" i="9"/>
  <c r="N146" i="9"/>
  <c r="R145" i="9"/>
  <c r="Q145" i="9"/>
  <c r="P145" i="9"/>
  <c r="O145" i="9"/>
  <c r="O146" i="9" s="1"/>
  <c r="N145" i="9"/>
  <c r="R144" i="9"/>
  <c r="Q144" i="9"/>
  <c r="N144" i="9"/>
  <c r="R143" i="9"/>
  <c r="Q143" i="9"/>
  <c r="P143" i="9"/>
  <c r="O143" i="9"/>
  <c r="O144" i="9" s="1"/>
  <c r="N143" i="9"/>
  <c r="R142" i="9"/>
  <c r="Q142" i="9"/>
  <c r="N142" i="9"/>
  <c r="R141" i="9"/>
  <c r="Q141" i="9"/>
  <c r="P141" i="9"/>
  <c r="O141" i="9"/>
  <c r="O142" i="9" s="1"/>
  <c r="N141" i="9"/>
  <c r="R140" i="9"/>
  <c r="Q140" i="9"/>
  <c r="O140" i="9"/>
  <c r="N140" i="9"/>
  <c r="R139" i="9"/>
  <c r="Q139" i="9"/>
  <c r="P139" i="9"/>
  <c r="O139" i="9"/>
  <c r="N139" i="9"/>
  <c r="R138" i="9"/>
  <c r="Q138" i="9"/>
  <c r="O138" i="9"/>
  <c r="N138" i="9"/>
  <c r="R137" i="9"/>
  <c r="Q137" i="9"/>
  <c r="P137" i="9"/>
  <c r="O137" i="9"/>
  <c r="N137" i="9"/>
  <c r="R136" i="9"/>
  <c r="Q136" i="9"/>
  <c r="O136" i="9"/>
  <c r="N136" i="9"/>
  <c r="R135" i="9"/>
  <c r="Q135" i="9"/>
  <c r="P135" i="9"/>
  <c r="O135" i="9"/>
  <c r="N135" i="9"/>
  <c r="R134" i="9"/>
  <c r="Q134" i="9"/>
  <c r="O134" i="9"/>
  <c r="N134" i="9"/>
  <c r="R133" i="9"/>
  <c r="Q133" i="9"/>
  <c r="P133" i="9"/>
  <c r="O133" i="9"/>
  <c r="N133" i="9"/>
  <c r="R132" i="9"/>
  <c r="Q132" i="9"/>
  <c r="O132" i="9"/>
  <c r="N132" i="9"/>
  <c r="R131" i="9"/>
  <c r="Q131" i="9"/>
  <c r="P131" i="9"/>
  <c r="O131" i="9"/>
  <c r="N131" i="9"/>
  <c r="R130" i="9"/>
  <c r="Q130" i="9"/>
  <c r="N130" i="9"/>
  <c r="R129" i="9"/>
  <c r="Q129" i="9"/>
  <c r="P129" i="9"/>
  <c r="O129" i="9"/>
  <c r="O130" i="9" s="1"/>
  <c r="N129" i="9"/>
  <c r="R128" i="9"/>
  <c r="Q128" i="9"/>
  <c r="N128" i="9"/>
  <c r="R127" i="9"/>
  <c r="Q127" i="9"/>
  <c r="P127" i="9"/>
  <c r="O127" i="9"/>
  <c r="O128" i="9" s="1"/>
  <c r="N127" i="9"/>
  <c r="R126" i="9"/>
  <c r="Q126" i="9"/>
  <c r="N126" i="9"/>
  <c r="R125" i="9"/>
  <c r="Q125" i="9"/>
  <c r="P125" i="9"/>
  <c r="O125" i="9"/>
  <c r="O126" i="9" s="1"/>
  <c r="N125" i="9"/>
  <c r="R124" i="9"/>
  <c r="Q124" i="9"/>
  <c r="N124" i="9"/>
  <c r="R123" i="9"/>
  <c r="Q123" i="9"/>
  <c r="P123" i="9"/>
  <c r="O123" i="9"/>
  <c r="O124" i="9" s="1"/>
  <c r="N123" i="9"/>
  <c r="R122" i="9"/>
  <c r="Q122" i="9"/>
  <c r="O122" i="9"/>
  <c r="N122" i="9"/>
  <c r="R121" i="9"/>
  <c r="Q121" i="9"/>
  <c r="P121" i="9"/>
  <c r="O121" i="9"/>
  <c r="N121" i="9"/>
  <c r="R120" i="9"/>
  <c r="Q120" i="9"/>
  <c r="N120" i="9"/>
  <c r="R119" i="9"/>
  <c r="Q119" i="9"/>
  <c r="P119" i="9"/>
  <c r="O119" i="9"/>
  <c r="O120" i="9" s="1"/>
  <c r="N119" i="9"/>
  <c r="R118" i="9"/>
  <c r="Q118" i="9"/>
  <c r="O118" i="9"/>
  <c r="N118" i="9"/>
  <c r="R117" i="9"/>
  <c r="Q117" i="9"/>
  <c r="P117" i="9"/>
  <c r="O117" i="9"/>
  <c r="N117" i="9"/>
  <c r="R116" i="9"/>
  <c r="Q116" i="9"/>
  <c r="O116" i="9"/>
  <c r="N116" i="9"/>
  <c r="R115" i="9"/>
  <c r="Q115" i="9"/>
  <c r="P115" i="9"/>
  <c r="O115" i="9"/>
  <c r="N115" i="9"/>
  <c r="R114" i="9"/>
  <c r="Q114" i="9"/>
  <c r="O114" i="9"/>
  <c r="N114" i="9"/>
  <c r="R113" i="9"/>
  <c r="Q113" i="9"/>
  <c r="P113" i="9"/>
  <c r="O113" i="9"/>
  <c r="N113" i="9"/>
  <c r="R112" i="9"/>
  <c r="Q112" i="9"/>
  <c r="N112" i="9"/>
  <c r="R111" i="9"/>
  <c r="Q111" i="9"/>
  <c r="P111" i="9"/>
  <c r="O111" i="9"/>
  <c r="O112" i="9" s="1"/>
  <c r="N111" i="9"/>
  <c r="R110" i="9"/>
  <c r="Q110" i="9"/>
  <c r="O110" i="9"/>
  <c r="N110" i="9"/>
  <c r="R109" i="9"/>
  <c r="Q109" i="9"/>
  <c r="P109" i="9"/>
  <c r="O109" i="9"/>
  <c r="N109" i="9"/>
  <c r="R108" i="9"/>
  <c r="Q108" i="9"/>
  <c r="N108" i="9"/>
  <c r="R107" i="9"/>
  <c r="Q107" i="9"/>
  <c r="P107" i="9"/>
  <c r="O107" i="9"/>
  <c r="O108" i="9" s="1"/>
  <c r="N107" i="9"/>
  <c r="R106" i="9"/>
  <c r="Q106" i="9"/>
  <c r="N106" i="9"/>
  <c r="R105" i="9"/>
  <c r="Q105" i="9"/>
  <c r="P105" i="9"/>
  <c r="O105" i="9"/>
  <c r="O106" i="9" s="1"/>
  <c r="N105" i="9"/>
  <c r="R104" i="9"/>
  <c r="Q104" i="9"/>
  <c r="N104" i="9"/>
  <c r="R103" i="9"/>
  <c r="Q103" i="9"/>
  <c r="P103" i="9"/>
  <c r="O103" i="9"/>
  <c r="O104" i="9" s="1"/>
  <c r="N103" i="9"/>
  <c r="R102" i="9"/>
  <c r="Q102" i="9"/>
  <c r="R101" i="9"/>
  <c r="Q101" i="9"/>
  <c r="O101" i="9"/>
  <c r="O102" i="9" s="1"/>
  <c r="N101" i="9"/>
  <c r="N102" i="9" s="1"/>
  <c r="R100" i="9"/>
  <c r="Q100" i="9"/>
  <c r="N100" i="9"/>
  <c r="R99" i="9"/>
  <c r="Q99" i="9"/>
  <c r="O99" i="9"/>
  <c r="O100" i="9" s="1"/>
  <c r="N99" i="9"/>
  <c r="R98" i="9"/>
  <c r="Q98" i="9"/>
  <c r="O98" i="9"/>
  <c r="N98" i="9"/>
  <c r="R97" i="9"/>
  <c r="Q97" i="9"/>
  <c r="O97" i="9"/>
  <c r="N97" i="9"/>
  <c r="R96" i="9"/>
  <c r="Q96" i="9"/>
  <c r="O96" i="9"/>
  <c r="R95" i="9"/>
  <c r="Q95" i="9"/>
  <c r="O95" i="9"/>
  <c r="N95" i="9"/>
  <c r="N96" i="9" s="1"/>
  <c r="R94" i="9"/>
  <c r="Q94" i="9"/>
  <c r="R93" i="9"/>
  <c r="Q93" i="9"/>
  <c r="O93" i="9"/>
  <c r="O94" i="9" s="1"/>
  <c r="N93" i="9"/>
  <c r="N94" i="9" s="1"/>
  <c r="R92" i="9"/>
  <c r="Q92" i="9"/>
  <c r="R91" i="9"/>
  <c r="Q91" i="9"/>
  <c r="O91" i="9"/>
  <c r="O92" i="9" s="1"/>
  <c r="N91" i="9"/>
  <c r="N92" i="9" s="1"/>
  <c r="R90" i="9"/>
  <c r="Q90" i="9"/>
  <c r="N90" i="9"/>
  <c r="R89" i="9"/>
  <c r="Q89" i="9"/>
  <c r="O89" i="9"/>
  <c r="O90" i="9" s="1"/>
  <c r="N89" i="9"/>
  <c r="R88" i="9"/>
  <c r="Q88" i="9"/>
  <c r="O88" i="9"/>
  <c r="N88" i="9"/>
  <c r="R87" i="9"/>
  <c r="Q87" i="9"/>
  <c r="O87" i="9"/>
  <c r="N87" i="9"/>
  <c r="R86" i="9"/>
  <c r="Q86" i="9"/>
  <c r="O86" i="9"/>
  <c r="R85" i="9"/>
  <c r="Q85" i="9"/>
  <c r="O85" i="9"/>
  <c r="N85" i="9"/>
  <c r="N86" i="9" s="1"/>
  <c r="R84" i="9"/>
  <c r="Q84" i="9"/>
  <c r="R83" i="9"/>
  <c r="Q83" i="9"/>
  <c r="O83" i="9"/>
  <c r="O84" i="9" s="1"/>
  <c r="N83" i="9"/>
  <c r="N84" i="9" s="1"/>
  <c r="R82" i="9"/>
  <c r="Q82" i="9"/>
  <c r="R81" i="9"/>
  <c r="Q81" i="9"/>
  <c r="O81" i="9"/>
  <c r="O82" i="9" s="1"/>
  <c r="N81" i="9"/>
  <c r="N82" i="9" s="1"/>
  <c r="R80" i="9"/>
  <c r="Q80" i="9"/>
  <c r="O80" i="9"/>
  <c r="N80" i="9"/>
  <c r="R79" i="9"/>
  <c r="Q79" i="9"/>
  <c r="O79" i="9"/>
  <c r="N79" i="9"/>
  <c r="R78" i="9"/>
  <c r="Q78" i="9"/>
  <c r="O78" i="9"/>
  <c r="N78" i="9"/>
  <c r="R77" i="9"/>
  <c r="Q77" i="9"/>
  <c r="O77" i="9"/>
  <c r="N77" i="9"/>
  <c r="R76" i="9"/>
  <c r="Q76" i="9"/>
  <c r="O76" i="9"/>
  <c r="R75" i="9"/>
  <c r="Q75" i="9"/>
  <c r="O75" i="9"/>
  <c r="N75" i="9"/>
  <c r="N76" i="9" s="1"/>
  <c r="R74" i="9"/>
  <c r="Q74" i="9"/>
  <c r="R73" i="9"/>
  <c r="Q73" i="9"/>
  <c r="O73" i="9"/>
  <c r="O74" i="9" s="1"/>
  <c r="N73" i="9"/>
  <c r="N74" i="9" s="1"/>
  <c r="R72" i="9"/>
  <c r="Q72" i="9"/>
  <c r="R71" i="9"/>
  <c r="Q71" i="9"/>
  <c r="O71" i="9"/>
  <c r="O72" i="9" s="1"/>
  <c r="N71" i="9"/>
  <c r="N72" i="9" s="1"/>
  <c r="R70" i="9"/>
  <c r="Q70" i="9"/>
  <c r="O70" i="9"/>
  <c r="N70" i="9"/>
  <c r="R69" i="9"/>
  <c r="Q69" i="9"/>
  <c r="O69" i="9"/>
  <c r="N69" i="9"/>
  <c r="R68" i="9"/>
  <c r="Q68" i="9"/>
  <c r="O68" i="9"/>
  <c r="N68" i="9"/>
  <c r="R67" i="9"/>
  <c r="Q67" i="9"/>
  <c r="O67" i="9"/>
  <c r="N67" i="9"/>
  <c r="R66" i="9"/>
  <c r="Q66" i="9"/>
  <c r="O66" i="9"/>
  <c r="R65" i="9"/>
  <c r="Q65" i="9"/>
  <c r="O65" i="9"/>
  <c r="N65" i="9"/>
  <c r="N66" i="9" s="1"/>
  <c r="R64" i="9"/>
  <c r="Q64" i="9"/>
  <c r="R63" i="9"/>
  <c r="Q63" i="9"/>
  <c r="O63" i="9"/>
  <c r="O64" i="9" s="1"/>
  <c r="N63" i="9"/>
  <c r="N64" i="9" s="1"/>
  <c r="R62" i="9"/>
  <c r="Q62" i="9"/>
  <c r="R61" i="9"/>
  <c r="Q61" i="9"/>
  <c r="O61" i="9"/>
  <c r="O62" i="9" s="1"/>
  <c r="N61" i="9"/>
  <c r="N62" i="9" s="1"/>
  <c r="R60" i="9"/>
  <c r="Q60" i="9"/>
  <c r="O60" i="9"/>
  <c r="N60" i="9"/>
  <c r="R59" i="9"/>
  <c r="Q59" i="9"/>
  <c r="O59" i="9"/>
  <c r="N59" i="9"/>
  <c r="R58" i="9"/>
  <c r="Q58" i="9"/>
  <c r="O58" i="9"/>
  <c r="N58" i="9"/>
  <c r="R57" i="9"/>
  <c r="Q57" i="9"/>
  <c r="O57" i="9"/>
  <c r="N57" i="9"/>
  <c r="R56" i="9"/>
  <c r="Q56" i="9"/>
  <c r="O56" i="9"/>
  <c r="R55" i="9"/>
  <c r="Q55" i="9"/>
  <c r="O55" i="9"/>
  <c r="N55" i="9"/>
  <c r="N56" i="9" s="1"/>
  <c r="R54" i="9"/>
  <c r="Q54" i="9"/>
  <c r="R53" i="9"/>
  <c r="Q53" i="9"/>
  <c r="O53" i="9"/>
  <c r="O54" i="9" s="1"/>
  <c r="N53" i="9"/>
  <c r="N54" i="9" s="1"/>
  <c r="R52" i="9"/>
  <c r="Q52" i="9"/>
  <c r="R51" i="9"/>
  <c r="Q51" i="9"/>
  <c r="R50" i="9"/>
  <c r="Q50" i="9"/>
  <c r="R49" i="9"/>
  <c r="Q49" i="9"/>
  <c r="R48" i="9"/>
  <c r="Q48" i="9"/>
  <c r="R47" i="9"/>
  <c r="Q47" i="9"/>
  <c r="R46" i="9"/>
  <c r="Q46" i="9"/>
  <c r="R45" i="9"/>
  <c r="Q45" i="9"/>
  <c r="R44" i="9"/>
  <c r="Q44" i="9"/>
  <c r="R43" i="9"/>
  <c r="Q43" i="9"/>
  <c r="R42" i="9"/>
  <c r="Q42" i="9"/>
  <c r="R41" i="9"/>
  <c r="Q41" i="9"/>
  <c r="R40" i="9"/>
  <c r="Q40" i="9"/>
  <c r="R39" i="9"/>
  <c r="Q39" i="9"/>
  <c r="R38" i="9"/>
  <c r="Q38" i="9"/>
  <c r="R37" i="9"/>
  <c r="Q37" i="9"/>
  <c r="R36" i="9"/>
  <c r="Q36" i="9"/>
  <c r="R35" i="9"/>
  <c r="Q35" i="9"/>
  <c r="R34" i="9"/>
  <c r="Q34" i="9"/>
  <c r="R33" i="9"/>
  <c r="Q33" i="9"/>
  <c r="R32" i="9"/>
  <c r="Q32" i="9"/>
  <c r="R31" i="9"/>
  <c r="Q31" i="9"/>
  <c r="R30" i="9"/>
  <c r="Q30" i="9"/>
  <c r="R29" i="9"/>
  <c r="Q29" i="9"/>
  <c r="R28" i="9"/>
  <c r="Q28" i="9"/>
  <c r="R27" i="9"/>
  <c r="Q27" i="9"/>
  <c r="R26" i="9"/>
  <c r="Q26" i="9"/>
  <c r="R25" i="9"/>
  <c r="Q25" i="9"/>
  <c r="R24" i="9"/>
  <c r="Q24" i="9"/>
  <c r="R23" i="9"/>
  <c r="Q23" i="9"/>
  <c r="R22" i="9"/>
  <c r="Q22" i="9"/>
  <c r="R21" i="9"/>
  <c r="Q21" i="9"/>
  <c r="R20" i="9"/>
  <c r="Q20" i="9"/>
  <c r="R19" i="9"/>
  <c r="Q19" i="9"/>
  <c r="R18" i="9"/>
  <c r="Q18" i="9"/>
  <c r="R17" i="9"/>
  <c r="Q17" i="9"/>
  <c r="R16" i="9"/>
  <c r="Q16" i="9"/>
  <c r="R15" i="9"/>
  <c r="Q15" i="9"/>
  <c r="R14" i="9"/>
  <c r="Q14" i="9"/>
  <c r="R13" i="9"/>
  <c r="Q13" i="9"/>
  <c r="R12" i="9"/>
  <c r="Q12" i="9"/>
  <c r="R11" i="9"/>
  <c r="Q11" i="9"/>
  <c r="R10" i="9"/>
  <c r="Q10" i="9"/>
  <c r="R9" i="9"/>
  <c r="Q9" i="9"/>
  <c r="R8" i="9"/>
  <c r="Q8" i="9"/>
  <c r="R7" i="9"/>
  <c r="Q7" i="9"/>
  <c r="O7" i="9"/>
  <c r="O9" i="9" s="1"/>
  <c r="R6" i="9"/>
  <c r="Q6" i="9"/>
  <c r="O6" i="9"/>
  <c r="R5" i="9"/>
  <c r="Q5" i="9"/>
  <c r="O5" i="9"/>
  <c r="N5" i="9"/>
  <c r="N7" i="9" s="1"/>
  <c r="R4" i="9"/>
  <c r="Q4" i="9"/>
  <c r="O4" i="9"/>
  <c r="N4" i="9"/>
  <c r="R3" i="9"/>
  <c r="Q3" i="9"/>
  <c r="O3" i="9"/>
  <c r="N3" i="9"/>
  <c r="G17" i="8"/>
  <c r="F17" i="8"/>
  <c r="E17" i="8"/>
  <c r="D17" i="8"/>
  <c r="G16" i="8"/>
  <c r="F16" i="8"/>
  <c r="E16" i="8"/>
  <c r="D16" i="8"/>
  <c r="G15" i="8"/>
  <c r="F15" i="8"/>
  <c r="E15" i="8"/>
  <c r="D15" i="8"/>
  <c r="G14" i="8"/>
  <c r="F14" i="8"/>
  <c r="E14" i="8"/>
  <c r="D14" i="8"/>
  <c r="G13" i="8"/>
  <c r="F13" i="8"/>
  <c r="E13" i="8"/>
  <c r="D13" i="8"/>
  <c r="G12" i="8"/>
  <c r="F12" i="8"/>
  <c r="E12" i="8"/>
  <c r="D12" i="8"/>
  <c r="G11" i="8"/>
  <c r="F11" i="8"/>
  <c r="E11" i="8"/>
  <c r="D11" i="8"/>
  <c r="G10" i="8"/>
  <c r="F10" i="8"/>
  <c r="E10" i="8"/>
  <c r="D10" i="8"/>
  <c r="G9" i="8"/>
  <c r="F9" i="8"/>
  <c r="E9" i="8"/>
  <c r="D9" i="8"/>
  <c r="G8" i="8"/>
  <c r="F8" i="8"/>
  <c r="E8" i="8"/>
  <c r="D8" i="8"/>
  <c r="G7" i="8"/>
  <c r="F7" i="8"/>
  <c r="E7" i="8"/>
  <c r="D7" i="8"/>
  <c r="G6" i="8"/>
  <c r="F6" i="8"/>
  <c r="E6" i="8"/>
  <c r="D6" i="8"/>
  <c r="G5" i="8"/>
  <c r="F5" i="8"/>
  <c r="E5" i="8"/>
  <c r="D5" i="8"/>
  <c r="G4" i="8"/>
  <c r="F4" i="8"/>
  <c r="E4" i="8"/>
  <c r="D4" i="8"/>
  <c r="G3" i="8"/>
  <c r="F3" i="8"/>
  <c r="E3" i="8"/>
  <c r="D3" i="8"/>
  <c r="D34" i="7"/>
  <c r="D33" i="7"/>
  <c r="D32" i="7"/>
  <c r="D31" i="7"/>
  <c r="D30" i="7"/>
  <c r="D29" i="7"/>
  <c r="D28" i="7"/>
  <c r="D27" i="7"/>
  <c r="D26" i="7"/>
  <c r="D23" i="7"/>
  <c r="D22" i="7"/>
  <c r="D21" i="7"/>
  <c r="D20" i="7"/>
  <c r="D19" i="7"/>
  <c r="D18" i="7"/>
  <c r="D17" i="7"/>
  <c r="D16" i="7"/>
  <c r="D15" i="7"/>
  <c r="D14" i="7"/>
  <c r="D13" i="7"/>
  <c r="D12" i="7"/>
  <c r="D11" i="7"/>
  <c r="D10" i="7"/>
  <c r="G7" i="7"/>
  <c r="G15" i="4"/>
  <c r="G18" i="4" s="1"/>
  <c r="G13" i="4"/>
  <c r="G14" i="4" s="1"/>
  <c r="G12" i="4"/>
  <c r="G9" i="4"/>
  <c r="G10" i="4" s="1"/>
  <c r="G11" i="4" s="1"/>
  <c r="G8" i="4"/>
  <c r="G7" i="4"/>
  <c r="G6" i="4"/>
  <c r="G4" i="4"/>
  <c r="G5" i="4" s="1"/>
  <c r="N17" i="3"/>
  <c r="M17" i="3"/>
  <c r="M16" i="3"/>
  <c r="N16" i="3" s="1"/>
  <c r="M15" i="3"/>
  <c r="N15" i="3" s="1"/>
  <c r="N14" i="3"/>
  <c r="M14" i="3"/>
  <c r="N13" i="3"/>
  <c r="M13" i="3"/>
  <c r="N12" i="3"/>
  <c r="M12" i="3"/>
  <c r="I302" i="1"/>
  <c r="F302" i="1"/>
  <c r="I301" i="1"/>
  <c r="F301" i="1"/>
  <c r="I300" i="1"/>
  <c r="F300" i="1"/>
  <c r="I299" i="1"/>
  <c r="F299" i="1"/>
  <c r="I298" i="1"/>
  <c r="F298" i="1"/>
  <c r="I297" i="1"/>
  <c r="F297" i="1"/>
  <c r="I296" i="1"/>
  <c r="F296" i="1"/>
  <c r="I295" i="1"/>
  <c r="F295" i="1"/>
  <c r="I294" i="1"/>
  <c r="F294" i="1"/>
  <c r="I293" i="1"/>
  <c r="F293" i="1"/>
  <c r="I292" i="1"/>
  <c r="F292" i="1"/>
  <c r="I291" i="1"/>
  <c r="F291" i="1"/>
  <c r="I290" i="1"/>
  <c r="F290" i="1"/>
  <c r="I289" i="1"/>
  <c r="F289" i="1"/>
  <c r="I288" i="1"/>
  <c r="F288" i="1"/>
  <c r="I287" i="1"/>
  <c r="F287" i="1"/>
  <c r="I286" i="1"/>
  <c r="F286" i="1"/>
  <c r="I285" i="1"/>
  <c r="F285" i="1"/>
  <c r="I284" i="1"/>
  <c r="F284" i="1"/>
  <c r="I283" i="1"/>
  <c r="F283" i="1"/>
  <c r="I282" i="1"/>
  <c r="F282" i="1"/>
  <c r="I281" i="1"/>
  <c r="F281" i="1"/>
  <c r="I280" i="1"/>
  <c r="F280" i="1"/>
  <c r="I279" i="1"/>
  <c r="F279" i="1"/>
  <c r="I278" i="1"/>
  <c r="F278" i="1"/>
  <c r="I277" i="1"/>
  <c r="F277" i="1"/>
  <c r="I276" i="1"/>
  <c r="F276" i="1"/>
  <c r="I275" i="1"/>
  <c r="F275" i="1"/>
  <c r="I274" i="1"/>
  <c r="F274" i="1"/>
  <c r="I273" i="1"/>
  <c r="F273" i="1"/>
  <c r="I272" i="1"/>
  <c r="F272" i="1"/>
  <c r="I271" i="1"/>
  <c r="F271" i="1"/>
  <c r="I270" i="1"/>
  <c r="F270" i="1"/>
  <c r="I269" i="1"/>
  <c r="F269" i="1"/>
  <c r="I268" i="1"/>
  <c r="F268" i="1"/>
  <c r="I267" i="1"/>
  <c r="F267" i="1"/>
  <c r="I266" i="1"/>
  <c r="F266" i="1"/>
  <c r="I265" i="1"/>
  <c r="F265" i="1"/>
  <c r="I264" i="1"/>
  <c r="F264" i="1"/>
  <c r="I263" i="1"/>
  <c r="F263" i="1"/>
  <c r="I262" i="1"/>
  <c r="F262" i="1"/>
  <c r="I261" i="1"/>
  <c r="F261" i="1"/>
  <c r="I260" i="1"/>
  <c r="F260" i="1"/>
  <c r="I259" i="1"/>
  <c r="F259" i="1"/>
  <c r="I258" i="1"/>
  <c r="F258" i="1"/>
  <c r="I257" i="1"/>
  <c r="F257" i="1"/>
  <c r="I256" i="1"/>
  <c r="F256" i="1"/>
  <c r="I255" i="1"/>
  <c r="F255" i="1"/>
  <c r="I254" i="1"/>
  <c r="F254" i="1"/>
  <c r="I253" i="1"/>
  <c r="F253" i="1"/>
  <c r="I252" i="1"/>
  <c r="F252" i="1"/>
  <c r="I251" i="1"/>
  <c r="F251" i="1"/>
  <c r="I250" i="1"/>
  <c r="F250" i="1"/>
  <c r="I249" i="1"/>
  <c r="F249" i="1"/>
  <c r="I248" i="1"/>
  <c r="F248" i="1"/>
  <c r="I247" i="1"/>
  <c r="F247" i="1"/>
  <c r="I246" i="1"/>
  <c r="F246" i="1"/>
  <c r="I245" i="1"/>
  <c r="F245" i="1"/>
  <c r="I244" i="1"/>
  <c r="F244" i="1"/>
  <c r="I243" i="1"/>
  <c r="F243" i="1"/>
  <c r="I242" i="1"/>
  <c r="F242" i="1"/>
  <c r="I241" i="1"/>
  <c r="F241" i="1"/>
  <c r="I240" i="1"/>
  <c r="F240" i="1"/>
  <c r="I239" i="1"/>
  <c r="F239" i="1"/>
  <c r="I238" i="1"/>
  <c r="F238" i="1"/>
  <c r="I237" i="1"/>
  <c r="F237" i="1"/>
  <c r="I236" i="1"/>
  <c r="F236" i="1"/>
  <c r="I235" i="1"/>
  <c r="F235" i="1"/>
  <c r="I234" i="1"/>
  <c r="F234" i="1"/>
  <c r="I233" i="1"/>
  <c r="F233" i="1"/>
  <c r="I232" i="1"/>
  <c r="F232" i="1"/>
  <c r="I231" i="1"/>
  <c r="F231" i="1"/>
  <c r="I230" i="1"/>
  <c r="F230" i="1"/>
  <c r="I229" i="1"/>
  <c r="F229" i="1"/>
  <c r="I228" i="1"/>
  <c r="F228" i="1"/>
  <c r="I227" i="1"/>
  <c r="F227" i="1"/>
  <c r="I226" i="1"/>
  <c r="F226" i="1"/>
  <c r="I225" i="1"/>
  <c r="F225" i="1"/>
  <c r="I224" i="1"/>
  <c r="F224" i="1"/>
  <c r="I223" i="1"/>
  <c r="F223" i="1"/>
  <c r="I222" i="1"/>
  <c r="F222" i="1"/>
  <c r="I221" i="1"/>
  <c r="F221" i="1"/>
  <c r="I220" i="1"/>
  <c r="F220" i="1"/>
  <c r="I219" i="1"/>
  <c r="F219" i="1"/>
  <c r="I218" i="1"/>
  <c r="F218" i="1"/>
  <c r="I217" i="1"/>
  <c r="F217" i="1"/>
  <c r="I216" i="1"/>
  <c r="F216" i="1"/>
  <c r="I215" i="1"/>
  <c r="F215" i="1"/>
  <c r="I214" i="1"/>
  <c r="F214" i="1"/>
  <c r="I213" i="1"/>
  <c r="F213" i="1"/>
  <c r="I212" i="1"/>
  <c r="F212" i="1"/>
  <c r="I211" i="1"/>
  <c r="F211" i="1"/>
  <c r="I210" i="1"/>
  <c r="F210" i="1"/>
  <c r="I209" i="1"/>
  <c r="F209" i="1"/>
  <c r="I208" i="1"/>
  <c r="F208" i="1"/>
  <c r="I207" i="1"/>
  <c r="F207" i="1"/>
  <c r="I206" i="1"/>
  <c r="F206" i="1"/>
  <c r="I205" i="1"/>
  <c r="F205" i="1"/>
  <c r="I204" i="1"/>
  <c r="F204" i="1"/>
  <c r="I203" i="1"/>
  <c r="F203" i="1"/>
  <c r="I202" i="1"/>
  <c r="F202" i="1"/>
  <c r="I201" i="1"/>
  <c r="F201" i="1"/>
  <c r="I200" i="1"/>
  <c r="F200" i="1"/>
  <c r="I199" i="1"/>
  <c r="F199" i="1"/>
  <c r="I198" i="1"/>
  <c r="F198" i="1"/>
  <c r="I197" i="1"/>
  <c r="F197" i="1"/>
  <c r="I196" i="1"/>
  <c r="F196" i="1"/>
  <c r="I195" i="1"/>
  <c r="F195" i="1"/>
  <c r="I194" i="1"/>
  <c r="F194" i="1"/>
  <c r="I193" i="1"/>
  <c r="F193" i="1"/>
  <c r="I192" i="1"/>
  <c r="F192" i="1"/>
  <c r="I191" i="1"/>
  <c r="F191" i="1"/>
  <c r="I190" i="1"/>
  <c r="F190" i="1"/>
  <c r="I189" i="1"/>
  <c r="F189" i="1"/>
  <c r="I188" i="1"/>
  <c r="F188" i="1"/>
  <c r="I187" i="1"/>
  <c r="F187" i="1"/>
  <c r="I186" i="1"/>
  <c r="F186" i="1"/>
  <c r="I185" i="1"/>
  <c r="F185" i="1"/>
  <c r="I184" i="1"/>
  <c r="F184" i="1"/>
  <c r="I183" i="1"/>
  <c r="F183" i="1"/>
  <c r="I182" i="1"/>
  <c r="F182" i="1"/>
  <c r="I181" i="1"/>
  <c r="F181" i="1"/>
  <c r="I180" i="1"/>
  <c r="F180" i="1"/>
  <c r="I179" i="1"/>
  <c r="F179" i="1"/>
  <c r="I178" i="1"/>
  <c r="F178" i="1"/>
  <c r="I177" i="1"/>
  <c r="F177" i="1"/>
  <c r="I176" i="1"/>
  <c r="F176" i="1"/>
  <c r="I175" i="1"/>
  <c r="F175" i="1"/>
  <c r="I174" i="1"/>
  <c r="F174" i="1"/>
  <c r="I173" i="1"/>
  <c r="F173" i="1"/>
  <c r="I172" i="1"/>
  <c r="F172" i="1"/>
  <c r="I171" i="1"/>
  <c r="F171" i="1"/>
  <c r="I170" i="1"/>
  <c r="F170" i="1"/>
  <c r="I169" i="1"/>
  <c r="F169" i="1"/>
  <c r="I168" i="1"/>
  <c r="F168" i="1"/>
  <c r="I167" i="1"/>
  <c r="F167" i="1"/>
  <c r="I166" i="1"/>
  <c r="F166" i="1"/>
  <c r="I165" i="1"/>
  <c r="F165" i="1"/>
  <c r="I164" i="1"/>
  <c r="F164" i="1"/>
  <c r="I163" i="1"/>
  <c r="F163" i="1"/>
  <c r="I162" i="1"/>
  <c r="F162" i="1"/>
  <c r="I161" i="1"/>
  <c r="F161" i="1"/>
  <c r="I160" i="1"/>
  <c r="F160" i="1"/>
  <c r="I159" i="1"/>
  <c r="F159" i="1"/>
  <c r="I158" i="1"/>
  <c r="F158" i="1"/>
  <c r="I157" i="1"/>
  <c r="F157" i="1"/>
  <c r="I156" i="1"/>
  <c r="F156" i="1"/>
  <c r="I155" i="1"/>
  <c r="F155" i="1"/>
  <c r="I154" i="1"/>
  <c r="F154" i="1"/>
  <c r="I153" i="1"/>
  <c r="F153" i="1"/>
  <c r="I152" i="1"/>
  <c r="F152" i="1"/>
  <c r="I151" i="1"/>
  <c r="F151" i="1"/>
  <c r="I150" i="1"/>
  <c r="F150" i="1"/>
  <c r="I149" i="1"/>
  <c r="F149" i="1"/>
  <c r="I148" i="1"/>
  <c r="F148" i="1"/>
  <c r="I147" i="1"/>
  <c r="F147" i="1"/>
  <c r="I146" i="1"/>
  <c r="F146" i="1"/>
  <c r="I145" i="1"/>
  <c r="F145" i="1"/>
  <c r="I144" i="1"/>
  <c r="F144" i="1"/>
  <c r="I143" i="1"/>
  <c r="F143" i="1"/>
  <c r="I142" i="1"/>
  <c r="F142" i="1"/>
  <c r="I141" i="1"/>
  <c r="F141" i="1"/>
  <c r="I140" i="1"/>
  <c r="F140" i="1"/>
  <c r="I139" i="1"/>
  <c r="F139" i="1"/>
  <c r="I138" i="1"/>
  <c r="F138" i="1"/>
  <c r="I137" i="1"/>
  <c r="F137" i="1"/>
  <c r="I136" i="1"/>
  <c r="F136" i="1"/>
  <c r="I135" i="1"/>
  <c r="F135" i="1"/>
  <c r="I134" i="1"/>
  <c r="F134" i="1"/>
  <c r="I133" i="1"/>
  <c r="F133" i="1"/>
  <c r="I132" i="1"/>
  <c r="F132" i="1"/>
  <c r="I131" i="1"/>
  <c r="F131" i="1"/>
  <c r="I130" i="1"/>
  <c r="F130" i="1"/>
  <c r="I129" i="1"/>
  <c r="F129" i="1"/>
  <c r="I128" i="1"/>
  <c r="F128" i="1"/>
  <c r="I127" i="1"/>
  <c r="F127" i="1"/>
  <c r="I126" i="1"/>
  <c r="F126" i="1"/>
  <c r="I125" i="1"/>
  <c r="F125" i="1"/>
  <c r="I124" i="1"/>
  <c r="F124" i="1"/>
  <c r="I123" i="1"/>
  <c r="F123" i="1"/>
  <c r="I122" i="1"/>
  <c r="F122" i="1"/>
  <c r="I121" i="1"/>
  <c r="F121" i="1"/>
  <c r="I120" i="1"/>
  <c r="F120" i="1"/>
  <c r="I119" i="1"/>
  <c r="F119" i="1"/>
  <c r="I118" i="1"/>
  <c r="F118" i="1"/>
  <c r="I117" i="1"/>
  <c r="F117" i="1"/>
  <c r="I116" i="1"/>
  <c r="F116" i="1"/>
  <c r="I115" i="1"/>
  <c r="F115" i="1"/>
  <c r="I114" i="1"/>
  <c r="F114" i="1"/>
  <c r="I113" i="1"/>
  <c r="F113" i="1"/>
  <c r="I112" i="1"/>
  <c r="F112" i="1"/>
  <c r="I111" i="1"/>
  <c r="F111" i="1"/>
  <c r="I110" i="1"/>
  <c r="F110" i="1"/>
  <c r="I109" i="1"/>
  <c r="F109" i="1"/>
  <c r="I108" i="1"/>
  <c r="F108" i="1"/>
  <c r="I107" i="1"/>
  <c r="F107" i="1"/>
  <c r="I106" i="1"/>
  <c r="F106" i="1"/>
  <c r="I105" i="1"/>
  <c r="F105" i="1"/>
  <c r="I104" i="1"/>
  <c r="F104" i="1"/>
  <c r="I103" i="1"/>
  <c r="F103" i="1"/>
  <c r="I102" i="1"/>
  <c r="F102" i="1"/>
  <c r="I101" i="1"/>
  <c r="F101" i="1"/>
  <c r="I100" i="1"/>
  <c r="F100" i="1"/>
  <c r="I99" i="1"/>
  <c r="F99" i="1"/>
  <c r="I98" i="1"/>
  <c r="F98" i="1"/>
  <c r="I97" i="1"/>
  <c r="F97" i="1"/>
  <c r="I96" i="1"/>
  <c r="F96" i="1"/>
  <c r="I95" i="1"/>
  <c r="F95" i="1"/>
  <c r="I94" i="1"/>
  <c r="F94" i="1"/>
  <c r="I93" i="1"/>
  <c r="F93" i="1"/>
  <c r="I92" i="1"/>
  <c r="F92" i="1"/>
  <c r="I91" i="1"/>
  <c r="F91" i="1"/>
  <c r="I90" i="1"/>
  <c r="F90" i="1"/>
  <c r="I89" i="1"/>
  <c r="F89" i="1"/>
  <c r="I88" i="1"/>
  <c r="F88" i="1"/>
  <c r="I87" i="1"/>
  <c r="F87" i="1"/>
  <c r="I86" i="1"/>
  <c r="F86" i="1"/>
  <c r="I85" i="1"/>
  <c r="F85" i="1"/>
  <c r="I84" i="1"/>
  <c r="F84" i="1"/>
  <c r="I83" i="1"/>
  <c r="F83" i="1"/>
  <c r="I82" i="1"/>
  <c r="F82" i="1"/>
  <c r="I81" i="1"/>
  <c r="F81" i="1"/>
  <c r="I80" i="1"/>
  <c r="F80" i="1"/>
  <c r="I79" i="1"/>
  <c r="F79" i="1"/>
  <c r="I78" i="1"/>
  <c r="F78" i="1"/>
  <c r="I77" i="1"/>
  <c r="F77" i="1"/>
  <c r="I76" i="1"/>
  <c r="F76" i="1"/>
  <c r="I75" i="1"/>
  <c r="F75" i="1"/>
  <c r="I74" i="1"/>
  <c r="F74" i="1"/>
  <c r="I73" i="1"/>
  <c r="F73" i="1"/>
  <c r="I72" i="1"/>
  <c r="F72" i="1"/>
  <c r="I71" i="1"/>
  <c r="F71" i="1"/>
  <c r="I70" i="1"/>
  <c r="F70" i="1"/>
  <c r="I69" i="1"/>
  <c r="F69" i="1"/>
  <c r="I68" i="1"/>
  <c r="F68" i="1"/>
  <c r="I67" i="1"/>
  <c r="F67" i="1"/>
  <c r="I66" i="1"/>
  <c r="F66" i="1"/>
  <c r="I65" i="1"/>
  <c r="F65" i="1"/>
  <c r="I64" i="1"/>
  <c r="F64" i="1"/>
  <c r="I63" i="1"/>
  <c r="F63" i="1"/>
  <c r="I62" i="1"/>
  <c r="F62" i="1"/>
  <c r="I61" i="1"/>
  <c r="F61" i="1"/>
  <c r="I60" i="1"/>
  <c r="F60" i="1"/>
  <c r="I59" i="1"/>
  <c r="F59" i="1"/>
  <c r="I58" i="1"/>
  <c r="F58" i="1"/>
  <c r="I57" i="1"/>
  <c r="F57" i="1"/>
  <c r="I56" i="1"/>
  <c r="F56" i="1"/>
  <c r="I55" i="1"/>
  <c r="F55" i="1"/>
  <c r="I54" i="1"/>
  <c r="F54" i="1"/>
  <c r="I53" i="1"/>
  <c r="F53" i="1"/>
  <c r="I52" i="1"/>
  <c r="F52" i="1"/>
  <c r="I51" i="1"/>
  <c r="F51" i="1"/>
  <c r="I50" i="1"/>
  <c r="F50" i="1"/>
  <c r="I49" i="1"/>
  <c r="F49" i="1"/>
  <c r="I48" i="1"/>
  <c r="F48" i="1"/>
  <c r="I47" i="1"/>
  <c r="F47" i="1"/>
  <c r="I46" i="1"/>
  <c r="F46" i="1"/>
  <c r="I45" i="1"/>
  <c r="F45" i="1"/>
  <c r="I44" i="1"/>
  <c r="F44" i="1"/>
  <c r="I43" i="1"/>
  <c r="F43" i="1"/>
  <c r="I42" i="1"/>
  <c r="F42" i="1"/>
  <c r="I41" i="1"/>
  <c r="F41" i="1"/>
  <c r="I40" i="1"/>
  <c r="F40" i="1"/>
  <c r="I39" i="1"/>
  <c r="F39" i="1"/>
  <c r="I38" i="1"/>
  <c r="F38" i="1"/>
  <c r="I37" i="1"/>
  <c r="F37" i="1"/>
  <c r="I36" i="1"/>
  <c r="F36" i="1"/>
  <c r="I35" i="1"/>
  <c r="F35" i="1"/>
  <c r="I34" i="1"/>
  <c r="F34" i="1"/>
  <c r="I33" i="1"/>
  <c r="F33" i="1"/>
  <c r="I32" i="1"/>
  <c r="F32" i="1"/>
  <c r="I31" i="1"/>
  <c r="F31" i="1"/>
  <c r="I30" i="1"/>
  <c r="F30" i="1"/>
  <c r="I29" i="1"/>
  <c r="F29" i="1"/>
  <c r="I28" i="1"/>
  <c r="F28" i="1"/>
  <c r="I27" i="1"/>
  <c r="F27" i="1"/>
  <c r="I26" i="1"/>
  <c r="F26" i="1"/>
  <c r="I25" i="1"/>
  <c r="F25" i="1"/>
  <c r="I24" i="1"/>
  <c r="F24" i="1"/>
  <c r="I23" i="1"/>
  <c r="F23" i="1"/>
  <c r="I22" i="1"/>
  <c r="F22" i="1"/>
  <c r="I21" i="1"/>
  <c r="F21" i="1"/>
  <c r="I20" i="1"/>
  <c r="F20" i="1"/>
  <c r="I19" i="1"/>
  <c r="F19" i="1"/>
  <c r="I18" i="1"/>
  <c r="F18" i="1"/>
  <c r="I17" i="1"/>
  <c r="F17" i="1"/>
  <c r="I16" i="1"/>
  <c r="F16" i="1"/>
  <c r="I15" i="1"/>
  <c r="F15" i="1"/>
  <c r="I14" i="1"/>
  <c r="F14" i="1"/>
  <c r="I13" i="1"/>
  <c r="F13" i="1"/>
  <c r="I12" i="1"/>
  <c r="F12" i="1"/>
  <c r="I11" i="1"/>
  <c r="F11" i="1"/>
  <c r="I10" i="1"/>
  <c r="F10" i="1"/>
  <c r="I9" i="1"/>
  <c r="F9" i="1"/>
  <c r="I8" i="1"/>
  <c r="F8" i="1"/>
  <c r="I7" i="1"/>
  <c r="F7" i="1"/>
  <c r="I6" i="1"/>
  <c r="F6" i="1"/>
  <c r="I5" i="1"/>
  <c r="F5" i="1"/>
  <c r="I4" i="1"/>
  <c r="F4" i="1"/>
  <c r="I3" i="1"/>
  <c r="F3" i="1"/>
  <c r="N9" i="9" l="1"/>
  <c r="N8" i="9"/>
  <c r="O10" i="9"/>
  <c r="O11" i="9"/>
  <c r="G21" i="4"/>
  <c r="G19" i="4"/>
  <c r="G20" i="4" s="1"/>
  <c r="N6" i="9"/>
  <c r="O8" i="9"/>
  <c r="G16" i="4"/>
  <c r="G17" i="4" s="1"/>
  <c r="G24" i="4" l="1"/>
  <c r="G22" i="4"/>
  <c r="G23" i="4" s="1"/>
  <c r="O13" i="9"/>
  <c r="O12" i="9"/>
  <c r="N10" i="9"/>
  <c r="N11" i="9"/>
  <c r="N13" i="9" l="1"/>
  <c r="N12" i="9"/>
  <c r="O15" i="9"/>
  <c r="O14" i="9"/>
  <c r="G27" i="4"/>
  <c r="G25" i="4"/>
  <c r="G26" i="4" s="1"/>
  <c r="O19" i="9" l="1"/>
  <c r="O17" i="9"/>
  <c r="O18" i="9" s="1"/>
  <c r="O16" i="9"/>
  <c r="G30" i="4"/>
  <c r="G28" i="4"/>
  <c r="G29" i="4" s="1"/>
  <c r="N15" i="9"/>
  <c r="N14" i="9"/>
  <c r="N19" i="9" l="1"/>
  <c r="N16" i="9"/>
  <c r="G33" i="4"/>
  <c r="G31" i="4"/>
  <c r="G32" i="4" s="1"/>
  <c r="O21" i="9"/>
  <c r="O20" i="9"/>
  <c r="G36" i="4" l="1"/>
  <c r="G34" i="4"/>
  <c r="G35" i="4" s="1"/>
  <c r="O23" i="9"/>
  <c r="O22" i="9"/>
  <c r="N21" i="9"/>
  <c r="N20" i="9"/>
  <c r="N23" i="9" l="1"/>
  <c r="N22" i="9"/>
  <c r="O25" i="9"/>
  <c r="O26" i="9" s="1"/>
  <c r="O24" i="9"/>
  <c r="O27" i="9"/>
  <c r="G37" i="4"/>
  <c r="G38" i="4" s="1"/>
  <c r="G39" i="4"/>
  <c r="G42" i="4" l="1"/>
  <c r="G40" i="4"/>
  <c r="G41" i="4" s="1"/>
  <c r="O29" i="9"/>
  <c r="O28" i="9"/>
  <c r="N24" i="9"/>
  <c r="N27" i="9"/>
  <c r="N29" i="9" l="1"/>
  <c r="N28" i="9"/>
  <c r="O31" i="9"/>
  <c r="O30" i="9"/>
  <c r="G45" i="4"/>
  <c r="G43" i="4"/>
  <c r="G44" i="4" s="1"/>
  <c r="G48" i="4" l="1"/>
  <c r="G46" i="4"/>
  <c r="G47" i="4" s="1"/>
  <c r="O33" i="9"/>
  <c r="O32" i="9"/>
  <c r="N31" i="9"/>
  <c r="N30" i="9"/>
  <c r="N33" i="9" l="1"/>
  <c r="N32" i="9"/>
  <c r="O35" i="9"/>
  <c r="O34" i="9"/>
  <c r="G51" i="4"/>
  <c r="G49" i="4"/>
  <c r="G50" i="4" s="1"/>
  <c r="G54" i="4" l="1"/>
  <c r="G52" i="4"/>
  <c r="G53" i="4" s="1"/>
  <c r="O36" i="9"/>
  <c r="O37" i="9"/>
  <c r="N35" i="9"/>
  <c r="N34" i="9"/>
  <c r="N36" i="9" l="1"/>
  <c r="N37" i="9"/>
  <c r="O39" i="9"/>
  <c r="O38" i="9"/>
  <c r="G57" i="4"/>
  <c r="G55" i="4"/>
  <c r="G56" i="4" s="1"/>
  <c r="G58" i="4" l="1"/>
  <c r="G59" i="4" s="1"/>
  <c r="G60" i="4"/>
  <c r="O41" i="9"/>
  <c r="O40" i="9"/>
  <c r="N39" i="9"/>
  <c r="N38" i="9"/>
  <c r="N41" i="9" l="1"/>
  <c r="N40" i="9"/>
  <c r="O43" i="9"/>
  <c r="O42" i="9"/>
  <c r="G63" i="4"/>
  <c r="G61" i="4"/>
  <c r="G62" i="4" s="1"/>
  <c r="G66" i="4" l="1"/>
  <c r="G64" i="4"/>
  <c r="G65" i="4" s="1"/>
  <c r="O45" i="9"/>
  <c r="O44" i="9"/>
  <c r="N43" i="9"/>
  <c r="N42" i="9"/>
  <c r="N45" i="9" l="1"/>
  <c r="N44" i="9"/>
  <c r="O46" i="9"/>
  <c r="O47" i="9"/>
  <c r="G69" i="4"/>
  <c r="G67" i="4"/>
  <c r="G68" i="4" s="1"/>
  <c r="G72" i="4" l="1"/>
  <c r="G70" i="4"/>
  <c r="G71" i="4" s="1"/>
  <c r="O51" i="9"/>
  <c r="O52" i="9" s="1"/>
  <c r="O49" i="9"/>
  <c r="O50" i="9" s="1"/>
  <c r="O48" i="9"/>
  <c r="N46" i="9"/>
  <c r="N47" i="9"/>
  <c r="N51" i="9" l="1"/>
  <c r="N52" i="9" s="1"/>
  <c r="N48" i="9"/>
  <c r="G75" i="4"/>
  <c r="G73" i="4"/>
  <c r="G74" i="4" s="1"/>
  <c r="G78" i="4" l="1"/>
  <c r="G76" i="4"/>
  <c r="G77" i="4" s="1"/>
  <c r="G81" i="4" l="1"/>
  <c r="G79" i="4"/>
  <c r="G80" i="4" s="1"/>
  <c r="G84" i="4" l="1"/>
  <c r="G82" i="4"/>
  <c r="G83" i="4" s="1"/>
  <c r="G87" i="4" l="1"/>
  <c r="G85" i="4"/>
  <c r="G86" i="4" s="1"/>
  <c r="G90" i="4" l="1"/>
  <c r="G88" i="4"/>
  <c r="G89" i="4" s="1"/>
  <c r="G93" i="4" l="1"/>
  <c r="G91" i="4"/>
  <c r="G92" i="4" s="1"/>
  <c r="G96" i="4" l="1"/>
  <c r="G94" i="4"/>
  <c r="G95" i="4" s="1"/>
  <c r="G97" i="4" l="1"/>
  <c r="G98" i="4" s="1"/>
  <c r="G99" i="4"/>
  <c r="G102" i="4" l="1"/>
  <c r="G100" i="4"/>
  <c r="G101" i="4" s="1"/>
  <c r="G105" i="4" l="1"/>
  <c r="G103" i="4"/>
  <c r="G104" i="4" s="1"/>
  <c r="G108" i="4" l="1"/>
  <c r="G106" i="4"/>
  <c r="G107" i="4" s="1"/>
  <c r="G111" i="4" l="1"/>
  <c r="G109" i="4"/>
  <c r="G110" i="4" s="1"/>
  <c r="G114" i="4" l="1"/>
  <c r="G112" i="4"/>
  <c r="G113" i="4" s="1"/>
  <c r="G117" i="4" l="1"/>
  <c r="G115" i="4"/>
  <c r="G116" i="4" s="1"/>
  <c r="G118" i="4" l="1"/>
  <c r="G119" i="4" s="1"/>
  <c r="G120" i="4"/>
  <c r="G123" i="4" l="1"/>
  <c r="G121" i="4"/>
  <c r="G122" i="4" s="1"/>
  <c r="G126" i="4" l="1"/>
  <c r="G124" i="4"/>
  <c r="G125" i="4" s="1"/>
  <c r="G129" i="4" l="1"/>
  <c r="G127" i="4"/>
  <c r="G128" i="4" s="1"/>
  <c r="G132" i="4" l="1"/>
  <c r="G130" i="4"/>
  <c r="G131" i="4" s="1"/>
  <c r="G135" i="4" l="1"/>
  <c r="G133" i="4"/>
  <c r="G134" i="4" s="1"/>
  <c r="G138" i="4" l="1"/>
  <c r="G136" i="4"/>
  <c r="G137" i="4" s="1"/>
  <c r="G141" i="4" l="1"/>
  <c r="G139" i="4"/>
  <c r="G140" i="4" s="1"/>
  <c r="G144" i="4" l="1"/>
  <c r="G142" i="4"/>
  <c r="G143" i="4" s="1"/>
  <c r="G147" i="4" l="1"/>
  <c r="G145" i="4"/>
  <c r="G146" i="4" s="1"/>
  <c r="G150" i="4" l="1"/>
  <c r="G148" i="4"/>
  <c r="G149" i="4" s="1"/>
  <c r="G153" i="4" l="1"/>
  <c r="G151" i="4"/>
  <c r="G152" i="4" s="1"/>
  <c r="G156" i="4" l="1"/>
  <c r="G154" i="4"/>
  <c r="G155" i="4" s="1"/>
  <c r="G159" i="4" l="1"/>
  <c r="G157" i="4"/>
  <c r="G158" i="4" s="1"/>
  <c r="G162" i="4" l="1"/>
  <c r="G160" i="4"/>
  <c r="G161" i="4" s="1"/>
  <c r="G165" i="4" l="1"/>
  <c r="G163" i="4"/>
  <c r="G164" i="4" s="1"/>
  <c r="G168" i="4" l="1"/>
  <c r="G166" i="4"/>
  <c r="G167" i="4" s="1"/>
  <c r="G171" i="4" l="1"/>
  <c r="G169" i="4"/>
  <c r="G170" i="4" s="1"/>
  <c r="G174" i="4" l="1"/>
  <c r="G172" i="4"/>
  <c r="G173" i="4" s="1"/>
  <c r="G175" i="4" l="1"/>
  <c r="G176" i="4" s="1"/>
  <c r="G177" i="4"/>
  <c r="G178" i="4" l="1"/>
  <c r="G179" i="4" s="1"/>
  <c r="G180" i="4"/>
  <c r="G183" i="4" l="1"/>
  <c r="G181" i="4"/>
  <c r="G182" i="4" s="1"/>
  <c r="G186" i="4" l="1"/>
  <c r="G184" i="4"/>
  <c r="G185" i="4" s="1"/>
  <c r="G189" i="4" l="1"/>
  <c r="G187" i="4"/>
  <c r="G188" i="4" s="1"/>
  <c r="G192" i="4" l="1"/>
  <c r="G190" i="4"/>
  <c r="G191" i="4" s="1"/>
  <c r="G195" i="4" l="1"/>
  <c r="G193" i="4"/>
  <c r="G194" i="4" s="1"/>
  <c r="G198" i="4" l="1"/>
  <c r="G196" i="4"/>
  <c r="G197" i="4" s="1"/>
  <c r="G201" i="4" l="1"/>
  <c r="G199" i="4"/>
  <c r="G200" i="4" s="1"/>
  <c r="G204" i="4" l="1"/>
  <c r="G202" i="4"/>
  <c r="G203" i="4" s="1"/>
  <c r="G207" i="4" l="1"/>
  <c r="G205" i="4"/>
  <c r="G206" i="4" s="1"/>
  <c r="G210" i="4" l="1"/>
  <c r="G208" i="4"/>
  <c r="G209" i="4" s="1"/>
  <c r="G213" i="4" l="1"/>
  <c r="G211" i="4"/>
  <c r="G212" i="4" s="1"/>
  <c r="G216" i="4" l="1"/>
  <c r="G214" i="4"/>
  <c r="G215" i="4" s="1"/>
  <c r="G217" i="4" l="1"/>
  <c r="G218" i="4" s="1"/>
  <c r="G219" i="4"/>
  <c r="G222" i="4" l="1"/>
  <c r="G220" i="4"/>
  <c r="G221" i="4" s="1"/>
  <c r="G225" i="4" l="1"/>
  <c r="G223" i="4"/>
  <c r="G224" i="4" s="1"/>
  <c r="G228" i="4" l="1"/>
  <c r="G226" i="4"/>
  <c r="G227" i="4" s="1"/>
  <c r="G231" i="4" l="1"/>
  <c r="G229" i="4"/>
  <c r="G230" i="4" s="1"/>
  <c r="G234" i="4" l="1"/>
  <c r="G232" i="4"/>
  <c r="G233" i="4" s="1"/>
  <c r="G235" i="4" l="1"/>
  <c r="G236" i="4" s="1"/>
  <c r="G237" i="4"/>
  <c r="G238" i="4" l="1"/>
  <c r="G239" i="4" s="1"/>
  <c r="G240" i="4"/>
  <c r="G243" i="4" l="1"/>
  <c r="G241" i="4"/>
  <c r="G242" i="4" s="1"/>
  <c r="G246" i="4" l="1"/>
  <c r="G244" i="4"/>
  <c r="G245" i="4" s="1"/>
  <c r="G249" i="4" l="1"/>
  <c r="G247" i="4"/>
  <c r="G248" i="4" s="1"/>
  <c r="G252" i="4" l="1"/>
  <c r="G250" i="4"/>
  <c r="G251" i="4" s="1"/>
  <c r="G255" i="4" l="1"/>
  <c r="G253" i="4"/>
  <c r="G254" i="4" s="1"/>
  <c r="G258" i="4" l="1"/>
  <c r="G256" i="4"/>
  <c r="G257" i="4" s="1"/>
  <c r="G261" i="4" l="1"/>
  <c r="G259" i="4"/>
  <c r="G260" i="4" s="1"/>
  <c r="G264" i="4" l="1"/>
  <c r="G262" i="4"/>
  <c r="G263" i="4" s="1"/>
  <c r="G267" i="4" l="1"/>
  <c r="G265" i="4"/>
  <c r="G266" i="4" s="1"/>
  <c r="G270" i="4" l="1"/>
  <c r="G268" i="4"/>
  <c r="G269" i="4" s="1"/>
  <c r="G273" i="4" l="1"/>
  <c r="G271" i="4"/>
  <c r="G272" i="4" s="1"/>
  <c r="G276" i="4" l="1"/>
  <c r="G274" i="4"/>
  <c r="G275" i="4" s="1"/>
  <c r="G277" i="4" l="1"/>
  <c r="G278" i="4" s="1"/>
  <c r="G279" i="4"/>
  <c r="G282" i="4" l="1"/>
  <c r="G280" i="4"/>
  <c r="G281" i="4" s="1"/>
  <c r="G285" i="4" l="1"/>
  <c r="G283" i="4"/>
  <c r="G284" i="4" s="1"/>
  <c r="G288" i="4" l="1"/>
  <c r="G286" i="4"/>
  <c r="G287" i="4" s="1"/>
  <c r="G291" i="4" l="1"/>
  <c r="G289" i="4"/>
  <c r="G290" i="4" s="1"/>
  <c r="G294" i="4" l="1"/>
  <c r="G292" i="4"/>
  <c r="G293" i="4" s="1"/>
  <c r="G295" i="4" l="1"/>
  <c r="G296" i="4" s="1"/>
  <c r="G297" i="4"/>
  <c r="G298" i="4" l="1"/>
  <c r="G299" i="4" s="1"/>
  <c r="G300" i="4"/>
  <c r="G301" i="4" s="1"/>
  <c r="G302" i="4" s="1"/>
</calcChain>
</file>

<file path=xl/sharedStrings.xml><?xml version="1.0" encoding="utf-8"?>
<sst xmlns="http://schemas.openxmlformats.org/spreadsheetml/2006/main" count="5031" uniqueCount="786">
  <si>
    <t>식별 순서</t>
  </si>
  <si>
    <t>항목(이름)</t>
  </si>
  <si>
    <t>가격 타입</t>
  </si>
  <si>
    <t>가격 수치</t>
  </si>
  <si>
    <t>항목</t>
  </si>
  <si>
    <t>보너스 타입</t>
  </si>
  <si>
    <t>보너스 값 타입</t>
  </si>
  <si>
    <t>보너스 수치</t>
  </si>
  <si>
    <t>Original</t>
  </si>
  <si>
    <t>Coin</t>
  </si>
  <si>
    <t>Pink</t>
  </si>
  <si>
    <t>보스 데미지</t>
  </si>
  <si>
    <t>BOSS_DAMAGE</t>
  </si>
  <si>
    <t>Value</t>
  </si>
  <si>
    <t>Zombie</t>
  </si>
  <si>
    <t>공격력</t>
  </si>
  <si>
    <t>ATT</t>
  </si>
  <si>
    <t>Ice</t>
  </si>
  <si>
    <t>공속</t>
  </si>
  <si>
    <t>ATT_SPEED</t>
  </si>
  <si>
    <t>Percent</t>
  </si>
  <si>
    <t>Wood</t>
  </si>
  <si>
    <t>체력</t>
  </si>
  <si>
    <t>HP</t>
  </si>
  <si>
    <t>Fire</t>
  </si>
  <si>
    <t>Jewel</t>
  </si>
  <si>
    <t>Army</t>
  </si>
  <si>
    <t>Cyber</t>
  </si>
  <si>
    <t>체력 회복</t>
  </si>
  <si>
    <t>HP_REGEN</t>
  </si>
  <si>
    <t>Christmas</t>
  </si>
  <si>
    <t>코인 보너스</t>
  </si>
  <si>
    <t>COIN_BONUS</t>
  </si>
  <si>
    <t>식별 순번</t>
  </si>
  <si>
    <t>식별 Enum</t>
  </si>
  <si>
    <t>레벨</t>
  </si>
  <si>
    <t>별칭</t>
  </si>
  <si>
    <t>이름</t>
  </si>
  <si>
    <t>수치</t>
  </si>
  <si>
    <t>수치 타입</t>
  </si>
  <si>
    <t>기타 설명</t>
  </si>
  <si>
    <t>최소</t>
  </si>
  <si>
    <t>최대</t>
  </si>
  <si>
    <t>Normal</t>
  </si>
  <si>
    <t>날카로운 일격</t>
  </si>
  <si>
    <t>att</t>
  </si>
  <si>
    <t>ratio</t>
  </si>
  <si>
    <t>전투 본능</t>
  </si>
  <si>
    <t>attPercent</t>
  </si>
  <si>
    <t>percent</t>
  </si>
  <si>
    <t>속사 태세</t>
  </si>
  <si>
    <t>attackSpeed</t>
  </si>
  <si>
    <t>장거리 탄</t>
  </si>
  <si>
    <t>사거리</t>
  </si>
  <si>
    <t>missileDistance</t>
  </si>
  <si>
    <t>든든항 생명</t>
  </si>
  <si>
    <t>hp</t>
  </si>
  <si>
    <t>생존 본능</t>
  </si>
  <si>
    <t>hpPercent</t>
  </si>
  <si>
    <t>Rare</t>
  </si>
  <si>
    <t>지상 지원군</t>
  </si>
  <si>
    <t>퉁퉁퉁</t>
  </si>
  <si>
    <t>tungtungAdd</t>
  </si>
  <si>
    <t>value</t>
  </si>
  <si>
    <t>공중 지원군</t>
  </si>
  <si>
    <t>붐바르</t>
  </si>
  <si>
    <t>boombarAdd</t>
  </si>
  <si>
    <t>Unique</t>
  </si>
  <si>
    <t>다중 탄막</t>
  </si>
  <si>
    <t>미사일</t>
  </si>
  <si>
    <t>missileAdd</t>
  </si>
  <si>
    <t>파멸의 일격</t>
  </si>
  <si>
    <t>광전사의 힘</t>
  </si>
  <si>
    <t>폭풍 속사</t>
  </si>
  <si>
    <t>초월 사격</t>
  </si>
  <si>
    <t>불굴의 생명</t>
  </si>
  <si>
    <t>철벽의 생존</t>
  </si>
  <si>
    <t>순번</t>
  </si>
  <si>
    <t>챕터</t>
  </si>
  <si>
    <t>스테이지</t>
  </si>
  <si>
    <t>티어</t>
  </si>
  <si>
    <t>Elite</t>
  </si>
  <si>
    <t>Boss</t>
  </si>
  <si>
    <t>1패턴</t>
  </si>
  <si>
    <t>1난이도</t>
  </si>
  <si>
    <t>2패턴</t>
  </si>
  <si>
    <t>2난이도</t>
  </si>
  <si>
    <t>3패턴</t>
  </si>
  <si>
    <t>3난이도</t>
  </si>
  <si>
    <t>4패턴</t>
  </si>
  <si>
    <t>4난이도</t>
  </si>
  <si>
    <t>5패턴</t>
  </si>
  <si>
    <t>5난이도</t>
  </si>
  <si>
    <t>6패턴</t>
  </si>
  <si>
    <t>6난이도</t>
  </si>
  <si>
    <t>기타설명</t>
  </si>
  <si>
    <t>Oil</t>
  </si>
  <si>
    <t>Easy</t>
  </si>
  <si>
    <t>Hole</t>
  </si>
  <si>
    <t>초반 튜토리얼: Hole/Oil/Bucket 학습</t>
  </si>
  <si>
    <t>Bucket</t>
  </si>
  <si>
    <t>Light 도입</t>
  </si>
  <si>
    <t>Light</t>
  </si>
  <si>
    <t>Seagull 입문</t>
  </si>
  <si>
    <t>Seagull</t>
  </si>
  <si>
    <t>Ship 입문</t>
  </si>
  <si>
    <t>Ship</t>
  </si>
  <si>
    <t>Dolphin</t>
  </si>
  <si>
    <t>5챕터: Dolphin 입문, 해상 적응</t>
  </si>
  <si>
    <t>Hard</t>
  </si>
  <si>
    <t>6챕터: 중반 혼합 압박</t>
  </si>
  <si>
    <t>Oldman</t>
  </si>
  <si>
    <t>7챕터: Oldman 도입, 후열 압박 학습</t>
  </si>
  <si>
    <t>8챕터: 복합 패턴, 지상/해상/공중 혼합</t>
  </si>
  <si>
    <t>9챕터: Hard 비중 증가, 변주 강화</t>
  </si>
  <si>
    <t>10챕터: 엔드게임 최종 조합</t>
  </si>
  <si>
    <t>Pattern</t>
  </si>
  <si>
    <t>Difficulty</t>
  </si>
  <si>
    <t>None</t>
  </si>
  <si>
    <t>초기 공격력</t>
  </si>
  <si>
    <t>최종 공격력</t>
  </si>
  <si>
    <t>초기 체력</t>
  </si>
  <si>
    <t>최종 체력</t>
  </si>
  <si>
    <t>계수</t>
  </si>
  <si>
    <t>참고용</t>
  </si>
  <si>
    <t>기본 공격력 증가</t>
  </si>
  <si>
    <t>최대 체력 증가</t>
  </si>
  <si>
    <t>공격 속도 증가</t>
  </si>
  <si>
    <t>PROJECTILE_SPEED</t>
  </si>
  <si>
    <t>미사일 지속 시간</t>
  </si>
  <si>
    <t>미사일 지속 시간 증가</t>
  </si>
  <si>
    <t>보스에게 주는 피해 증가</t>
  </si>
  <si>
    <t>획득 코인 증가</t>
  </si>
  <si>
    <t>초당 체력 회복</t>
  </si>
  <si>
    <t>TUNGTUNGTUNG</t>
  </si>
  <si>
    <t>퉁퉁퉁 사후르</t>
  </si>
  <si>
    <t>퉁퉁퉁 한 명 · 플레이어 체력 비율</t>
  </si>
  <si>
    <t>BOOMBAR</t>
  </si>
  <si>
    <t>붐바르 딜로</t>
  </si>
  <si>
    <t>붐바르 한 명 · 플레이어 공격력 비율</t>
  </si>
  <si>
    <t>LATERAL_SPEED</t>
  </si>
  <si>
    <t>좌우 이동 속도 늘리기</t>
  </si>
  <si>
    <t>좌우 이동 속도 단계마다 +5%, 최대 +50%</t>
  </si>
  <si>
    <t>최대 체력과 현재 체력을 함께 증가</t>
  </si>
  <si>
    <t>변수명</t>
  </si>
  <si>
    <t>변수 타입</t>
  </si>
  <si>
    <t>값1</t>
  </si>
  <si>
    <t>값2</t>
  </si>
  <si>
    <t>값3</t>
  </si>
  <si>
    <t>playerSpeed</t>
  </si>
  <si>
    <t>float</t>
  </si>
  <si>
    <t>playerDefaultAtt</t>
  </si>
  <si>
    <t>playerDefaultHp</t>
  </si>
  <si>
    <t>misspleSpeed</t>
  </si>
  <si>
    <t>missileDuration</t>
  </si>
  <si>
    <t>playerDefaultFireRate</t>
  </si>
  <si>
    <t>playerDefaultMissileCount</t>
  </si>
  <si>
    <t>playerSpeed_Noryangjin_MapTool_Mode_SR18</t>
  </si>
  <si>
    <t>playerSpeed_HighWay</t>
  </si>
  <si>
    <t>playerSpeed_RestStop</t>
  </si>
  <si>
    <t>progressRewardInterval</t>
  </si>
  <si>
    <t>progressCoinPerCheckpoint_HighWay</t>
  </si>
  <si>
    <t>progressCoinPerCheckpoint_RestStop</t>
  </si>
  <si>
    <t>progressRewardMaximum</t>
  </si>
  <si>
    <t>progressCoinPerCheckpoint_Noryangjin_MapTool_Mode_SR18</t>
  </si>
  <si>
    <t>firstClearJewels_Noryangjin_MapTool_Mode_SR18</t>
  </si>
  <si>
    <t>replayClearJewels_Noryangjin_MapTool_Mode_SR18</t>
  </si>
  <si>
    <t>firstClearJewels_HighWay</t>
  </si>
  <si>
    <t>replayClearJewels_HighWay</t>
  </si>
  <si>
    <t>firstClearJewels_RestStop</t>
  </si>
  <si>
    <t>replayClearJewels_RestStop</t>
  </si>
  <si>
    <t>coinPickupRadius_HighWay</t>
  </si>
  <si>
    <t>coinPickupRadius_RestStop</t>
  </si>
  <si>
    <t>highwayOncomingWarning</t>
  </si>
  <si>
    <t>highwayOncomingSpeed</t>
  </si>
  <si>
    <t>highwayOncomingDamage</t>
  </si>
  <si>
    <t>highwayBypassHeal</t>
  </si>
  <si>
    <t>reststopHoldoutSeconds</t>
  </si>
  <si>
    <t>reststopPoliceHealth</t>
  </si>
  <si>
    <t>reststopPoliceSpeed</t>
  </si>
  <si>
    <t>reststopPoliceInterval</t>
  </si>
  <si>
    <t>reststopHoldoutHeal</t>
  </si>
  <si>
    <t>보너스 선택25 : 적50 : 기믹25. 공격력·체력·드롭·코인보상은 이 표가 최종 기준입니다.</t>
  </si>
  <si>
    <t>맵</t>
  </si>
  <si>
    <t>배치ID</t>
  </si>
  <si>
    <t>사용</t>
  </si>
  <si>
    <t>이벤트</t>
  </si>
  <si>
    <t>이동속도</t>
  </si>
  <si>
    <t>이동거리</t>
  </si>
  <si>
    <t>발동앞거리</t>
  </si>
  <si>
    <t>발사준비초</t>
  </si>
  <si>
    <t>투사체속도</t>
  </si>
  <si>
    <t>설명</t>
  </si>
  <si>
    <t>타입</t>
  </si>
  <si>
    <t>체력증가율</t>
  </si>
  <si>
    <t>보너스드롭</t>
  </si>
  <si>
    <t>코인보상</t>
  </si>
  <si>
    <t>Noryangjin_MapTool_Mode_SR18</t>
  </si>
  <si>
    <t>SR18_L_E01_T005_Enemy_OldMan</t>
  </si>
  <si>
    <t>이동 후 공격</t>
  </si>
  <si>
    <t>공격력·체력은 밸런스 조정 시트에서 계산.</t>
  </si>
  <si>
    <t>SR18_L_E01_T005_Enemy_OldMan_Right</t>
  </si>
  <si>
    <t>공격 한 번</t>
  </si>
  <si>
    <t>왼쪽 적보다 체력 15% 증가. 접근 시차를 두고 발동.</t>
  </si>
  <si>
    <t>SR18_L_E02_T017_Enemy_OldMan</t>
  </si>
  <si>
    <t>공격 반복</t>
  </si>
  <si>
    <t>SR18_L_E02_T017_Enemy_OldMan_Right</t>
  </si>
  <si>
    <t>SR18_L_E03_T029_Enemy_YllowMan_Sword</t>
  </si>
  <si>
    <t>왕복</t>
  </si>
  <si>
    <t>SR18_L_E03_T029_Enemy_YllowMan_Sword_Right</t>
  </si>
  <si>
    <t>SR18_L_E04_T041_Enemy_OldMan</t>
  </si>
  <si>
    <t>SR18_L_E04_T041_Enemy_OldMan_Right</t>
  </si>
  <si>
    <t>SR18_L_E05_T053_Enemy_Guard</t>
  </si>
  <si>
    <t>전방 매복 사격</t>
  </si>
  <si>
    <t>SR18_L_E05_T053_Enemy_Guard_Right</t>
  </si>
  <si>
    <t>SR18_L_E06_T065_Enemy_YllowMan_Net</t>
  </si>
  <si>
    <t>SR18_L_E06_T065_Enemy_YllowMan_Net_Right</t>
  </si>
  <si>
    <t>SR18_L_E07_T077_Enemy_YllowMan_Sword</t>
  </si>
  <si>
    <t>SR18_L_E07_T077_Enemy_YllowMan_Sword_Right</t>
  </si>
  <si>
    <t>SR18_L_E08_T089_Enemy_FatMan</t>
  </si>
  <si>
    <t>사격</t>
  </si>
  <si>
    <t>SR18_L_E08_T089_Enemy_FatMan_Right</t>
  </si>
  <si>
    <t>SR18_L_E09_T101_Enemy_YllowMan_Net</t>
  </si>
  <si>
    <t>SR18_L_E09_T101_Enemy_YllowMan_Net_Right</t>
  </si>
  <si>
    <t>SR18_L_E10_T113_Enemy_YllowMan_Sword</t>
  </si>
  <si>
    <t>SR18_L_E10_T113_Enemy_YllowMan_Sword_Right</t>
  </si>
  <si>
    <t>SR18_L_E11_T125_Enemy_OldMan</t>
  </si>
  <si>
    <t>SR18_L_E11_T125_Enemy_OldMan_Right</t>
  </si>
  <si>
    <t>SR18_L_E12_T137_Enemy_FatMan</t>
  </si>
  <si>
    <t>SR18_L_E12_T137_Enemy_FatMan_Right</t>
  </si>
  <si>
    <t>SR18_L_E13_T149_Enemy_OldMan</t>
  </si>
  <si>
    <t>SR18_L_E13_T149_Enemy_OldMan_Right</t>
  </si>
  <si>
    <t>SR18_L_E14_T165_Enemy_OldMan</t>
  </si>
  <si>
    <t>SR18_L_E14_T165_Enemy_OldMan_Right</t>
  </si>
  <si>
    <t>SR18_L_E15_T173_Enemy_YllowMan_Sword</t>
  </si>
  <si>
    <t>SR18_L_E15_T173_Enemy_YllowMan_Sword_Right</t>
  </si>
  <si>
    <t>SR18_L_E16_T185_Enemy_OldMan</t>
  </si>
  <si>
    <t>SR18_L_E16_T185_Enemy_OldMan_Right</t>
  </si>
  <si>
    <t>SR18_L_E17_T197_Enemy_Guard</t>
  </si>
  <si>
    <t>SR18_L_E17_T197_Enemy_Guard_Right</t>
  </si>
  <si>
    <t>SR18_L_E18_T209_Enemy_YllowMan_Net</t>
  </si>
  <si>
    <t>SR18_L_E18_T209_Enemy_YllowMan_Net_Right</t>
  </si>
  <si>
    <t>SR18_L_E19_T221_Enemy_YllowMan_Sword</t>
  </si>
  <si>
    <t>SR18_L_E19_T221_Enemy_YllowMan_Sword_Right</t>
  </si>
  <si>
    <t>SR18_L_E20_T233_Enemy_OldMan</t>
  </si>
  <si>
    <t>SR18_L_E20_T233_Enemy_OldMan_Right</t>
  </si>
  <si>
    <t>SR18_L_E21_T245_Enemy_YllowMan_Net</t>
  </si>
  <si>
    <t>SR18_L_E21_T245_Enemy_YllowMan_Net_Right</t>
  </si>
  <si>
    <t>SR18_L_E22_T257_Enemy_OldMan</t>
  </si>
  <si>
    <t>SR18_L_E22_T257_Enemy_OldMan_Right</t>
  </si>
  <si>
    <t>SR18_L_E23_T273_Enemy_OldMan</t>
  </si>
  <si>
    <t>SR18_L_E23_T273_Enemy_OldMan_Right</t>
  </si>
  <si>
    <t>SR18_L_E24_T281_Enemy_FatMan</t>
  </si>
  <si>
    <t>SR18_L_E24_T281_Enemy_FatMan_Right</t>
  </si>
  <si>
    <t>SR18_L_E25_T293_Enemy_Woman</t>
  </si>
  <si>
    <t>SR18_L_E25_T293_Enemy_Woman_Right</t>
  </si>
  <si>
    <t>HighWay</t>
  </si>
  <si>
    <t>HWY_E01_ConeMechanic</t>
  </si>
  <si>
    <t>HWY_E01_ConeMechanic_Right</t>
  </si>
  <si>
    <t>HWY_E02_TrafficPatrol</t>
  </si>
  <si>
    <t>HWY_E02_TrafficPatrol_Right</t>
  </si>
  <si>
    <t>HWY_E03_TollgateChief</t>
  </si>
  <si>
    <t>HWY_E03_TollgateChief_Right</t>
  </si>
  <si>
    <t>HWY_E04_TireBruiser</t>
  </si>
  <si>
    <t>HWY_E04_TireBruiser_Right</t>
  </si>
  <si>
    <t>HWY_E05_AsphaltWorker</t>
  </si>
  <si>
    <t>HWY_E05_AsphaltWorker_Right</t>
  </si>
  <si>
    <t>HWY_E06_DeliveryRider</t>
  </si>
  <si>
    <t>HWY_E06_DeliveryRider_Right</t>
  </si>
  <si>
    <t>HWY_E07_ConeMechanic</t>
  </si>
  <si>
    <t>HWY_E07_ConeMechanic_Right</t>
  </si>
  <si>
    <t>HWY_E08_TrafficPatrol</t>
  </si>
  <si>
    <t>HWY_E08_TrafficPatrol_Right</t>
  </si>
  <si>
    <t>HWY_E09_TollgateChief</t>
  </si>
  <si>
    <t>HWY_E09_TollgateChief_Right</t>
  </si>
  <si>
    <t>HWY_E10_TireBruiser</t>
  </si>
  <si>
    <t>HWY_E10_TireBruiser_Right</t>
  </si>
  <si>
    <t>HWY_E11_AsphaltWorker</t>
  </si>
  <si>
    <t>HWY_E11_AsphaltWorker_Right</t>
  </si>
  <si>
    <t>HWY_E12_DeliveryRider</t>
  </si>
  <si>
    <t>HWY_E12_DeliveryRider_Right</t>
  </si>
  <si>
    <t>HWY_E13_ConeMechanic</t>
  </si>
  <si>
    <t>HWY_E13_ConeMechanic_Right</t>
  </si>
  <si>
    <t>HWY_E14_TrafficPatrol</t>
  </si>
  <si>
    <t>HWY_E14_TrafficPatrol_Right</t>
  </si>
  <si>
    <t>HWY_E15_TollgateChief</t>
  </si>
  <si>
    <t>HWY_E15_TollgateChief_Right</t>
  </si>
  <si>
    <t>HWY_E16_TireBruiser</t>
  </si>
  <si>
    <t>HWY_E16_TireBruiser_Right</t>
  </si>
  <si>
    <t>HWY_E17_AsphaltWorker</t>
  </si>
  <si>
    <t>HWY_E17_AsphaltWorker_Right</t>
  </si>
  <si>
    <t>HWY_E18_DeliveryRider</t>
  </si>
  <si>
    <t>HWY_E18_DeliveryRider_Right</t>
  </si>
  <si>
    <t>HWY_E19_ConeMechanic</t>
  </si>
  <si>
    <t>HWY_E19_ConeMechanic_Right</t>
  </si>
  <si>
    <t>HWY_E20_TrafficPatrol</t>
  </si>
  <si>
    <t>HWY_E20_TrafficPatrol_Right</t>
  </si>
  <si>
    <t>HWY_E21_TollgateChief</t>
  </si>
  <si>
    <t>HWY_E21_TollgateChief_Right</t>
  </si>
  <si>
    <t>HWY_E22_TireBruiser</t>
  </si>
  <si>
    <t>HWY_E22_TireBruiser_Right</t>
  </si>
  <si>
    <t>HWY_AddedLeader_1</t>
  </si>
  <si>
    <t>HWY_AddedLeader_1_Right</t>
  </si>
  <si>
    <t>HWY_AddedLeader_2</t>
  </si>
  <si>
    <t>HWY_AddedLeader_2_Right</t>
  </si>
  <si>
    <t>HWY_E23_TollgateChief</t>
  </si>
  <si>
    <t>HWY_E23_TollgateChief_Right</t>
  </si>
  <si>
    <t>RestStop</t>
  </si>
  <si>
    <t>RST_E01_ParkingMarshal</t>
  </si>
  <si>
    <t>안전 통로가 좌우로 번갈아 바뀌는 배치</t>
  </si>
  <si>
    <t>RST_E01_ParkingMarshal_Right</t>
  </si>
  <si>
    <t>RST_E02_SnackChef</t>
  </si>
  <si>
    <t>RST_E02_SnackChef_Right</t>
  </si>
  <si>
    <t>RST_E03_CoffeeVendor</t>
  </si>
  <si>
    <t>RST_E03_CoffeeVendor_Right</t>
  </si>
  <si>
    <t>RST_E04_DeliveryRider</t>
  </si>
  <si>
    <t>RST_E04_DeliveryRider_Right</t>
  </si>
  <si>
    <t>RST_E05_TireBruiser</t>
  </si>
  <si>
    <t>RST_E05_TireBruiser_Right</t>
  </si>
  <si>
    <t>RST_E06_ParkingMarshal</t>
  </si>
  <si>
    <t>RST_E06_ParkingMarshal_Right</t>
  </si>
  <si>
    <t>RST_E07_SnackChef</t>
  </si>
  <si>
    <t>RST_E07_SnackChef_Right</t>
  </si>
  <si>
    <t>RST_E08_CoffeeVendor</t>
  </si>
  <si>
    <t>RST_E08_CoffeeVendor_Right</t>
  </si>
  <si>
    <t>RST_E09_DeliveryRider</t>
  </si>
  <si>
    <t>RST_E09_DeliveryRider_Right</t>
  </si>
  <si>
    <t>RST_E10_TireBruiser</t>
  </si>
  <si>
    <t>RST_E10_TireBruiser_Right</t>
  </si>
  <si>
    <t>RST_E11_ParkingMarshal</t>
  </si>
  <si>
    <t>RST_E11_ParkingMarshal_Right</t>
  </si>
  <si>
    <t>RST_E12_SnackChef</t>
  </si>
  <si>
    <t>RST_E12_SnackChef_Right</t>
  </si>
  <si>
    <t>RST_E13_CoffeeVendor</t>
  </si>
  <si>
    <t>RST_E13_CoffeeVendor_Right</t>
  </si>
  <si>
    <t>RST_E14_DeliveryRider</t>
  </si>
  <si>
    <t>RST_E14_DeliveryRider_Right</t>
  </si>
  <si>
    <t>RST_E15_TireBruiser</t>
  </si>
  <si>
    <t>RST_E15_TireBruiser_Right</t>
  </si>
  <si>
    <t>RST_E16_ParkingMarshal</t>
  </si>
  <si>
    <t>RST_E16_ParkingMarshal_Right</t>
  </si>
  <si>
    <t>RST_E17_SnackChef</t>
  </si>
  <si>
    <t>RST_E17_SnackChef_Right</t>
  </si>
  <si>
    <t>RST_E18_CoffeeVendor</t>
  </si>
  <si>
    <t>RST_E18_CoffeeVendor_Right</t>
  </si>
  <si>
    <t>RST_E19_DeliveryRider</t>
  </si>
  <si>
    <t>RST_E19_DeliveryRider_Right</t>
  </si>
  <si>
    <t>RST_E20_TireBruiser</t>
  </si>
  <si>
    <t>RST_E20_TireBruiser_Right</t>
  </si>
  <si>
    <t>RST_E21_ParkingMarshal</t>
  </si>
  <si>
    <t>RST_E21_ParkingMarshal_Right</t>
  </si>
  <si>
    <t>RST_E22_SnackChef</t>
  </si>
  <si>
    <t>RST_E22_SnackChef_Right</t>
  </si>
  <si>
    <t>RST_E23_CoffeeVendor</t>
  </si>
  <si>
    <t>RST_E23_CoffeeVendor_Right</t>
  </si>
  <si>
    <t>RST_E24_DeliveryRider</t>
  </si>
  <si>
    <t>RST_E24_DeliveryRider_Right</t>
  </si>
  <si>
    <t>RST_E25_TireBruiser</t>
  </si>
  <si>
    <t>RST_E25_TireBruiser_Right</t>
  </si>
  <si>
    <t>값을 저장한 뒤 다음 Play부터 적용됩니다. 사용: 1=배치 유지, 0=숨김. 맵·배치ID·기믹종류는 연결용입니다.</t>
  </si>
  <si>
    <t>등급</t>
  </si>
  <si>
    <t>SR18_L_B01_T009</t>
  </si>
  <si>
    <t>효과·최소·최대 수치: 보너스 시트</t>
  </si>
  <si>
    <t>SR18_L_B02_T021</t>
  </si>
  <si>
    <t>SR18_L_B03_T033</t>
  </si>
  <si>
    <t>SR18_L_B04_T045</t>
  </si>
  <si>
    <t>SR18_L_B05_T057</t>
  </si>
  <si>
    <t>SR18_L_B06_T069</t>
  </si>
  <si>
    <t>SR18_L_B07_T081</t>
  </si>
  <si>
    <t>SR18_L_B08_T093</t>
  </si>
  <si>
    <t>SR18_L_B09_T105</t>
  </si>
  <si>
    <t>SR18_L_B10_T117</t>
  </si>
  <si>
    <t>SR18_L_B11_T129</t>
  </si>
  <si>
    <t>SR18_L_B12_T141</t>
  </si>
  <si>
    <t>SR18_L_B13_T153</t>
  </si>
  <si>
    <t>SR18_L_B14_T161</t>
  </si>
  <si>
    <t>SR18_L_B15_T177</t>
  </si>
  <si>
    <t>SR18_L_B16_T189</t>
  </si>
  <si>
    <t>SR18_L_B17_T201</t>
  </si>
  <si>
    <t>SR18_L_B18_T213</t>
  </si>
  <si>
    <t>SR18_L_B19_T225</t>
  </si>
  <si>
    <t>SR18_L_B20_T237</t>
  </si>
  <si>
    <t>SR18_L_B21_T249</t>
  </si>
  <si>
    <t>SR18_L_B22_T261</t>
  </si>
  <si>
    <t>SR18_L_B23_T269</t>
  </si>
  <si>
    <t>SR18_L_B24_T285</t>
  </si>
  <si>
    <t>SR18_L_B25_T297</t>
  </si>
  <si>
    <t>HWY_B01</t>
  </si>
  <si>
    <t>좌우 한 묶음에서 한 번만 선택.</t>
  </si>
  <si>
    <t>HWY_B02</t>
  </si>
  <si>
    <t>HWY_B03</t>
  </si>
  <si>
    <t>HWY_B04</t>
  </si>
  <si>
    <t>HWY_B05</t>
  </si>
  <si>
    <t>HWY_B06</t>
  </si>
  <si>
    <t>HWY_B07</t>
  </si>
  <si>
    <t>HWY_B08</t>
  </si>
  <si>
    <t>HWY_B09</t>
  </si>
  <si>
    <t>HWY_B10</t>
  </si>
  <si>
    <t>HWY_B11</t>
  </si>
  <si>
    <t>HWY_B12</t>
  </si>
  <si>
    <t>HWY_B13</t>
  </si>
  <si>
    <t>HWY_B14</t>
  </si>
  <si>
    <t>HWY_B15</t>
  </si>
  <si>
    <t>HWY_B16</t>
  </si>
  <si>
    <t>HWY_B17</t>
  </si>
  <si>
    <t>HWY_B18</t>
  </si>
  <si>
    <t>HWY_B19</t>
  </si>
  <si>
    <t>HWY_B20</t>
  </si>
  <si>
    <t>HWY_B21</t>
  </si>
  <si>
    <t>HWY_B22</t>
  </si>
  <si>
    <t>HWY_B23</t>
  </si>
  <si>
    <t>HWY_B24</t>
  </si>
  <si>
    <t>HWY_B25</t>
  </si>
  <si>
    <t>RST_B01</t>
  </si>
  <si>
    <t>좌우 중 하나 선택</t>
  </si>
  <si>
    <t>RST_B02</t>
  </si>
  <si>
    <t>RST_B03</t>
  </si>
  <si>
    <t>RST_B04</t>
  </si>
  <si>
    <t>RST_B05</t>
  </si>
  <si>
    <t>RST_B06</t>
  </si>
  <si>
    <t>RST_B07</t>
  </si>
  <si>
    <t>RST_B08</t>
  </si>
  <si>
    <t>RST_B09</t>
  </si>
  <si>
    <t>RST_B10</t>
  </si>
  <si>
    <t>RST_B11</t>
  </si>
  <si>
    <t>RST_B12</t>
  </si>
  <si>
    <t>RST_B13</t>
  </si>
  <si>
    <t>RST_B14</t>
  </si>
  <si>
    <t>RST_B15</t>
  </si>
  <si>
    <t>RST_B16</t>
  </si>
  <si>
    <t>RST_B17</t>
  </si>
  <si>
    <t>RST_B18</t>
  </si>
  <si>
    <t>RST_B19</t>
  </si>
  <si>
    <t>RST_B20</t>
  </si>
  <si>
    <t>RST_B21</t>
  </si>
  <si>
    <t>RST_B22</t>
  </si>
  <si>
    <t>RST_B23</t>
  </si>
  <si>
    <t>RST_B24</t>
  </si>
  <si>
    <t>RST_B25</t>
  </si>
  <si>
    <t>기믹종류</t>
  </si>
  <si>
    <t>효과값</t>
  </si>
  <si>
    <t>내구도</t>
  </si>
  <si>
    <t>예고초</t>
  </si>
  <si>
    <t>작동초</t>
  </si>
  <si>
    <t>이동폭</t>
  </si>
  <si>
    <t>SR18_L_G01_T013_Bucket</t>
  </si>
  <si>
    <t>3개 묶음 전체에 적용. 효과값: 바구니별 사격 금지 시간(초).</t>
  </si>
  <si>
    <t>SR18_L_G02_T025_Light</t>
  </si>
  <si>
    <t>효과값: 접촉 피해량. 기믹종류는 모델 확인용.</t>
  </si>
  <si>
    <t>SR18_L_G03_T037_Hole</t>
  </si>
  <si>
    <t>파손된 판자 · 피해80, 생존하면 전진 유지</t>
  </si>
  <si>
    <t>SR18_L_G04_T049_Bucket</t>
  </si>
  <si>
    <t>SR18_L_G05_T061_Light</t>
  </si>
  <si>
    <t>SR18_L_G06_T073_Hole</t>
  </si>
  <si>
    <t>SR18_L_G07_T085_Bucket</t>
  </si>
  <si>
    <t>SR18_L_G08_T097_Oldman</t>
  </si>
  <si>
    <t>노에 닿으면 피해를 받고 모델만 회전. 진행과 카메라 유지.</t>
  </si>
  <si>
    <t>SR18_L_G09_T109_Hole</t>
  </si>
  <si>
    <t>SR18_L_G10_T121_Oil</t>
  </si>
  <si>
    <t>잠시 좌우 조작 감소. 진행 방향과 사격 유지.</t>
  </si>
  <si>
    <t>SR18_L_G11_T133_Light</t>
  </si>
  <si>
    <t>SR18_L_G12_T145_Hole</t>
  </si>
  <si>
    <t>SR18_L_G13_T157_Bucket</t>
  </si>
  <si>
    <t>SR18_L_G14_T169_Light</t>
  </si>
  <si>
    <t>SR18_L_G15_T181_Bucket</t>
  </si>
  <si>
    <t>SR18_L_G16_T193_Seagull</t>
  </si>
  <si>
    <t>그림자 예고 후 갈매기 급강하</t>
  </si>
  <si>
    <t>SR18_L_G17_T205_Dolphin</t>
  </si>
  <si>
    <t>물가 점프 높이(m). 접촉 피해 없음.</t>
  </si>
  <si>
    <t>SR18_L_G18_T217_Hole</t>
  </si>
  <si>
    <t>SR18_L_G19_T229_Oil</t>
  </si>
  <si>
    <t>SR18_L_G20_T241_Light</t>
  </si>
  <si>
    <t>SR18_L_G21_T253_Hole</t>
  </si>
  <si>
    <t>SR18_L_G22_T265_Bucket</t>
  </si>
  <si>
    <t>SR18_L_G23_T277_Light</t>
  </si>
  <si>
    <t>SR18_L_G24_T289_Hole</t>
  </si>
  <si>
    <t>SR18_Polish_Ship_2</t>
  </si>
  <si>
    <t>해안에서 진행로를 향한 포격</t>
  </si>
  <si>
    <t>HWY_G01_Roadblock</t>
  </si>
  <si>
    <t>HighwayRoadblock</t>
  </si>
  <si>
    <t>예고와 진행 간격을 확보한 고속도로 장애물</t>
  </si>
  <si>
    <t>HWY_G02_Roadblock</t>
  </si>
  <si>
    <t>HWY_G03_Roadblock</t>
  </si>
  <si>
    <t>HWY_G04_Roadblock</t>
  </si>
  <si>
    <t>HWY_G05_Roadblock</t>
  </si>
  <si>
    <t>HWY_G06_Roadblock</t>
  </si>
  <si>
    <t>HWY_G07_Roadblock</t>
  </si>
  <si>
    <t>HWY_G08_Roadblock</t>
  </si>
  <si>
    <t>HWY_G09_Roadblock</t>
  </si>
  <si>
    <t>HWY_G10_Roadblock</t>
  </si>
  <si>
    <t>HWY_G11_Roadblock</t>
  </si>
  <si>
    <t>HWY_G12_Roadblock</t>
  </si>
  <si>
    <t>HWY_G13_Roadblock</t>
  </si>
  <si>
    <t>HWY_G14_Roadblock</t>
  </si>
  <si>
    <t>HWY_G15_Traffic</t>
  </si>
  <si>
    <t>HighwayTraffic</t>
  </si>
  <si>
    <t>HWY_TollStation_1</t>
  </si>
  <si>
    <t>HighwayToll</t>
  </si>
  <si>
    <t>3차선 한 묶음. 모든 차선에 공통 주기 적용.</t>
  </si>
  <si>
    <t>HWY_G16_Traffic</t>
  </si>
  <si>
    <t>HWY_G17_Traffic</t>
  </si>
  <si>
    <t>HWY_TollStation_2</t>
  </si>
  <si>
    <t>HWY_G18_Traffic</t>
  </si>
  <si>
    <t>HWY_G19_Traffic</t>
  </si>
  <si>
    <t>HWY_TollStation_3</t>
  </si>
  <si>
    <t>HWY_G20_Traffic</t>
  </si>
  <si>
    <t>HWY_AddedRoadblock_1</t>
  </si>
  <si>
    <t>HWY_AddedRoadblock_2</t>
  </si>
  <si>
    <t>RST_G01</t>
  </si>
  <si>
    <t>정비용 안전 바리케이드</t>
  </si>
  <si>
    <t>RST_G02</t>
  </si>
  <si>
    <t>주차장에서 나오는 차량</t>
  </si>
  <si>
    <t>RST_G03</t>
  </si>
  <si>
    <t>RST_G04</t>
  </si>
  <si>
    <t>주차장 차단기</t>
  </si>
  <si>
    <t>RST_G05</t>
  </si>
  <si>
    <t>RST_G06</t>
  </si>
  <si>
    <t>RST_G07</t>
  </si>
  <si>
    <t>RST_G08</t>
  </si>
  <si>
    <t>RST_G09</t>
  </si>
  <si>
    <t>RST_G10</t>
  </si>
  <si>
    <t>RST_G11</t>
  </si>
  <si>
    <t>RST_G12</t>
  </si>
  <si>
    <t>RST_G13</t>
  </si>
  <si>
    <t>RST_G14</t>
  </si>
  <si>
    <t>RST_G15</t>
  </si>
  <si>
    <t>RST_G16</t>
  </si>
  <si>
    <t>RST_G17</t>
  </si>
  <si>
    <t>RST_G18</t>
  </si>
  <si>
    <t>RST_G19</t>
  </si>
  <si>
    <t>RST_G20</t>
  </si>
  <si>
    <t>RST_G21</t>
  </si>
  <si>
    <t>RST_G22</t>
  </si>
  <si>
    <t>RST_G23</t>
  </si>
  <si>
    <t>RST_G24</t>
  </si>
  <si>
    <t>RST_G25</t>
  </si>
  <si>
    <t>노량진 성장과 구매 비용</t>
  </si>
  <si>
    <t>기본값</t>
  </si>
  <si>
    <t>레벨당 증가</t>
  </si>
  <si>
    <t>첫 가격</t>
  </si>
  <si>
    <t>가격 증가</t>
  </si>
  <si>
    <t>적 성장 기준</t>
  </si>
  <si>
    <t>값</t>
  </si>
  <si>
    <t>첫 일반 공격력</t>
  </si>
  <si>
    <t>첫 일반 체력</t>
  </si>
  <si>
    <t>일반 공격력 증가율</t>
  </si>
  <si>
    <t>일반 체력 증가율</t>
  </si>
  <si>
    <t>엘리트 공격력 배수</t>
  </si>
  <si>
    <t>엘리트 체력 배수</t>
  </si>
  <si>
    <t>보스 공격력 배수</t>
  </si>
  <si>
    <t>보스 체력 배수</t>
  </si>
  <si>
    <t>두 번째 일반 적 체력</t>
  </si>
  <si>
    <t>첫 성장 벽 체력</t>
  </si>
  <si>
    <t>약 20회 도전 목표. 첫 도전 약 30초, 실제 획득 코인과 업그레이드 구매로 진행을 검증.</t>
  </si>
  <si>
    <t>고속도로 전투와 기믹</t>
  </si>
  <si>
    <t>투사체 기본 피해</t>
  </si>
  <si>
    <t>첫 전투 기준</t>
  </si>
  <si>
    <t>공격력 증가율</t>
  </si>
  <si>
    <t>배치 순서마다 증가</t>
  </si>
  <si>
    <t>체력 증가율</t>
  </si>
  <si>
    <t>일반 성장값에 적용</t>
  </si>
  <si>
    <t>마지막 대장에 적용</t>
  </si>
  <si>
    <t>도로 장애물 피해</t>
  </si>
  <si>
    <t>충돌 시 피해</t>
  </si>
  <si>
    <t>차량 충돌 피해</t>
  </si>
  <si>
    <t>횡단 차량의 피해</t>
  </si>
  <si>
    <t>차단기 충돌 피해</t>
  </si>
  <si>
    <t>닫힌 차단기의 피해</t>
  </si>
  <si>
    <t>장애물 내구도</t>
  </si>
  <si>
    <t>사격으로 부술 수 있음</t>
  </si>
  <si>
    <t>차량 예고 시간</t>
  </si>
  <si>
    <t>움직이기 전 경고(초)</t>
  </si>
  <si>
    <t>차량 통과 시간</t>
  </si>
  <si>
    <t>차선 횡단 시간(초)</t>
  </si>
  <si>
    <t>차단기 주기</t>
  </si>
  <si>
    <t>다음 통로 전환(초)</t>
  </si>
  <si>
    <t>차량 이동 폭</t>
  </si>
  <si>
    <t>좌우 횡단 거리</t>
  </si>
  <si>
    <t>노량진 추가 기믹</t>
  </si>
  <si>
    <t>기름 웅덩이 지속 시간</t>
  </si>
  <si>
    <t>조작 감도 55%, 중첩 없음</t>
  </si>
  <si>
    <t>갈매기 급강하 피해</t>
  </si>
  <si>
    <t>그림자를 보고 회피</t>
  </si>
  <si>
    <t>해안 배 포격 피해</t>
  </si>
  <si>
    <t>물가에서 진행로를 조준</t>
  </si>
  <si>
    <t>챕터 진행과 배치</t>
  </si>
  <si>
    <t>첫 도전 목표(초)</t>
  </si>
  <si>
    <t>새 진행 기준</t>
  </si>
  <si>
    <t>도전당 목표 증가(초)</t>
  </si>
  <si>
    <t>조작·보너스에 따른 편차</t>
  </si>
  <si>
    <t>첫 클리어 목표(판)</t>
  </si>
  <si>
    <t>챕터별 목표, 실제 도전 횟수는 조작과 구매에 따라 달라짐</t>
  </si>
  <si>
    <t>노량진 완주 목표(초)</t>
  </si>
  <si>
    <t>길이·속도로 결정</t>
  </si>
  <si>
    <t>고속도로 완주 목표(초)</t>
  </si>
  <si>
    <t>노량진 전진 속도</t>
  </si>
  <si>
    <t>월드 유닛/초</t>
  </si>
  <si>
    <t>고속도로 전진 속도</t>
  </si>
  <si>
    <t>보너스 선택 묶음</t>
  </si>
  <si>
    <t>좌우 선택지 한 쌍</t>
  </si>
  <si>
    <t>적 개체</t>
  </si>
  <si>
    <t>두 명씩25구간</t>
  </si>
  <si>
    <t>기믹 구간</t>
  </si>
  <si>
    <t>양동이·차선 묶음 단위</t>
  </si>
  <si>
    <t>적 처치 보너스 드롭</t>
  </si>
  <si>
    <t>0: 끔 / 1: 켬</t>
  </si>
  <si>
    <t>일반 적 코인 보상</t>
  </si>
  <si>
    <t>엘리트2배, 보스5배</t>
  </si>
  <si>
    <t>HP 후반 성장 계수</t>
  </si>
  <si>
    <t>레벨 × (레벨−1)</t>
  </si>
  <si>
    <t>노꾼 노 피격 피해</t>
  </si>
  <si>
    <t>모델 회전과 피해</t>
  </si>
  <si>
    <t>돌고래 점프 높이</t>
  </si>
  <si>
    <t>물가 연출, 피해 없음</t>
  </si>
  <si>
    <t>후반 강화 가격 계수</t>
  </si>
  <si>
    <t>4레벨 이후 가격 증가</t>
  </si>
  <si>
    <t>휴게소 전투와 성장</t>
  </si>
  <si>
    <t>챕터별 성장 목표</t>
  </si>
  <si>
    <t>고속도로 후반에서 이어지는 투사체 피해</t>
  </si>
  <si>
    <t>도전 목표</t>
  </si>
  <si>
    <t>누적 도전</t>
  </si>
  <si>
    <t>체력 레벨</t>
  </si>
  <si>
    <t>공격 레벨</t>
  </si>
  <si>
    <t>일반 코인</t>
  </si>
  <si>
    <t>완주 초</t>
  </si>
  <si>
    <t>첫 완주 보석</t>
  </si>
  <si>
    <t>고속도로 후반 일반 적 체력에 맞춘 진입 기준</t>
  </si>
  <si>
    <t>노량진</t>
  </si>
  <si>
    <t>구간 순서마다 증가</t>
  </si>
  <si>
    <t>고속도로</t>
  </si>
  <si>
    <t>휴게소</t>
  </si>
  <si>
    <t>챕터4</t>
  </si>
  <si>
    <t>챕터5</t>
  </si>
  <si>
    <t>마지막 구간에 적용</t>
  </si>
  <si>
    <t>4·5챕터 수치는 후속 씬의 설계 기준입니다.</t>
  </si>
  <si>
    <t>정비 바리케이드 피해</t>
  </si>
  <si>
    <t>출차 차량 피해</t>
  </si>
  <si>
    <t>예고 후 차량 횡단</t>
  </si>
  <si>
    <t>주차 차단기 피해</t>
  </si>
  <si>
    <t>닫힌 통로에 부딪힌 피해</t>
  </si>
  <si>
    <t>바리케이드 내구도</t>
  </si>
  <si>
    <t>사격으로 파괴 가능</t>
  </si>
  <si>
    <t>출차 예고 시간</t>
  </si>
  <si>
    <t>초</t>
  </si>
  <si>
    <t>차량 횡단 시간</t>
  </si>
  <si>
    <t>차단기 전환 주기</t>
  </si>
  <si>
    <t>월드 유닛</t>
  </si>
  <si>
    <t>휴게소 전진 속도</t>
  </si>
  <si>
    <t>전진 약269초 + 식당 방어전30초</t>
  </si>
  <si>
    <t>휴게소 완주 목표</t>
  </si>
  <si>
    <t>휴게소 일반 적 코인</t>
  </si>
  <si>
    <t>완주 반복 검증으로 조정, 엘리트2배/보스5배</t>
  </si>
  <si>
    <t>고속도로 일반 적 코인</t>
  </si>
  <si>
    <t>2챕터 강화 비용 반영, 엘리트2배/보스5배</t>
  </si>
  <si>
    <t>공격력 최대 레벨</t>
  </si>
  <si>
    <t>강화 표에서 계산</t>
  </si>
  <si>
    <t>체력 최대 레벨</t>
  </si>
  <si>
    <t>회복 후반 성장 계수</t>
  </si>
  <si>
    <t>레벨 × (레벨−1), 초당 회복량</t>
  </si>
  <si>
    <t>진행 보상 간격</t>
  </si>
  <si>
    <t>완료한 구간마다 계산(초)</t>
  </si>
  <si>
    <t>고속도로 진행 코인</t>
  </si>
  <si>
    <t>한 구간을 진행한 기본 보상</t>
  </si>
  <si>
    <t>휴게소 진행 코인</t>
  </si>
  <si>
    <t>진행 보상 최대 구간</t>
  </si>
  <si>
    <t>300초 완주 기준</t>
  </si>
  <si>
    <t>노량진 진행 코인</t>
  </si>
  <si>
    <t>기존 처치 보상 유지</t>
  </si>
  <si>
    <t>노량진 첫 완주 보석</t>
  </si>
  <si>
    <t>스킨 구매를 위한 첫 완주 보상</t>
  </si>
  <si>
    <t>노량진 재완주 보석</t>
  </si>
  <si>
    <t>같은 챕터를 다시 완주한 보상</t>
  </si>
  <si>
    <t>고속도로 첫 완주 보석</t>
  </si>
  <si>
    <t>챕터별 첫 지급 여부를 저장</t>
  </si>
  <si>
    <t>고속도로 재완주 보석</t>
  </si>
  <si>
    <t>한 번의 완주에 한 번 지급</t>
  </si>
  <si>
    <t>휴게소 첫 완주 보석</t>
  </si>
  <si>
    <t>광고 없이 스킨 구매 가능</t>
  </si>
  <si>
    <t>휴게소 재완주 보석</t>
  </si>
  <si>
    <t>반복 완주의 추가 보상</t>
  </si>
  <si>
    <t>고속도로 코인 수집 범위</t>
  </si>
  <si>
    <t>넓은 차선에서 회피하며 처치 보상 수집</t>
  </si>
  <si>
    <t>휴게소 코인 수집 범위</t>
  </si>
  <si>
    <t>월드 유닛, 높이 차가 큰 층간 수집 제외</t>
  </si>
  <si>
    <t>고속도로 분기와 식당 방어전</t>
  </si>
  <si>
    <t>정면 차량 경고 시간</t>
  </si>
  <si>
    <t>초, 경고한 차로로만 접근</t>
  </si>
  <si>
    <t>정면 차량 속도</t>
  </si>
  <si>
    <t>정면 차량 충돌 피해</t>
  </si>
  <si>
    <t>차량마다 한 번 적용</t>
  </si>
  <si>
    <t>초록 우회로 회복 비율</t>
  </si>
  <si>
    <t>최대 체력 기준, 우회로마다 한 번</t>
  </si>
  <si>
    <t>식당 방어전 시간</t>
  </si>
  <si>
    <t>초, 일시정지 시간 제외</t>
  </si>
  <si>
    <t>식당 경찰 체력</t>
  </si>
  <si>
    <t>접촉 시 남은 체력만큼 피해</t>
  </si>
  <si>
    <t>식당 경찰 이동 속도</t>
  </si>
  <si>
    <t>월드 유닛/초, 마지막 구간 12% 증가</t>
  </si>
  <si>
    <t>식당 경찰 진입 간격</t>
  </si>
  <si>
    <t>초, 마지막 구간 간격 25% 감소</t>
  </si>
  <si>
    <t>식당 탈출 회복 비율</t>
  </si>
  <si>
    <t>최대 체력 기준, 성공 시 한 번</t>
  </si>
  <si>
    <t>상어의 피부·신발·모자. 장착한 세 부위의 효과가 함께 적용됩니다.</t>
  </si>
  <si>
    <t>ID</t>
  </si>
  <si>
    <t>부위</t>
  </si>
  <si>
    <t>가격타입</t>
  </si>
  <si>
    <t>가격</t>
  </si>
  <si>
    <t>비주얼</t>
  </si>
  <si>
    <t>기본</t>
  </si>
  <si>
    <t>효과</t>
  </si>
  <si>
    <t>효과타입</t>
  </si>
  <si>
    <t>skin_original</t>
  </si>
  <si>
    <t>Skin</t>
  </si>
  <si>
    <t>저주받은 상어</t>
  </si>
  <si>
    <t>훔친 신발이 남긴 푸른 저주의 흔적</t>
  </si>
  <si>
    <t>skin_coral</t>
  </si>
  <si>
    <t>벚꽃 상어</t>
  </si>
  <si>
    <t>은은한 분홍빛과 밝은 배색의 상어</t>
  </si>
  <si>
    <t>skin_ice</t>
  </si>
  <si>
    <t>빙하 상어</t>
  </si>
  <si>
    <t>얼음처럼 갈라진 차가운 피부 문양</t>
  </si>
  <si>
    <t>skin_sand</t>
  </si>
  <si>
    <t>오래된 유목</t>
  </si>
  <si>
    <t>오랜 항해를 닮은 나뭇결 문양</t>
  </si>
  <si>
    <t>skin_armor</t>
  </si>
  <si>
    <t>해안 경비대</t>
  </si>
  <si>
    <t>해안 위장무늬와 단단한 인상</t>
  </si>
  <si>
    <t>skin_raider</t>
  </si>
  <si>
    <t>심해 생존자</t>
  </si>
  <si>
    <t>깊은 바다에서 돌아온 거친 피부</t>
  </si>
  <si>
    <t>skin_relic</t>
  </si>
  <si>
    <t>용암의 심장</t>
  </si>
  <si>
    <t>검은 표면 사이로 흐르는 붉은 균열</t>
  </si>
  <si>
    <t>skin_diver</t>
  </si>
  <si>
    <t>네온 잠수부</t>
  </si>
  <si>
    <t>회로와 금속 패널이 이어진 피부</t>
  </si>
  <si>
    <t>shoes_original</t>
  </si>
  <si>
    <t>Shoes</t>
  </si>
  <si>
    <t>푸른 운동화</t>
  </si>
  <si>
    <t>저주의 시작이 된 푸른 운동화</t>
  </si>
  <si>
    <t>shoes_ruby</t>
  </si>
  <si>
    <t>코퍼 하이탑</t>
  </si>
  <si>
    <t>통풍 패널과 구리빛 포인트의 하이탑</t>
  </si>
  <si>
    <t>shoes_mint</t>
  </si>
  <si>
    <t>폴라 부츠</t>
  </si>
  <si>
    <t>퀼팅 원단과 두툼한 방한 칼라</t>
  </si>
  <si>
    <t>shoes_gold</t>
  </si>
  <si>
    <t>선장 로퍼</t>
  </si>
  <si>
    <t>짙은 가죽과 황동 버클의 갑판화</t>
  </si>
  <si>
    <t>shoes_steel</t>
  </si>
  <si>
    <t>강철 워커</t>
  </si>
  <si>
    <t>금속 앞코와 튼튼한 작업용 밑창</t>
  </si>
  <si>
    <t>shoes_spring</t>
  </si>
  <si>
    <t>스프링 러너</t>
  </si>
  <si>
    <t>탄성 프레임을 갖춘 가벼운 러닝화</t>
  </si>
  <si>
    <t>shoes_relic</t>
  </si>
  <si>
    <t>파도 유물화</t>
  </si>
  <si>
    <t>파도 장식과 푸른 보석의 유물 부츠</t>
  </si>
  <si>
    <t>shoes_salvage</t>
  </si>
  <si>
    <t>잠수 작업화</t>
  </si>
  <si>
    <t>잠수 장비를 닮은 단단한 작업화</t>
  </si>
  <si>
    <t>hat_none</t>
  </si>
  <si>
    <t>Hat</t>
  </si>
  <si>
    <t>머리 장비 없음</t>
  </si>
  <si>
    <t>저주만으로도 충분히 무겁다</t>
  </si>
  <si>
    <t>hat_cap</t>
  </si>
  <si>
    <t>항해사 캡</t>
  </si>
  <si>
    <t>항해사의 실용적인 캔버스 캡</t>
  </si>
  <si>
    <t>hat_bucket</t>
  </si>
  <si>
    <t>방수 버킷햇</t>
  </si>
  <si>
    <t>짙은 청록색의 넓은 방수 챙</t>
  </si>
  <si>
    <t>hat_tophat</t>
  </si>
  <si>
    <t>야간 정비사</t>
  </si>
  <si>
    <t>정비 장식이 달린 작업용 톱햇</t>
  </si>
  <si>
    <t>hat_goggles</t>
  </si>
  <si>
    <t>야간 고글</t>
  </si>
  <si>
    <t>황동 프레임과 짙은 렌즈</t>
  </si>
  <si>
    <t>hat_diver</t>
  </si>
  <si>
    <t>황동 잠수모</t>
  </si>
  <si>
    <t>얼굴이 보이는 개방형 황동 잠수모</t>
  </si>
  <si>
    <t>hat_pirate</t>
  </si>
  <si>
    <t>검은 돛 선장모</t>
  </si>
  <si>
    <t>해진 가죽과 나침반 장식의 삼각모</t>
  </si>
  <si>
    <t>hat_relic</t>
  </si>
  <si>
    <t>파도의 관</t>
  </si>
  <si>
    <t>짧은 파도 장식과 터키석의 금빛 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</si>
</sst>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76" formatCode="0.0"/>
    <numFmt numFmtId="177" formatCode="0.##"/>
    <numFmt numFmtId="178" formatCode="0.0%"/>
  </numFmts>
  <fonts count="13">
    <font>
      <sz val="11"/>
      <color theme="1"/>
      <name val="맑은 고딕"/>
    </font>
    <font>
      <sz val="11"/>
      <color rgb="FFCCCCCC"/>
      <name val="Consolas"/>
    </font>
    <font>
      <b/>
      <sz val="11"/>
      <color theme="1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sz val="11"/>
      <color theme="1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sz val="11"/>
      <color theme="1"/>
      <name val="맑은 고딕"/>
      <family val="3"/>
      <charset val="129"/>
    </font>
    <font>
      <sz val="8"/>
      <name val="돋움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0000"/>
      </patternFill>
    </fill>
    <fill>
      <patternFill patternType="solid">
        <fgColor theme="9"/>
      </patternFill>
    </fill>
    <fill>
      <patternFill patternType="solid">
        <fgColor theme="8"/>
      </patternFill>
    </fill>
    <fill>
      <patternFill patternType="solid">
        <fgColor theme="7"/>
      </patternFill>
    </fill>
    <fill>
      <patternFill patternType="solid">
        <fgColor theme="7" tint="0.79995117038483843"/>
        <bgColor indexed="65"/>
      </patternFill>
    </fill>
    <fill>
      <patternFill patternType="solid">
        <fgColor rgb="FF1F4E79"/>
      </patternFill>
    </fill>
    <fill>
      <patternFill patternType="solid">
        <fgColor rgb="FFDDE6ED"/>
      </patternFill>
    </fill>
    <fill>
      <patternFill patternType="solid">
        <fgColor rgb="FFFFF6DC"/>
      </patternFill>
    </fill>
    <fill>
      <patternFill patternType="solid">
        <fgColor rgb="FFFFFFFF"/>
      </patternFill>
    </fill>
    <fill>
      <patternFill patternType="solid">
        <fgColor rgb="FFDBE5E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1" fillId="0" borderId="0" applyFont="0" applyFill="0" applyBorder="0" applyAlignment="0" applyProtection="0">
      <alignment vertical="center"/>
    </xf>
  </cellStyleXfs>
  <cellXfs count="47">
    <xf numFmtId="0" fontId="0" fillId="0" borderId="0" xfId="0"/>
    <xf numFmtId="0" fontId="1" fillId="0" borderId="0" xfId="0" applyFont="1" applyAlignment="1">
      <alignment vertical="center"/>
    </xf>
    <xf numFmtId="0" fontId="0" fillId="2" borderId="0" xfId="0" applyFill="1"/>
    <xf numFmtId="0" fontId="0" fillId="3" borderId="0" xfId="0" applyFill="1"/>
    <xf numFmtId="9" fontId="0" fillId="0" borderId="0" xfId="0" applyNumberFormat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4" fillId="0" borderId="0" xfId="1" applyNumberFormat="1" applyFont="1" applyAlignment="1"/>
    <xf numFmtId="0" fontId="5" fillId="9" borderId="0" xfId="1" applyNumberFormat="1" applyFont="1" applyFill="1" applyAlignment="1"/>
    <xf numFmtId="0" fontId="4" fillId="0" borderId="0" xfId="1" applyNumberFormat="1" applyFont="1" applyAlignment="1">
      <alignment wrapText="1"/>
    </xf>
    <xf numFmtId="1" fontId="4" fillId="0" borderId="0" xfId="1" applyNumberFormat="1" applyFont="1" applyAlignment="1"/>
    <xf numFmtId="1" fontId="4" fillId="10" borderId="0" xfId="1" applyNumberFormat="1" applyFont="1" applyFill="1" applyAlignment="1"/>
    <xf numFmtId="0" fontId="4" fillId="10" borderId="0" xfId="1" applyNumberFormat="1" applyFont="1" applyFill="1" applyAlignment="1"/>
    <xf numFmtId="0" fontId="4" fillId="11" borderId="0" xfId="1" applyNumberFormat="1" applyFont="1" applyFill="1" applyAlignment="1"/>
    <xf numFmtId="0" fontId="6" fillId="9" borderId="0" xfId="0" applyFont="1" applyFill="1"/>
    <xf numFmtId="0" fontId="7" fillId="0" borderId="0" xfId="0" applyFont="1"/>
    <xf numFmtId="0" fontId="7" fillId="10" borderId="0" xfId="0" applyFont="1" applyFill="1"/>
    <xf numFmtId="3" fontId="7" fillId="10" borderId="0" xfId="0" applyNumberFormat="1" applyFont="1" applyFill="1"/>
    <xf numFmtId="9" fontId="7" fillId="10" borderId="0" xfId="0" applyNumberFormat="1" applyFont="1" applyFill="1"/>
    <xf numFmtId="176" fontId="0" fillId="0" borderId="0" xfId="0" applyNumberFormat="1"/>
    <xf numFmtId="0" fontId="8" fillId="0" borderId="0" xfId="0" applyFont="1"/>
    <xf numFmtId="177" fontId="7" fillId="10" borderId="0" xfId="0" applyNumberFormat="1" applyFont="1" applyFill="1"/>
    <xf numFmtId="0" fontId="9" fillId="0" borderId="0" xfId="0" applyFont="1"/>
    <xf numFmtId="0" fontId="10" fillId="0" borderId="0" xfId="0" applyFont="1"/>
    <xf numFmtId="0" fontId="10" fillId="12" borderId="0" xfId="0" applyFont="1" applyFill="1"/>
    <xf numFmtId="0" fontId="9" fillId="10" borderId="0" xfId="0" applyFont="1" applyFill="1"/>
    <xf numFmtId="178" fontId="9" fillId="10" borderId="0" xfId="0" applyNumberFormat="1" applyFont="1" applyFill="1"/>
    <xf numFmtId="0" fontId="9" fillId="0" borderId="0" xfId="0" applyFont="1" applyAlignment="1">
      <alignment wrapText="1"/>
    </xf>
    <xf numFmtId="0" fontId="2" fillId="12" borderId="0" xfId="0" applyFont="1" applyFill="1"/>
    <xf numFmtId="0" fontId="2" fillId="0" borderId="0" xfId="0" applyFont="1"/>
    <xf numFmtId="0" fontId="0" fillId="10" borderId="0" xfId="0" applyFill="1"/>
    <xf numFmtId="0" fontId="0" fillId="0" borderId="0" xfId="0" applyAlignment="1">
      <alignment wrapText="1"/>
    </xf>
    <xf numFmtId="1" fontId="0" fillId="10" borderId="0" xfId="0" applyNumberFormat="1" applyFill="1"/>
    <xf numFmtId="1" fontId="7" fillId="10" borderId="0" xfId="0" applyNumberFormat="1" applyFont="1" applyFill="1"/>
    <xf numFmtId="2" fontId="7" fillId="10" borderId="0" xfId="0" applyNumberFormat="1" applyFont="1" applyFill="1"/>
    <xf numFmtId="0" fontId="7" fillId="0" borderId="0" xfId="0" applyFont="1" applyAlignment="1">
      <alignment wrapText="1"/>
    </xf>
    <xf numFmtId="2" fontId="9" fillId="10" borderId="0" xfId="0" applyNumberFormat="1" applyFont="1" applyFill="1"/>
    <xf numFmtId="9" fontId="9" fillId="10" borderId="0" xfId="0" applyNumberFormat="1" applyFont="1" applyFill="1"/>
  </cellXfs>
  <cellStyles count="2">
    <cellStyle name="쉼표" xfId="1" builtinId="3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mc="http://schemas.openxmlformats.org/markup-compatibility/2006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00000000-0001-0000-0000-000000000000}">
  <dimension ref="B2:K312"/>
  <sheetViews>
    <sheetView workbookViewId="0"/>
  </sheetViews>
  <sheetFormatPr defaultRowHeight="16.5"/>
  <cols>
    <col min="3" max="3" width="18.625" customWidth="1"/>
    <col min="5" max="5" width="13" customWidth="1"/>
    <col min="10" max="10" width="25.75" customWidth="1"/>
  </cols>
  <sheetData>
    <row r="2" spans="2:11">
      <c r="B2" t="s">
        <v>33</v>
      </c>
      <c r="C2" t="s">
        <v>34</v>
      </c>
      <c r="D2" t="s">
        <v>35</v>
      </c>
      <c r="E2" t="s">
        <v>4</v>
      </c>
      <c r="F2" t="s">
        <v>38</v>
      </c>
      <c r="G2" t="s">
        <v>39</v>
      </c>
      <c r="H2" t="s">
        <v>2</v>
      </c>
      <c r="I2" t="s">
        <v>3</v>
      </c>
      <c r="J2" t="s">
        <v>40</v>
      </c>
    </row>
    <row r="3" spans="2:11">
      <c r="B3">
        <v>1</v>
      </c>
      <c r="C3" t="s">
        <v>16</v>
      </c>
      <c r="D3">
        <v>1</v>
      </c>
      <c r="E3" t="s">
        <v>15</v>
      </c>
      <c r="F3">
        <f>'밸런스 조정'!$C$3+'밸런스 조정'!$D$3*D3</f>
        <v>4</v>
      </c>
      <c r="G3" t="s">
        <v>63</v>
      </c>
      <c r="H3" t="s">
        <v>9</v>
      </c>
      <c r="I3" t="n">
        <f>ROUND('밸런스 조정'!$E$3+'밸런스 조정'!$F$3*(D3-1)+'밸런스 조정'!$C$69*MAX(0,D3-3)^2,0)</f>
        <v>10</v>
      </c>
      <c r="J3" t="s">
        <v>125</v>
      </c>
      <c r="K3" s="1"/>
    </row>
    <row r="4" spans="2:11">
      <c r="B4">
        <v>1</v>
      </c>
      <c r="C4" t="s">
        <v>16</v>
      </c>
      <c r="D4">
        <v>2</v>
      </c>
      <c r="E4" t="s">
        <v>15</v>
      </c>
      <c r="F4">
        <f>'밸런스 조정'!$C$3+'밸런스 조정'!$D$3*D4</f>
        <v>8</v>
      </c>
      <c r="G4" t="s">
        <v>63</v>
      </c>
      <c r="H4" t="s">
        <v>9</v>
      </c>
      <c r="I4" t="n">
        <f>ROUND('밸런스 조정'!$E$3+'밸런스 조정'!$F$3*(D4-1)+'밸런스 조정'!$C$69*MAX(0,D4-3)^2,0)</f>
        <v>15</v>
      </c>
      <c r="J4" t="s">
        <v>125</v>
      </c>
      <c r="K4" s="1"/>
    </row>
    <row r="5" spans="2:11">
      <c r="B5">
        <v>1</v>
      </c>
      <c r="C5" t="s">
        <v>16</v>
      </c>
      <c r="D5">
        <v>3</v>
      </c>
      <c r="E5" t="s">
        <v>15</v>
      </c>
      <c r="F5">
        <f>'밸런스 조정'!$C$3+'밸런스 조정'!$D$3*D5</f>
        <v>12</v>
      </c>
      <c r="G5" t="s">
        <v>63</v>
      </c>
      <c r="H5" t="s">
        <v>9</v>
      </c>
      <c r="I5" t="n">
        <f>ROUND('밸런스 조정'!$E$3+'밸런스 조정'!$F$3*(D5-1)+'밸런스 조정'!$C$69*MAX(0,D5-3)^2,0)</f>
        <v>20</v>
      </c>
      <c r="J5" t="s">
        <v>125</v>
      </c>
      <c r="K5" s="1"/>
    </row>
    <row r="6" spans="2:11">
      <c r="B6">
        <v>1</v>
      </c>
      <c r="C6" t="s">
        <v>16</v>
      </c>
      <c r="D6">
        <v>4</v>
      </c>
      <c r="E6" t="s">
        <v>15</v>
      </c>
      <c r="F6">
        <f>'밸런스 조정'!$C$3+'밸런스 조정'!$D$3*D6</f>
        <v>16</v>
      </c>
      <c r="G6" t="s">
        <v>63</v>
      </c>
      <c r="H6" t="s">
        <v>9</v>
      </c>
      <c r="I6" t="n">
        <f>ROUND('밸런스 조정'!$E$3+'밸런스 조정'!$F$3*(D6-1)+'밸런스 조정'!$C$69*MAX(0,D6-3)^2,0)</f>
        <v>27</v>
      </c>
      <c r="J6" t="s">
        <v>125</v>
      </c>
      <c r="K6" s="1"/>
    </row>
    <row r="7" spans="2:11">
      <c r="B7">
        <v>1</v>
      </c>
      <c r="C7" t="s">
        <v>16</v>
      </c>
      <c r="D7">
        <v>5</v>
      </c>
      <c r="E7" t="s">
        <v>15</v>
      </c>
      <c r="F7">
        <f>'밸런스 조정'!$C$3+'밸런스 조정'!$D$3*D7</f>
        <v>20</v>
      </c>
      <c r="G7" t="s">
        <v>63</v>
      </c>
      <c r="H7" t="s">
        <v>9</v>
      </c>
      <c r="I7" t="n">
        <f>ROUND('밸런스 조정'!$E$3+'밸런스 조정'!$F$3*(D7-1)+'밸런스 조정'!$C$69*MAX(0,D7-3)^2,0)</f>
        <v>38</v>
      </c>
      <c r="J7" t="s">
        <v>125</v>
      </c>
      <c r="K7" s="1"/>
    </row>
    <row r="8" spans="2:11">
      <c r="B8">
        <v>1</v>
      </c>
      <c r="C8" t="s">
        <v>16</v>
      </c>
      <c r="D8">
        <v>6</v>
      </c>
      <c r="E8" t="s">
        <v>15</v>
      </c>
      <c r="F8">
        <f>'밸런스 조정'!$C$3+'밸런스 조정'!$D$3*D8</f>
        <v>24</v>
      </c>
      <c r="G8" t="s">
        <v>63</v>
      </c>
      <c r="H8" t="s">
        <v>9</v>
      </c>
      <c r="I8" t="n">
        <f>ROUND('밸런스 조정'!$E$3+'밸런스 조정'!$F$3*(D8-1)+'밸런스 조정'!$C$69*MAX(0,D8-3)^2,0)</f>
        <v>53</v>
      </c>
      <c r="J8" t="s">
        <v>125</v>
      </c>
      <c r="K8" s="1"/>
    </row>
    <row r="9" spans="2:11">
      <c r="B9">
        <v>1</v>
      </c>
      <c r="C9" t="s">
        <v>16</v>
      </c>
      <c r="D9">
        <v>7</v>
      </c>
      <c r="E9" t="s">
        <v>15</v>
      </c>
      <c r="F9">
        <f>'밸런스 조정'!$C$3+'밸런스 조정'!$D$3*D9</f>
        <v>28</v>
      </c>
      <c r="G9" t="s">
        <v>63</v>
      </c>
      <c r="H9" t="s">
        <v>9</v>
      </c>
      <c r="I9" t="n">
        <f>ROUND('밸런스 조정'!$E$3+'밸런스 조정'!$F$3*(D9-1)+'밸런스 조정'!$C$69*MAX(0,D9-3)^2,0)</f>
        <v>72</v>
      </c>
      <c r="J9" t="s">
        <v>125</v>
      </c>
      <c r="K9" s="1"/>
    </row>
    <row r="10" spans="2:11">
      <c r="B10">
        <v>1</v>
      </c>
      <c r="C10" t="s">
        <v>16</v>
      </c>
      <c r="D10">
        <v>8</v>
      </c>
      <c r="E10" t="s">
        <v>15</v>
      </c>
      <c r="F10">
        <f>'밸런스 조정'!$C$3+'밸런스 조정'!$D$3*D10</f>
        <v>32</v>
      </c>
      <c r="G10" t="s">
        <v>63</v>
      </c>
      <c r="H10" t="s">
        <v>9</v>
      </c>
      <c r="I10" t="n">
        <f>ROUND('밸런스 조정'!$E$3+'밸런스 조정'!$F$3*(D10-1)+'밸런스 조정'!$C$69*MAX(0,D10-3)^2,0)</f>
        <v>95</v>
      </c>
      <c r="J10" t="s">
        <v>125</v>
      </c>
      <c r="K10" s="1"/>
    </row>
    <row r="11" spans="2:11">
      <c r="B11">
        <v>1</v>
      </c>
      <c r="C11" t="s">
        <v>16</v>
      </c>
      <c r="D11">
        <v>9</v>
      </c>
      <c r="E11" t="s">
        <v>15</v>
      </c>
      <c r="F11">
        <f>'밸런스 조정'!$C$3+'밸런스 조정'!$D$3*D11</f>
        <v>36</v>
      </c>
      <c r="G11" t="s">
        <v>63</v>
      </c>
      <c r="H11" t="s">
        <v>9</v>
      </c>
      <c r="I11" t="n">
        <f>ROUND('밸런스 조정'!$E$3+'밸런스 조정'!$F$3*(D11-1)+'밸런스 조정'!$C$69*MAX(0,D11-3)^2,0)</f>
        <v>122</v>
      </c>
      <c r="J11" t="s">
        <v>125</v>
      </c>
      <c r="K11" s="1"/>
    </row>
    <row r="12" spans="2:11">
      <c r="B12">
        <v>1</v>
      </c>
      <c r="C12" t="s">
        <v>16</v>
      </c>
      <c r="D12">
        <v>10</v>
      </c>
      <c r="E12" t="s">
        <v>15</v>
      </c>
      <c r="F12">
        <f>'밸런스 조정'!$C$3+'밸런스 조정'!$D$3*D12</f>
        <v>40</v>
      </c>
      <c r="G12" t="s">
        <v>63</v>
      </c>
      <c r="H12" t="s">
        <v>9</v>
      </c>
      <c r="I12" t="n">
        <f>ROUND('밸런스 조정'!$E$3+'밸런스 조정'!$F$3*(D12-1)+'밸런스 조정'!$C$69*MAX(0,D12-3)^2,0)</f>
        <v>153</v>
      </c>
      <c r="J12" t="s">
        <v>125</v>
      </c>
    </row>
    <row r="13" spans="2:11">
      <c r="B13">
        <v>1</v>
      </c>
      <c r="C13" t="s">
        <v>16</v>
      </c>
      <c r="D13">
        <v>11</v>
      </c>
      <c r="E13" t="s">
        <v>15</v>
      </c>
      <c r="F13">
        <f>'밸런스 조정'!$C$3+'밸런스 조정'!$D$3*D13</f>
        <v>44</v>
      </c>
      <c r="G13" t="s">
        <v>63</v>
      </c>
      <c r="H13" t="s">
        <v>9</v>
      </c>
      <c r="I13" t="n">
        <f>ROUND('밸런스 조정'!$E$3+'밸런스 조정'!$F$3*(D13-1)+'밸런스 조정'!$C$69*MAX(0,D13-3)^2,0)</f>
        <v>188</v>
      </c>
      <c r="J13" t="s">
        <v>125</v>
      </c>
    </row>
    <row r="14" spans="2:11">
      <c r="B14">
        <v>1</v>
      </c>
      <c r="C14" t="s">
        <v>16</v>
      </c>
      <c r="D14">
        <v>12</v>
      </c>
      <c r="E14" t="s">
        <v>15</v>
      </c>
      <c r="F14">
        <f>'밸런스 조정'!$C$3+'밸런스 조정'!$D$3*D14</f>
        <v>48</v>
      </c>
      <c r="G14" t="s">
        <v>63</v>
      </c>
      <c r="H14" t="s">
        <v>9</v>
      </c>
      <c r="I14" t="n">
        <f>ROUND('밸런스 조정'!$E$3+'밸런스 조정'!$F$3*(D14-1)+'밸런스 조정'!$C$69*MAX(0,D14-3)^2,0)</f>
        <v>227</v>
      </c>
      <c r="J14" t="s">
        <v>125</v>
      </c>
    </row>
    <row r="15" spans="2:11">
      <c r="B15">
        <v>1</v>
      </c>
      <c r="C15" t="s">
        <v>16</v>
      </c>
      <c r="D15">
        <v>13</v>
      </c>
      <c r="E15" t="s">
        <v>15</v>
      </c>
      <c r="F15">
        <f>'밸런스 조정'!$C$3+'밸런스 조정'!$D$3*D15</f>
        <v>52</v>
      </c>
      <c r="G15" t="s">
        <v>63</v>
      </c>
      <c r="H15" t="s">
        <v>9</v>
      </c>
      <c r="I15" t="n">
        <f>ROUND('밸런스 조정'!$E$3+'밸런스 조정'!$F$3*(D15-1)+'밸런스 조정'!$C$69*MAX(0,D15-3)^2,0)</f>
        <v>270</v>
      </c>
      <c r="J15" t="s">
        <v>125</v>
      </c>
    </row>
    <row r="16" spans="2:11">
      <c r="B16">
        <v>1</v>
      </c>
      <c r="C16" t="s">
        <v>16</v>
      </c>
      <c r="D16">
        <v>14</v>
      </c>
      <c r="E16" t="s">
        <v>15</v>
      </c>
      <c r="F16">
        <f>'밸런스 조정'!$C$3+'밸런스 조정'!$D$3*D16</f>
        <v>56</v>
      </c>
      <c r="G16" t="s">
        <v>63</v>
      </c>
      <c r="H16" t="s">
        <v>9</v>
      </c>
      <c r="I16" t="n">
        <f>ROUND('밸런스 조정'!$E$3+'밸런스 조정'!$F$3*(D16-1)+'밸런스 조정'!$C$69*MAX(0,D16-3)^2,0)</f>
        <v>317</v>
      </c>
      <c r="J16" t="s">
        <v>125</v>
      </c>
    </row>
    <row r="17" spans="2:10">
      <c r="B17">
        <v>1</v>
      </c>
      <c r="C17" t="s">
        <v>16</v>
      </c>
      <c r="D17">
        <v>15</v>
      </c>
      <c r="E17" t="s">
        <v>15</v>
      </c>
      <c r="F17">
        <f>'밸런스 조정'!$C$3+'밸런스 조정'!$D$3*D17</f>
        <v>60</v>
      </c>
      <c r="G17" t="s">
        <v>63</v>
      </c>
      <c r="H17" t="s">
        <v>9</v>
      </c>
      <c r="I17" t="n">
        <f>ROUND('밸런스 조정'!$E$3+'밸런스 조정'!$F$3*(D17-1)+'밸런스 조정'!$C$69*MAX(0,D17-3)^2,0)</f>
        <v>368</v>
      </c>
      <c r="J17" t="s">
        <v>125</v>
      </c>
    </row>
    <row r="18" spans="2:10">
      <c r="B18">
        <v>1</v>
      </c>
      <c r="C18" t="s">
        <v>16</v>
      </c>
      <c r="D18">
        <v>16</v>
      </c>
      <c r="E18" t="s">
        <v>15</v>
      </c>
      <c r="F18">
        <f>'밸런스 조정'!$C$3+'밸런스 조정'!$D$3*D18</f>
        <v>64</v>
      </c>
      <c r="G18" t="s">
        <v>63</v>
      </c>
      <c r="H18" t="s">
        <v>9</v>
      </c>
      <c r="I18" t="n">
        <f>ROUND('밸런스 조정'!$E$3+'밸런스 조정'!$F$3*(D18-1)+'밸런스 조정'!$C$69*MAX(0,D18-3)^2,0)</f>
        <v>423</v>
      </c>
      <c r="J18" t="s">
        <v>125</v>
      </c>
    </row>
    <row r="19" spans="2:10">
      <c r="B19">
        <v>1</v>
      </c>
      <c r="C19" t="s">
        <v>16</v>
      </c>
      <c r="D19">
        <v>17</v>
      </c>
      <c r="E19" t="s">
        <v>15</v>
      </c>
      <c r="F19">
        <f>'밸런스 조정'!$C$3+'밸런스 조정'!$D$3*D19</f>
        <v>68</v>
      </c>
      <c r="G19" t="s">
        <v>63</v>
      </c>
      <c r="H19" t="s">
        <v>9</v>
      </c>
      <c r="I19" t="n">
        <f>ROUND('밸런스 조정'!$E$3+'밸런스 조정'!$F$3*(D19-1)+'밸런스 조정'!$C$69*MAX(0,D19-3)^2,0)</f>
        <v>482</v>
      </c>
      <c r="J19" t="s">
        <v>125</v>
      </c>
    </row>
    <row r="20" spans="2:10">
      <c r="B20">
        <v>1</v>
      </c>
      <c r="C20" t="s">
        <v>16</v>
      </c>
      <c r="D20">
        <v>18</v>
      </c>
      <c r="E20" t="s">
        <v>15</v>
      </c>
      <c r="F20">
        <f>'밸런스 조정'!$C$3+'밸런스 조정'!$D$3*D20</f>
        <v>72</v>
      </c>
      <c r="G20" t="s">
        <v>63</v>
      </c>
      <c r="H20" t="s">
        <v>9</v>
      </c>
      <c r="I20" t="n">
        <f>ROUND('밸런스 조정'!$E$3+'밸런스 조정'!$F$3*(D20-1)+'밸런스 조정'!$C$69*MAX(0,D20-3)^2,0)</f>
        <v>545</v>
      </c>
      <c r="J20" t="s">
        <v>125</v>
      </c>
    </row>
    <row r="21" spans="2:10">
      <c r="B21">
        <v>1</v>
      </c>
      <c r="C21" t="s">
        <v>16</v>
      </c>
      <c r="D21">
        <v>19</v>
      </c>
      <c r="E21" t="s">
        <v>15</v>
      </c>
      <c r="F21">
        <f>'밸런스 조정'!$C$3+'밸런스 조정'!$D$3*D21</f>
        <v>76</v>
      </c>
      <c r="G21" t="s">
        <v>63</v>
      </c>
      <c r="H21" t="s">
        <v>9</v>
      </c>
      <c r="I21" t="n">
        <f>ROUND('밸런스 조정'!$E$3+'밸런스 조정'!$F$3*(D21-1)+'밸런스 조정'!$C$69*MAX(0,D21-3)^2,0)</f>
        <v>612</v>
      </c>
      <c r="J21" t="s">
        <v>125</v>
      </c>
    </row>
    <row r="22" spans="2:10">
      <c r="B22">
        <v>1</v>
      </c>
      <c r="C22" t="s">
        <v>16</v>
      </c>
      <c r="D22">
        <v>20</v>
      </c>
      <c r="E22" t="s">
        <v>15</v>
      </c>
      <c r="F22">
        <f>'밸런스 조정'!$C$3+'밸런스 조정'!$D$3*D22</f>
        <v>80</v>
      </c>
      <c r="G22" t="s">
        <v>63</v>
      </c>
      <c r="H22" t="s">
        <v>9</v>
      </c>
      <c r="I22" t="n">
        <f>ROUND('밸런스 조정'!$E$3+'밸런스 조정'!$F$3*(D22-1)+'밸런스 조정'!$C$69*MAX(0,D22-3)^2,0)</f>
        <v>683</v>
      </c>
      <c r="J22" t="s">
        <v>125</v>
      </c>
    </row>
    <row r="23" spans="2:10">
      <c r="B23">
        <v>1</v>
      </c>
      <c r="C23" t="s">
        <v>16</v>
      </c>
      <c r="D23">
        <v>21</v>
      </c>
      <c r="E23" t="s">
        <v>15</v>
      </c>
      <c r="F23">
        <f>'밸런스 조정'!$C$3+'밸런스 조정'!$D$3*D23</f>
        <v>84</v>
      </c>
      <c r="G23" t="s">
        <v>63</v>
      </c>
      <c r="H23" t="s">
        <v>9</v>
      </c>
      <c r="I23" t="n">
        <f>ROUND('밸런스 조정'!$E$3+'밸런스 조정'!$F$3*(D23-1)+'밸런스 조정'!$C$69*MAX(0,D23-3)^2,0)</f>
        <v>758</v>
      </c>
      <c r="J23" t="s">
        <v>125</v>
      </c>
    </row>
    <row r="24" spans="2:10">
      <c r="B24">
        <v>1</v>
      </c>
      <c r="C24" t="s">
        <v>16</v>
      </c>
      <c r="D24">
        <v>22</v>
      </c>
      <c r="E24" t="s">
        <v>15</v>
      </c>
      <c r="F24">
        <f>'밸런스 조정'!$C$3+'밸런스 조정'!$D$3*D24</f>
        <v>88</v>
      </c>
      <c r="G24" t="s">
        <v>63</v>
      </c>
      <c r="H24" t="s">
        <v>9</v>
      </c>
      <c r="I24" t="n">
        <f>ROUND('밸런스 조정'!$E$3+'밸런스 조정'!$F$3*(D24-1)+'밸런스 조정'!$C$69*MAX(0,D24-3)^2,0)</f>
        <v>837</v>
      </c>
      <c r="J24" t="s">
        <v>125</v>
      </c>
    </row>
    <row r="25" spans="2:10">
      <c r="B25">
        <v>1</v>
      </c>
      <c r="C25" t="s">
        <v>16</v>
      </c>
      <c r="D25">
        <v>23</v>
      </c>
      <c r="E25" t="s">
        <v>15</v>
      </c>
      <c r="F25">
        <f>'밸런스 조정'!$C$3+'밸런스 조정'!$D$3*D25</f>
        <v>92</v>
      </c>
      <c r="G25" t="s">
        <v>63</v>
      </c>
      <c r="H25" t="s">
        <v>9</v>
      </c>
      <c r="I25" t="n">
        <f>ROUND('밸런스 조정'!$E$3+'밸런스 조정'!$F$3*(D25-1)+'밸런스 조정'!$C$69*MAX(0,D25-3)^2,0)</f>
        <v>920</v>
      </c>
      <c r="J25" t="s">
        <v>125</v>
      </c>
    </row>
    <row r="26" spans="2:10">
      <c r="B26">
        <v>1</v>
      </c>
      <c r="C26" t="s">
        <v>16</v>
      </c>
      <c r="D26">
        <v>24</v>
      </c>
      <c r="E26" t="s">
        <v>15</v>
      </c>
      <c r="F26">
        <f>'밸런스 조정'!$C$3+'밸런스 조정'!$D$3*D26</f>
        <v>96</v>
      </c>
      <c r="G26" t="s">
        <v>63</v>
      </c>
      <c r="H26" t="s">
        <v>9</v>
      </c>
      <c r="I26" t="n">
        <f>ROUND('밸런스 조정'!$E$3+'밸런스 조정'!$F$3*(D26-1)+'밸런스 조정'!$C$69*MAX(0,D26-3)^2,0)</f>
        <v>1007</v>
      </c>
      <c r="J26" t="s">
        <v>125</v>
      </c>
    </row>
    <row r="27" spans="2:10">
      <c r="B27">
        <v>1</v>
      </c>
      <c r="C27" t="s">
        <v>16</v>
      </c>
      <c r="D27">
        <v>25</v>
      </c>
      <c r="E27" t="s">
        <v>15</v>
      </c>
      <c r="F27">
        <f>'밸런스 조정'!$C$3+'밸런스 조정'!$D$3*D27</f>
        <v>100</v>
      </c>
      <c r="G27" t="s">
        <v>63</v>
      </c>
      <c r="H27" t="s">
        <v>9</v>
      </c>
      <c r="I27" t="n">
        <f>ROUND('밸런스 조정'!$E$3+'밸런스 조정'!$F$3*(D27-1)+'밸런스 조정'!$C$69*MAX(0,D27-3)^2,0)</f>
        <v>1098</v>
      </c>
      <c r="J27" t="s">
        <v>125</v>
      </c>
    </row>
    <row r="28" spans="2:10">
      <c r="B28">
        <v>1</v>
      </c>
      <c r="C28" t="s">
        <v>16</v>
      </c>
      <c r="D28">
        <v>26</v>
      </c>
      <c r="E28" t="s">
        <v>15</v>
      </c>
      <c r="F28">
        <f>'밸런스 조정'!$C$3+'밸런스 조정'!$D$3*D28</f>
        <v>104</v>
      </c>
      <c r="G28" t="s">
        <v>63</v>
      </c>
      <c r="H28" t="s">
        <v>9</v>
      </c>
      <c r="I28" t="n">
        <f>ROUND('밸런스 조정'!$E$3+'밸런스 조정'!$F$3*(D28-1)+'밸런스 조정'!$C$69*MAX(0,D28-3)^2,0)</f>
        <v>1193</v>
      </c>
      <c r="J28" t="s">
        <v>125</v>
      </c>
    </row>
    <row r="29" spans="2:10">
      <c r="B29">
        <v>1</v>
      </c>
      <c r="C29" t="s">
        <v>16</v>
      </c>
      <c r="D29">
        <v>27</v>
      </c>
      <c r="E29" t="s">
        <v>15</v>
      </c>
      <c r="F29">
        <f>'밸런스 조정'!$C$3+'밸런스 조정'!$D$3*D29</f>
        <v>108</v>
      </c>
      <c r="G29" t="s">
        <v>63</v>
      </c>
      <c r="H29" t="s">
        <v>9</v>
      </c>
      <c r="I29" t="n">
        <f>ROUND('밸런스 조정'!$E$3+'밸런스 조정'!$F$3*(D29-1)+'밸런스 조정'!$C$69*MAX(0,D29-3)^2,0)</f>
        <v>1292</v>
      </c>
      <c r="J29" t="s">
        <v>125</v>
      </c>
    </row>
    <row r="30" spans="2:10">
      <c r="B30">
        <v>1</v>
      </c>
      <c r="C30" t="s">
        <v>16</v>
      </c>
      <c r="D30">
        <v>28</v>
      </c>
      <c r="E30" t="s">
        <v>15</v>
      </c>
      <c r="F30">
        <f>'밸런스 조정'!$C$3+'밸런스 조정'!$D$3*D30</f>
        <v>112</v>
      </c>
      <c r="G30" t="s">
        <v>63</v>
      </c>
      <c r="H30" t="s">
        <v>9</v>
      </c>
      <c r="I30" t="n">
        <f>ROUND('밸런스 조정'!$E$3+'밸런스 조정'!$F$3*(D30-1)+'밸런스 조정'!$C$69*MAX(0,D30-3)^2,0)</f>
        <v>1395</v>
      </c>
      <c r="J30" t="s">
        <v>125</v>
      </c>
    </row>
    <row r="31" spans="2:10">
      <c r="B31">
        <v>1</v>
      </c>
      <c r="C31" t="s">
        <v>16</v>
      </c>
      <c r="D31">
        <v>29</v>
      </c>
      <c r="E31" t="s">
        <v>15</v>
      </c>
      <c r="F31">
        <f>'밸런스 조정'!$C$3+'밸런스 조정'!$D$3*D31</f>
        <v>116</v>
      </c>
      <c r="G31" t="s">
        <v>63</v>
      </c>
      <c r="H31" t="s">
        <v>9</v>
      </c>
      <c r="I31" t="n">
        <f>ROUND('밸런스 조정'!$E$3+'밸런스 조정'!$F$3*(D31-1)+'밸런스 조정'!$C$69*MAX(0,D31-3)^2,0)</f>
        <v>1502</v>
      </c>
      <c r="J31" t="s">
        <v>125</v>
      </c>
    </row>
    <row r="32" spans="2:10">
      <c r="B32">
        <v>1</v>
      </c>
      <c r="C32" t="s">
        <v>16</v>
      </c>
      <c r="D32">
        <v>30</v>
      </c>
      <c r="E32" t="s">
        <v>15</v>
      </c>
      <c r="F32">
        <f>'밸런스 조정'!$C$3+'밸런스 조정'!$D$3*D32</f>
        <v>120</v>
      </c>
      <c r="G32" t="s">
        <v>63</v>
      </c>
      <c r="H32" t="s">
        <v>9</v>
      </c>
      <c r="I32" t="n">
        <f>ROUND('밸런스 조정'!$E$3+'밸런스 조정'!$F$3*(D32-1)+'밸런스 조정'!$C$69*MAX(0,D32-3)^2,0)</f>
        <v>1613</v>
      </c>
      <c r="J32" t="s">
        <v>125</v>
      </c>
    </row>
    <row r="33" spans="2:10">
      <c r="B33">
        <v>1</v>
      </c>
      <c r="C33" t="s">
        <v>16</v>
      </c>
      <c r="D33">
        <v>31</v>
      </c>
      <c r="E33" t="s">
        <v>15</v>
      </c>
      <c r="F33">
        <f>'밸런스 조정'!$C$3+'밸런스 조정'!$D$3*D33</f>
        <v>124</v>
      </c>
      <c r="G33" t="s">
        <v>63</v>
      </c>
      <c r="H33" t="s">
        <v>9</v>
      </c>
      <c r="I33" t="n">
        <f>ROUND('밸런스 조정'!$E$3+'밸런스 조정'!$F$3*(D33-1)+'밸런스 조정'!$C$69*MAX(0,D33-3)^2,0)</f>
        <v>1728</v>
      </c>
      <c r="J33" t="s">
        <v>125</v>
      </c>
    </row>
    <row r="34" spans="2:10">
      <c r="B34">
        <v>1</v>
      </c>
      <c r="C34" t="s">
        <v>16</v>
      </c>
      <c r="D34">
        <v>32</v>
      </c>
      <c r="E34" t="s">
        <v>15</v>
      </c>
      <c r="F34">
        <f>'밸런스 조정'!$C$3+'밸런스 조정'!$D$3*D34</f>
        <v>128</v>
      </c>
      <c r="G34" t="s">
        <v>63</v>
      </c>
      <c r="H34" t="s">
        <v>9</v>
      </c>
      <c r="I34" t="n">
        <f>ROUND('밸런스 조정'!$E$3+'밸런스 조정'!$F$3*(D34-1)+'밸런스 조정'!$C$69*MAX(0,D34-3)^2,0)</f>
        <v>1847</v>
      </c>
      <c r="J34" t="s">
        <v>125</v>
      </c>
    </row>
    <row r="35" spans="2:10">
      <c r="B35">
        <v>1</v>
      </c>
      <c r="C35" t="s">
        <v>16</v>
      </c>
      <c r="D35">
        <v>33</v>
      </c>
      <c r="E35" t="s">
        <v>15</v>
      </c>
      <c r="F35">
        <f>'밸런스 조정'!$C$3+'밸런스 조정'!$D$3*D35</f>
        <v>132</v>
      </c>
      <c r="G35" t="s">
        <v>63</v>
      </c>
      <c r="H35" t="s">
        <v>9</v>
      </c>
      <c r="I35" t="n">
        <f>ROUND('밸런스 조정'!$E$3+'밸런스 조정'!$F$3*(D35-1)+'밸런스 조정'!$C$69*MAX(0,D35-3)^2,0)</f>
        <v>1970</v>
      </c>
      <c r="J35" t="s">
        <v>125</v>
      </c>
    </row>
    <row r="36" spans="2:10">
      <c r="B36">
        <v>1</v>
      </c>
      <c r="C36" t="s">
        <v>16</v>
      </c>
      <c r="D36">
        <v>34</v>
      </c>
      <c r="E36" t="s">
        <v>15</v>
      </c>
      <c r="F36">
        <f>'밸런스 조정'!$C$3+'밸런스 조정'!$D$3*D36</f>
        <v>136</v>
      </c>
      <c r="G36" t="s">
        <v>63</v>
      </c>
      <c r="H36" t="s">
        <v>9</v>
      </c>
      <c r="I36" t="n">
        <f>ROUND('밸런스 조정'!$E$3+'밸런스 조정'!$F$3*(D36-1)+'밸런스 조정'!$C$69*MAX(0,D36-3)^2,0)</f>
        <v>2097</v>
      </c>
      <c r="J36" t="s">
        <v>125</v>
      </c>
    </row>
    <row r="37" spans="2:10">
      <c r="B37">
        <v>1</v>
      </c>
      <c r="C37" t="s">
        <v>16</v>
      </c>
      <c r="D37">
        <v>35</v>
      </c>
      <c r="E37" t="s">
        <v>15</v>
      </c>
      <c r="F37">
        <f>'밸런스 조정'!$C$3+'밸런스 조정'!$D$3*D37</f>
        <v>140</v>
      </c>
      <c r="G37" t="s">
        <v>63</v>
      </c>
      <c r="H37" t="s">
        <v>9</v>
      </c>
      <c r="I37" t="n">
        <f>ROUND('밸런스 조정'!$E$3+'밸런스 조정'!$F$3*(D37-1)+'밸런스 조정'!$C$69*MAX(0,D37-3)^2,0)</f>
        <v>2228</v>
      </c>
      <c r="J37" t="s">
        <v>125</v>
      </c>
    </row>
    <row r="38" spans="2:10">
      <c r="B38">
        <v>1</v>
      </c>
      <c r="C38" t="s">
        <v>16</v>
      </c>
      <c r="D38">
        <v>36</v>
      </c>
      <c r="E38" t="s">
        <v>15</v>
      </c>
      <c r="F38">
        <f>'밸런스 조정'!$C$3+'밸런스 조정'!$D$3*D38</f>
        <v>144</v>
      </c>
      <c r="G38" t="s">
        <v>63</v>
      </c>
      <c r="H38" t="s">
        <v>9</v>
      </c>
      <c r="I38" t="n">
        <f>ROUND('밸런스 조정'!$E$3+'밸런스 조정'!$F$3*(D38-1)+'밸런스 조정'!$C$69*MAX(0,D38-3)^2,0)</f>
        <v>2363</v>
      </c>
      <c r="J38" t="s">
        <v>125</v>
      </c>
    </row>
    <row r="39" spans="2:10">
      <c r="B39">
        <v>1</v>
      </c>
      <c r="C39" t="s">
        <v>16</v>
      </c>
      <c r="D39">
        <v>37</v>
      </c>
      <c r="E39" t="s">
        <v>15</v>
      </c>
      <c r="F39">
        <f>'밸런스 조정'!$C$3+'밸런스 조정'!$D$3*D39</f>
        <v>148</v>
      </c>
      <c r="G39" t="s">
        <v>63</v>
      </c>
      <c r="H39" t="s">
        <v>9</v>
      </c>
      <c r="I39" t="n">
        <f>ROUND('밸런스 조정'!$E$3+'밸런스 조정'!$F$3*(D39-1)+'밸런스 조정'!$C$69*MAX(0,D39-3)^2,0)</f>
        <v>2502</v>
      </c>
      <c r="J39" t="s">
        <v>125</v>
      </c>
    </row>
    <row r="40" spans="2:10">
      <c r="B40">
        <v>1</v>
      </c>
      <c r="C40" t="s">
        <v>16</v>
      </c>
      <c r="D40">
        <v>38</v>
      </c>
      <c r="E40" t="s">
        <v>15</v>
      </c>
      <c r="F40">
        <f>'밸런스 조정'!$C$3+'밸런스 조정'!$D$3*D40</f>
        <v>152</v>
      </c>
      <c r="G40" t="s">
        <v>63</v>
      </c>
      <c r="H40" t="s">
        <v>9</v>
      </c>
      <c r="I40" t="n">
        <f>ROUND('밸런스 조정'!$E$3+'밸런스 조정'!$F$3*(D40-1)+'밸런스 조정'!$C$69*MAX(0,D40-3)^2,0)</f>
        <v>2645</v>
      </c>
      <c r="J40" t="s">
        <v>125</v>
      </c>
    </row>
    <row r="41" spans="2:10">
      <c r="B41">
        <v>1</v>
      </c>
      <c r="C41" t="s">
        <v>16</v>
      </c>
      <c r="D41">
        <v>39</v>
      </c>
      <c r="E41" t="s">
        <v>15</v>
      </c>
      <c r="F41">
        <f>'밸런스 조정'!$C$3+'밸런스 조정'!$D$3*D41</f>
        <v>156</v>
      </c>
      <c r="G41" t="s">
        <v>63</v>
      </c>
      <c r="H41" t="s">
        <v>9</v>
      </c>
      <c r="I41" t="n">
        <f>ROUND('밸런스 조정'!$E$3+'밸런스 조정'!$F$3*(D41-1)+'밸런스 조정'!$C$69*MAX(0,D41-3)^2,0)</f>
        <v>2792</v>
      </c>
      <c r="J41" t="s">
        <v>125</v>
      </c>
    </row>
    <row r="42" spans="2:10">
      <c r="B42">
        <v>1</v>
      </c>
      <c r="C42" t="s">
        <v>16</v>
      </c>
      <c r="D42">
        <v>40</v>
      </c>
      <c r="E42" t="s">
        <v>15</v>
      </c>
      <c r="F42">
        <f>'밸런스 조정'!$C$3+'밸런스 조정'!$D$3*D42</f>
        <v>160</v>
      </c>
      <c r="G42" t="s">
        <v>63</v>
      </c>
      <c r="H42" t="s">
        <v>9</v>
      </c>
      <c r="I42" t="n">
        <f>ROUND('밸런스 조정'!$E$3+'밸런스 조정'!$F$3*(D42-1)+'밸런스 조정'!$C$69*MAX(0,D42-3)^2,0)</f>
        <v>2943</v>
      </c>
      <c r="J42" t="s">
        <v>125</v>
      </c>
    </row>
    <row r="43" spans="2:10">
      <c r="B43">
        <v>1</v>
      </c>
      <c r="C43" t="s">
        <v>16</v>
      </c>
      <c r="D43">
        <v>41</v>
      </c>
      <c r="E43" t="s">
        <v>15</v>
      </c>
      <c r="F43">
        <f>'밸런스 조정'!$C$3+'밸런스 조정'!$D$3*D43</f>
        <v>164</v>
      </c>
      <c r="G43" t="s">
        <v>63</v>
      </c>
      <c r="H43" t="s">
        <v>9</v>
      </c>
      <c r="I43" t="n">
        <f>ROUND('밸런스 조정'!$E$3+'밸런스 조정'!$F$3*(D43-1)+'밸런스 조정'!$C$69*MAX(0,D43-3)^2,0)</f>
        <v>3098</v>
      </c>
      <c r="J43" t="s">
        <v>125</v>
      </c>
    </row>
    <row r="44" spans="2:10">
      <c r="B44">
        <v>1</v>
      </c>
      <c r="C44" t="s">
        <v>16</v>
      </c>
      <c r="D44">
        <v>42</v>
      </c>
      <c r="E44" t="s">
        <v>15</v>
      </c>
      <c r="F44">
        <f>'밸런스 조정'!$C$3+'밸런스 조정'!$D$3*D44</f>
        <v>168</v>
      </c>
      <c r="G44" t="s">
        <v>63</v>
      </c>
      <c r="H44" t="s">
        <v>9</v>
      </c>
      <c r="I44" t="n">
        <f>ROUND('밸런스 조정'!$E$3+'밸런스 조정'!$F$3*(D44-1)+'밸런스 조정'!$C$69*MAX(0,D44-3)^2,0)</f>
        <v>3257</v>
      </c>
      <c r="J44" t="s">
        <v>125</v>
      </c>
    </row>
    <row r="45" spans="2:10">
      <c r="B45">
        <v>1</v>
      </c>
      <c r="C45" t="s">
        <v>16</v>
      </c>
      <c r="D45">
        <v>43</v>
      </c>
      <c r="E45" t="s">
        <v>15</v>
      </c>
      <c r="F45">
        <f>'밸런스 조정'!$C$3+'밸런스 조정'!$D$3*D45</f>
        <v>172</v>
      </c>
      <c r="G45" t="s">
        <v>63</v>
      </c>
      <c r="H45" t="s">
        <v>9</v>
      </c>
      <c r="I45" t="n">
        <f>ROUND('밸런스 조정'!$E$3+'밸런스 조정'!$F$3*(D45-1)+'밸런스 조정'!$C$69*MAX(0,D45-3)^2,0)</f>
        <v>3420</v>
      </c>
      <c r="J45" t="s">
        <v>125</v>
      </c>
    </row>
    <row r="46" spans="2:10">
      <c r="B46">
        <v>1</v>
      </c>
      <c r="C46" t="s">
        <v>16</v>
      </c>
      <c r="D46">
        <v>44</v>
      </c>
      <c r="E46" t="s">
        <v>15</v>
      </c>
      <c r="F46">
        <f>'밸런스 조정'!$C$3+'밸런스 조정'!$D$3*D46</f>
        <v>176</v>
      </c>
      <c r="G46" t="s">
        <v>63</v>
      </c>
      <c r="H46" t="s">
        <v>9</v>
      </c>
      <c r="I46" t="n">
        <f>ROUND('밸런스 조정'!$E$3+'밸런스 조정'!$F$3*(D46-1)+'밸런스 조정'!$C$69*MAX(0,D46-3)^2,0)</f>
        <v>3587</v>
      </c>
      <c r="J46" t="s">
        <v>125</v>
      </c>
    </row>
    <row r="47" spans="2:10">
      <c r="B47">
        <v>1</v>
      </c>
      <c r="C47" t="s">
        <v>16</v>
      </c>
      <c r="D47">
        <v>45</v>
      </c>
      <c r="E47" t="s">
        <v>15</v>
      </c>
      <c r="F47">
        <f>'밸런스 조정'!$C$3+'밸런스 조정'!$D$3*D47</f>
        <v>180</v>
      </c>
      <c r="G47" t="s">
        <v>63</v>
      </c>
      <c r="H47" t="s">
        <v>9</v>
      </c>
      <c r="I47" t="n">
        <f>ROUND('밸런스 조정'!$E$3+'밸런스 조정'!$F$3*(D47-1)+'밸런스 조정'!$C$69*MAX(0,D47-3)^2,0)</f>
        <v>3758</v>
      </c>
      <c r="J47" t="s">
        <v>125</v>
      </c>
    </row>
    <row r="48" spans="2:10">
      <c r="B48">
        <v>1</v>
      </c>
      <c r="C48" t="s">
        <v>16</v>
      </c>
      <c r="D48">
        <v>46</v>
      </c>
      <c r="E48" t="s">
        <v>15</v>
      </c>
      <c r="F48">
        <f>'밸런스 조정'!$C$3+'밸런스 조정'!$D$3*D48</f>
        <v>184</v>
      </c>
      <c r="G48" t="s">
        <v>63</v>
      </c>
      <c r="H48" t="s">
        <v>9</v>
      </c>
      <c r="I48" t="n">
        <f>ROUND('밸런스 조정'!$E$3+'밸런스 조정'!$F$3*(D48-1)+'밸런스 조정'!$C$69*MAX(0,D48-3)^2,0)</f>
        <v>3933</v>
      </c>
      <c r="J48" t="s">
        <v>125</v>
      </c>
    </row>
    <row r="49" spans="2:10">
      <c r="B49">
        <v>1</v>
      </c>
      <c r="C49" t="s">
        <v>16</v>
      </c>
      <c r="D49">
        <v>47</v>
      </c>
      <c r="E49" t="s">
        <v>15</v>
      </c>
      <c r="F49">
        <f>'밸런스 조정'!$C$3+'밸런스 조정'!$D$3*D49</f>
        <v>188</v>
      </c>
      <c r="G49" t="s">
        <v>63</v>
      </c>
      <c r="H49" t="s">
        <v>9</v>
      </c>
      <c r="I49" t="n">
        <f>ROUND('밸런스 조정'!$E$3+'밸런스 조정'!$F$3*(D49-1)+'밸런스 조정'!$C$69*MAX(0,D49-3)^2,0)</f>
        <v>4112</v>
      </c>
      <c r="J49" t="s">
        <v>125</v>
      </c>
    </row>
    <row r="50" spans="2:10">
      <c r="B50">
        <v>1</v>
      </c>
      <c r="C50" t="s">
        <v>16</v>
      </c>
      <c r="D50">
        <v>48</v>
      </c>
      <c r="E50" t="s">
        <v>15</v>
      </c>
      <c r="F50">
        <f>'밸런스 조정'!$C$3+'밸런스 조정'!$D$3*D50</f>
        <v>192</v>
      </c>
      <c r="G50" t="s">
        <v>63</v>
      </c>
      <c r="H50" t="s">
        <v>9</v>
      </c>
      <c r="I50" t="n">
        <f>ROUND('밸런스 조정'!$E$3+'밸런스 조정'!$F$3*(D50-1)+'밸런스 조정'!$C$69*MAX(0,D50-3)^2,0)</f>
        <v>4295</v>
      </c>
      <c r="J50" t="s">
        <v>125</v>
      </c>
    </row>
    <row r="51" spans="2:10">
      <c r="B51">
        <v>1</v>
      </c>
      <c r="C51" t="s">
        <v>16</v>
      </c>
      <c r="D51">
        <v>49</v>
      </c>
      <c r="E51" t="s">
        <v>15</v>
      </c>
      <c r="F51">
        <f>'밸런스 조정'!$C$3+'밸런스 조정'!$D$3*D51</f>
        <v>196</v>
      </c>
      <c r="G51" t="s">
        <v>63</v>
      </c>
      <c r="H51" t="s">
        <v>9</v>
      </c>
      <c r="I51" t="n">
        <f>ROUND('밸런스 조정'!$E$3+'밸런스 조정'!$F$3*(D51-1)+'밸런스 조정'!$C$69*MAX(0,D51-3)^2,0)</f>
        <v>4482</v>
      </c>
      <c r="J51" t="s">
        <v>125</v>
      </c>
    </row>
    <row r="52" spans="2:10">
      <c r="B52">
        <v>1</v>
      </c>
      <c r="C52" t="s">
        <v>16</v>
      </c>
      <c r="D52">
        <v>50</v>
      </c>
      <c r="E52" t="s">
        <v>15</v>
      </c>
      <c r="F52">
        <f>'밸런스 조정'!$C$3+'밸런스 조정'!$D$3*D52</f>
        <v>200</v>
      </c>
      <c r="G52" t="s">
        <v>63</v>
      </c>
      <c r="H52" t="s">
        <v>9</v>
      </c>
      <c r="I52" t="n">
        <f>ROUND('밸런스 조정'!$E$3+'밸런스 조정'!$F$3*(D52-1)+'밸런스 조정'!$C$69*MAX(0,D52-3)^2,0)</f>
        <v>4673</v>
      </c>
      <c r="J52" t="s">
        <v>125</v>
      </c>
    </row>
    <row r="53" spans="2:10">
      <c r="B53">
        <v>1</v>
      </c>
      <c r="C53" t="s">
        <v>16</v>
      </c>
      <c r="D53">
        <v>51</v>
      </c>
      <c r="E53" t="s">
        <v>15</v>
      </c>
      <c r="F53">
        <f>'밸런스 조정'!$C$3+'밸런스 조정'!$D$3*D53</f>
        <v>204</v>
      </c>
      <c r="G53" t="s">
        <v>63</v>
      </c>
      <c r="H53" t="s">
        <v>9</v>
      </c>
      <c r="I53" t="n">
        <f>ROUND('밸런스 조정'!$E$3+'밸런스 조정'!$F$3*(D53-1)+'밸런스 조정'!$C$69*MAX(0,D53-3)^2,0)</f>
        <v>4868</v>
      </c>
      <c r="J53" t="s">
        <v>125</v>
      </c>
    </row>
    <row r="54" spans="2:10">
      <c r="B54">
        <v>1</v>
      </c>
      <c r="C54" t="s">
        <v>16</v>
      </c>
      <c r="D54">
        <v>52</v>
      </c>
      <c r="E54" t="s">
        <v>15</v>
      </c>
      <c r="F54">
        <f>'밸런스 조정'!$C$3+'밸런스 조정'!$D$3*D54</f>
        <v>208</v>
      </c>
      <c r="G54" t="s">
        <v>63</v>
      </c>
      <c r="H54" t="s">
        <v>9</v>
      </c>
      <c r="I54" t="n">
        <f>ROUND('밸런스 조정'!$E$3+'밸런스 조정'!$F$3*(D54-1)+'밸런스 조정'!$C$69*MAX(0,D54-3)^2,0)</f>
        <v>5067</v>
      </c>
      <c r="J54" t="s">
        <v>125</v>
      </c>
    </row>
    <row r="55" spans="2:10">
      <c r="B55">
        <v>1</v>
      </c>
      <c r="C55" t="s">
        <v>16</v>
      </c>
      <c r="D55">
        <v>53</v>
      </c>
      <c r="E55" t="s">
        <v>15</v>
      </c>
      <c r="F55">
        <f>'밸런스 조정'!$C$3+'밸런스 조정'!$D$3*D55</f>
        <v>212</v>
      </c>
      <c r="G55" t="s">
        <v>63</v>
      </c>
      <c r="H55" t="s">
        <v>9</v>
      </c>
      <c r="I55" t="n">
        <f>ROUND('밸런스 조정'!$E$3+'밸런스 조정'!$F$3*(D55-1)+'밸런스 조정'!$C$69*MAX(0,D55-3)^2,0)</f>
        <v>5270</v>
      </c>
      <c r="J55" t="s">
        <v>125</v>
      </c>
    </row>
    <row r="56" spans="2:10">
      <c r="B56">
        <v>1</v>
      </c>
      <c r="C56" t="s">
        <v>16</v>
      </c>
      <c r="D56">
        <v>54</v>
      </c>
      <c r="E56" t="s">
        <v>15</v>
      </c>
      <c r="F56">
        <f>'밸런스 조정'!$C$3+'밸런스 조정'!$D$3*D56</f>
        <v>216</v>
      </c>
      <c r="G56" t="s">
        <v>63</v>
      </c>
      <c r="H56" t="s">
        <v>9</v>
      </c>
      <c r="I56" t="n">
        <f>ROUND('밸런스 조정'!$E$3+'밸런스 조정'!$F$3*(D56-1)+'밸런스 조정'!$C$69*MAX(0,D56-3)^2,0)</f>
        <v>5477</v>
      </c>
      <c r="J56" t="s">
        <v>125</v>
      </c>
    </row>
    <row r="57" spans="2:10">
      <c r="B57">
        <v>1</v>
      </c>
      <c r="C57" t="s">
        <v>16</v>
      </c>
      <c r="D57">
        <v>55</v>
      </c>
      <c r="E57" t="s">
        <v>15</v>
      </c>
      <c r="F57">
        <f>'밸런스 조정'!$C$3+'밸런스 조정'!$D$3*D57</f>
        <v>220</v>
      </c>
      <c r="G57" t="s">
        <v>63</v>
      </c>
      <c r="H57" t="s">
        <v>9</v>
      </c>
      <c r="I57" t="n">
        <f>ROUND('밸런스 조정'!$E$3+'밸런스 조정'!$F$3*(D57-1)+'밸런스 조정'!$C$69*MAX(0,D57-3)^2,0)</f>
        <v>5688</v>
      </c>
      <c r="J57" t="s">
        <v>125</v>
      </c>
    </row>
    <row r="58" spans="2:10">
      <c r="B58">
        <v>1</v>
      </c>
      <c r="C58" t="s">
        <v>16</v>
      </c>
      <c r="D58">
        <v>56</v>
      </c>
      <c r="E58" t="s">
        <v>15</v>
      </c>
      <c r="F58">
        <f>'밸런스 조정'!$C$3+'밸런스 조정'!$D$3*D58</f>
        <v>224</v>
      </c>
      <c r="G58" t="s">
        <v>63</v>
      </c>
      <c r="H58" t="s">
        <v>9</v>
      </c>
      <c r="I58" t="n">
        <f>ROUND('밸런스 조정'!$E$3+'밸런스 조정'!$F$3*(D58-1)+'밸런스 조정'!$C$69*MAX(0,D58-3)^2,0)</f>
        <v>5903</v>
      </c>
      <c r="J58" t="s">
        <v>125</v>
      </c>
    </row>
    <row r="59" spans="2:10">
      <c r="B59">
        <v>1</v>
      </c>
      <c r="C59" t="s">
        <v>16</v>
      </c>
      <c r="D59">
        <v>57</v>
      </c>
      <c r="E59" t="s">
        <v>15</v>
      </c>
      <c r="F59">
        <f>'밸런스 조정'!$C$3+'밸런스 조정'!$D$3*D59</f>
        <v>228</v>
      </c>
      <c r="G59" t="s">
        <v>63</v>
      </c>
      <c r="H59" t="s">
        <v>9</v>
      </c>
      <c r="I59" t="n">
        <f>ROUND('밸런스 조정'!$E$3+'밸런스 조정'!$F$3*(D59-1)+'밸런스 조정'!$C$69*MAX(0,D59-3)^2,0)</f>
        <v>6122</v>
      </c>
      <c r="J59" t="s">
        <v>125</v>
      </c>
    </row>
    <row r="60" spans="2:10">
      <c r="B60">
        <v>1</v>
      </c>
      <c r="C60" t="s">
        <v>16</v>
      </c>
      <c r="D60">
        <v>58</v>
      </c>
      <c r="E60" t="s">
        <v>15</v>
      </c>
      <c r="F60">
        <f>'밸런스 조정'!$C$3+'밸런스 조정'!$D$3*D60</f>
        <v>232</v>
      </c>
      <c r="G60" t="s">
        <v>63</v>
      </c>
      <c r="H60" t="s">
        <v>9</v>
      </c>
      <c r="I60" t="n">
        <f>ROUND('밸런스 조정'!$E$3+'밸런스 조정'!$F$3*(D60-1)+'밸런스 조정'!$C$69*MAX(0,D60-3)^2,0)</f>
        <v>6345</v>
      </c>
      <c r="J60" t="s">
        <v>125</v>
      </c>
    </row>
    <row r="61" spans="2:10">
      <c r="B61">
        <v>1</v>
      </c>
      <c r="C61" t="s">
        <v>16</v>
      </c>
      <c r="D61">
        <v>59</v>
      </c>
      <c r="E61" t="s">
        <v>15</v>
      </c>
      <c r="F61">
        <f>'밸런스 조정'!$C$3+'밸런스 조정'!$D$3*D61</f>
        <v>236</v>
      </c>
      <c r="G61" t="s">
        <v>63</v>
      </c>
      <c r="H61" t="s">
        <v>9</v>
      </c>
      <c r="I61" t="n">
        <f>ROUND('밸런스 조정'!$E$3+'밸런스 조정'!$F$3*(D61-1)+'밸런스 조정'!$C$69*MAX(0,D61-3)^2,0)</f>
        <v>6572</v>
      </c>
      <c r="J61" t="s">
        <v>125</v>
      </c>
    </row>
    <row r="62" spans="2:10">
      <c r="B62">
        <v>1</v>
      </c>
      <c r="C62" t="s">
        <v>16</v>
      </c>
      <c r="D62">
        <v>60</v>
      </c>
      <c r="E62" t="s">
        <v>15</v>
      </c>
      <c r="F62">
        <f>'밸런스 조정'!$C$3+'밸런스 조정'!$D$3*D62</f>
        <v>240</v>
      </c>
      <c r="G62" t="s">
        <v>63</v>
      </c>
      <c r="H62" t="s">
        <v>9</v>
      </c>
      <c r="I62" t="n">
        <f>ROUND('밸런스 조정'!$E$3+'밸런스 조정'!$F$3*(D62-1)+'밸런스 조정'!$C$69*MAX(0,D62-3)^2,0)</f>
        <v>6803</v>
      </c>
      <c r="J62" t="s">
        <v>125</v>
      </c>
    </row>
    <row r="63" spans="2:10">
      <c r="B63">
        <v>2</v>
      </c>
      <c r="C63" t="s">
        <v>23</v>
      </c>
      <c r="D63">
        <v>1</v>
      </c>
      <c r="E63" t="s">
        <v>22</v>
      </c>
      <c r="F63">
        <f>'밸런스 조정'!$C$4+'밸런스 조정'!$D$4*D63+'밸런스 조정'!$C$66*D63*(D63-1)</f>
        <v>20</v>
      </c>
      <c r="G63" t="s">
        <v>63</v>
      </c>
      <c r="H63" t="s">
        <v>9</v>
      </c>
      <c r="I63" t="n">
        <f>ROUND('밸런스 조정'!$E$4+'밸런스 조정'!$F$4*(D63-1)+'밸런스 조정'!$C$69*MAX(0,D63-3)^2,0)</f>
        <v>10</v>
      </c>
      <c r="J63" t="s">
        <v>126</v>
      </c>
    </row>
    <row r="64" spans="2:10">
      <c r="B64">
        <v>2</v>
      </c>
      <c r="C64" t="s">
        <v>23</v>
      </c>
      <c r="D64">
        <v>2</v>
      </c>
      <c r="E64" t="s">
        <v>22</v>
      </c>
      <c r="F64">
        <f>'밸런스 조정'!$C$4+'밸런스 조정'!$D$4*D64+'밸런스 조정'!$C$66*D64*(D64-1)</f>
        <v>50</v>
      </c>
      <c r="G64" t="s">
        <v>63</v>
      </c>
      <c r="H64" t="s">
        <v>9</v>
      </c>
      <c r="I64" t="n">
        <f>ROUND('밸런스 조정'!$E$4+'밸런스 조정'!$F$4*(D64-1)+'밸런스 조정'!$C$69*MAX(0,D64-3)^2,0)</f>
        <v>15</v>
      </c>
      <c r="J64" t="s">
        <v>126</v>
      </c>
    </row>
    <row r="65" spans="2:10">
      <c r="B65">
        <v>2</v>
      </c>
      <c r="C65" t="s">
        <v>23</v>
      </c>
      <c r="D65">
        <v>3</v>
      </c>
      <c r="E65" t="s">
        <v>22</v>
      </c>
      <c r="F65">
        <f>'밸런스 조정'!$C$4+'밸런스 조정'!$D$4*D65+'밸런스 조정'!$C$66*D65*(D65-1)</f>
        <v>90</v>
      </c>
      <c r="G65" t="s">
        <v>63</v>
      </c>
      <c r="H65" t="s">
        <v>9</v>
      </c>
      <c r="I65" t="n">
        <f>ROUND('밸런스 조정'!$E$4+'밸런스 조정'!$F$4*(D65-1)+'밸런스 조정'!$C$69*MAX(0,D65-3)^2,0)</f>
        <v>20</v>
      </c>
      <c r="J65" t="s">
        <v>126</v>
      </c>
    </row>
    <row r="66" spans="2:10">
      <c r="B66">
        <v>2</v>
      </c>
      <c r="C66" t="s">
        <v>23</v>
      </c>
      <c r="D66">
        <v>4</v>
      </c>
      <c r="E66" t="s">
        <v>22</v>
      </c>
      <c r="F66">
        <f>'밸런스 조정'!$C$4+'밸런스 조정'!$D$4*D66+'밸런스 조정'!$C$66*D66*(D66-1)</f>
        <v>140</v>
      </c>
      <c r="G66" t="s">
        <v>63</v>
      </c>
      <c r="H66" t="s">
        <v>9</v>
      </c>
      <c r="I66" t="n">
        <f>ROUND('밸런스 조정'!$E$4+'밸런스 조정'!$F$4*(D66-1)+'밸런스 조정'!$C$69*MAX(0,D66-3)^2,0)</f>
        <v>27</v>
      </c>
      <c r="J66" t="s">
        <v>126</v>
      </c>
    </row>
    <row r="67" spans="2:10">
      <c r="B67">
        <v>2</v>
      </c>
      <c r="C67" t="s">
        <v>23</v>
      </c>
      <c r="D67">
        <v>5</v>
      </c>
      <c r="E67" t="s">
        <v>22</v>
      </c>
      <c r="F67">
        <f>'밸런스 조정'!$C$4+'밸런스 조정'!$D$4*D67+'밸런스 조정'!$C$66*D67*(D67-1)</f>
        <v>200</v>
      </c>
      <c r="G67" t="s">
        <v>63</v>
      </c>
      <c r="H67" t="s">
        <v>9</v>
      </c>
      <c r="I67" t="n">
        <f>ROUND('밸런스 조정'!$E$4+'밸런스 조정'!$F$4*(D67-1)+'밸런스 조정'!$C$69*MAX(0,D67-3)^2,0)</f>
        <v>38</v>
      </c>
      <c r="J67" t="s">
        <v>126</v>
      </c>
    </row>
    <row r="68" spans="2:10">
      <c r="B68">
        <v>2</v>
      </c>
      <c r="C68" t="s">
        <v>23</v>
      </c>
      <c r="D68">
        <v>6</v>
      </c>
      <c r="E68" t="s">
        <v>22</v>
      </c>
      <c r="F68">
        <f>'밸런스 조정'!$C$4+'밸런스 조정'!$D$4*D68+'밸런스 조정'!$C$66*D68*(D68-1)</f>
        <v>270</v>
      </c>
      <c r="G68" t="s">
        <v>63</v>
      </c>
      <c r="H68" t="s">
        <v>9</v>
      </c>
      <c r="I68" t="n">
        <f>ROUND('밸런스 조정'!$E$4+'밸런스 조정'!$F$4*(D68-1)+'밸런스 조정'!$C$69*MAX(0,D68-3)^2,0)</f>
        <v>53</v>
      </c>
      <c r="J68" t="s">
        <v>126</v>
      </c>
    </row>
    <row r="69" spans="2:10">
      <c r="B69">
        <v>2</v>
      </c>
      <c r="C69" t="s">
        <v>23</v>
      </c>
      <c r="D69">
        <v>7</v>
      </c>
      <c r="E69" t="s">
        <v>22</v>
      </c>
      <c r="F69">
        <f>'밸런스 조정'!$C$4+'밸런스 조정'!$D$4*D69+'밸런스 조정'!$C$66*D69*(D69-1)</f>
        <v>350</v>
      </c>
      <c r="G69" t="s">
        <v>63</v>
      </c>
      <c r="H69" t="s">
        <v>9</v>
      </c>
      <c r="I69" t="n">
        <f>ROUND('밸런스 조정'!$E$4+'밸런스 조정'!$F$4*(D69-1)+'밸런스 조정'!$C$69*MAX(0,D69-3)^2,0)</f>
        <v>72</v>
      </c>
      <c r="J69" t="s">
        <v>126</v>
      </c>
    </row>
    <row r="70" spans="2:10">
      <c r="B70">
        <v>2</v>
      </c>
      <c r="C70" t="s">
        <v>23</v>
      </c>
      <c r="D70">
        <v>8</v>
      </c>
      <c r="E70" t="s">
        <v>22</v>
      </c>
      <c r="F70">
        <f>'밸런스 조정'!$C$4+'밸런스 조정'!$D$4*D70+'밸런스 조정'!$C$66*D70*(D70-1)</f>
        <v>440</v>
      </c>
      <c r="G70" t="s">
        <v>63</v>
      </c>
      <c r="H70" t="s">
        <v>9</v>
      </c>
      <c r="I70" t="n">
        <f>ROUND('밸런스 조정'!$E$4+'밸런스 조정'!$F$4*(D70-1)+'밸런스 조정'!$C$69*MAX(0,D70-3)^2,0)</f>
        <v>95</v>
      </c>
      <c r="J70" t="s">
        <v>126</v>
      </c>
    </row>
    <row r="71" spans="2:10">
      <c r="B71">
        <v>2</v>
      </c>
      <c r="C71" t="s">
        <v>23</v>
      </c>
      <c r="D71">
        <v>9</v>
      </c>
      <c r="E71" t="s">
        <v>22</v>
      </c>
      <c r="F71">
        <f>'밸런스 조정'!$C$4+'밸런스 조정'!$D$4*D71+'밸런스 조정'!$C$66*D71*(D71-1)</f>
        <v>540</v>
      </c>
      <c r="G71" t="s">
        <v>63</v>
      </c>
      <c r="H71" t="s">
        <v>9</v>
      </c>
      <c r="I71" t="n">
        <f>ROUND('밸런스 조정'!$E$4+'밸런스 조정'!$F$4*(D71-1)+'밸런스 조정'!$C$69*MAX(0,D71-3)^2,0)</f>
        <v>122</v>
      </c>
      <c r="J71" t="s">
        <v>126</v>
      </c>
    </row>
    <row r="72" spans="2:10">
      <c r="B72">
        <v>2</v>
      </c>
      <c r="C72" t="s">
        <v>23</v>
      </c>
      <c r="D72">
        <v>10</v>
      </c>
      <c r="E72" t="s">
        <v>22</v>
      </c>
      <c r="F72">
        <f>'밸런스 조정'!$C$4+'밸런스 조정'!$D$4*D72+'밸런스 조정'!$C$66*D72*(D72-1)</f>
        <v>650</v>
      </c>
      <c r="G72" t="s">
        <v>63</v>
      </c>
      <c r="H72" t="s">
        <v>9</v>
      </c>
      <c r="I72" t="n">
        <f>ROUND('밸런스 조정'!$E$4+'밸런스 조정'!$F$4*(D72-1)+'밸런스 조정'!$C$69*MAX(0,D72-3)^2,0)</f>
        <v>153</v>
      </c>
      <c r="J72" t="s">
        <v>126</v>
      </c>
    </row>
    <row r="73" spans="2:10">
      <c r="B73">
        <v>2</v>
      </c>
      <c r="C73" t="s">
        <v>23</v>
      </c>
      <c r="D73">
        <v>11</v>
      </c>
      <c r="E73" t="s">
        <v>22</v>
      </c>
      <c r="F73">
        <f>'밸런스 조정'!$C$4+'밸런스 조정'!$D$4*D73+'밸런스 조정'!$C$66*D73*(D73-1)</f>
        <v>770</v>
      </c>
      <c r="G73" t="s">
        <v>63</v>
      </c>
      <c r="H73" t="s">
        <v>9</v>
      </c>
      <c r="I73" t="n">
        <f>ROUND('밸런스 조정'!$E$4+'밸런스 조정'!$F$4*(D73-1)+'밸런스 조정'!$C$69*MAX(0,D73-3)^2,0)</f>
        <v>188</v>
      </c>
      <c r="J73" t="s">
        <v>126</v>
      </c>
    </row>
    <row r="74" spans="2:10">
      <c r="B74">
        <v>2</v>
      </c>
      <c r="C74" t="s">
        <v>23</v>
      </c>
      <c r="D74">
        <v>12</v>
      </c>
      <c r="E74" t="s">
        <v>22</v>
      </c>
      <c r="F74">
        <f>'밸런스 조정'!$C$4+'밸런스 조정'!$D$4*D74+'밸런스 조정'!$C$66*D74*(D74-1)</f>
        <v>900</v>
      </c>
      <c r="G74" t="s">
        <v>63</v>
      </c>
      <c r="H74" t="s">
        <v>9</v>
      </c>
      <c r="I74" t="n">
        <f>ROUND('밸런스 조정'!$E$4+'밸런스 조정'!$F$4*(D74-1)+'밸런스 조정'!$C$69*MAX(0,D74-3)^2,0)</f>
        <v>227</v>
      </c>
      <c r="J74" t="s">
        <v>126</v>
      </c>
    </row>
    <row r="75" spans="2:10">
      <c r="B75">
        <v>2</v>
      </c>
      <c r="C75" t="s">
        <v>23</v>
      </c>
      <c r="D75">
        <v>13</v>
      </c>
      <c r="E75" t="s">
        <v>22</v>
      </c>
      <c r="F75">
        <f>'밸런스 조정'!$C$4+'밸런스 조정'!$D$4*D75+'밸런스 조정'!$C$66*D75*(D75-1)</f>
        <v>1040</v>
      </c>
      <c r="G75" t="s">
        <v>63</v>
      </c>
      <c r="H75" t="s">
        <v>9</v>
      </c>
      <c r="I75" t="n">
        <f>ROUND('밸런스 조정'!$E$4+'밸런스 조정'!$F$4*(D75-1)+'밸런스 조정'!$C$69*MAX(0,D75-3)^2,0)</f>
        <v>270</v>
      </c>
      <c r="J75" t="s">
        <v>126</v>
      </c>
    </row>
    <row r="76" spans="2:10">
      <c r="B76">
        <v>2</v>
      </c>
      <c r="C76" t="s">
        <v>23</v>
      </c>
      <c r="D76">
        <v>14</v>
      </c>
      <c r="E76" t="s">
        <v>22</v>
      </c>
      <c r="F76">
        <f>'밸런스 조정'!$C$4+'밸런스 조정'!$D$4*D76+'밸런스 조정'!$C$66*D76*(D76-1)</f>
        <v>1190</v>
      </c>
      <c r="G76" t="s">
        <v>63</v>
      </c>
      <c r="H76" t="s">
        <v>9</v>
      </c>
      <c r="I76" t="n">
        <f>ROUND('밸런스 조정'!$E$4+'밸런스 조정'!$F$4*(D76-1)+'밸런스 조정'!$C$69*MAX(0,D76-3)^2,0)</f>
        <v>317</v>
      </c>
      <c r="J76" t="s">
        <v>126</v>
      </c>
    </row>
    <row r="77" spans="2:10">
      <c r="B77">
        <v>2</v>
      </c>
      <c r="C77" t="s">
        <v>23</v>
      </c>
      <c r="D77">
        <v>15</v>
      </c>
      <c r="E77" t="s">
        <v>22</v>
      </c>
      <c r="F77">
        <f>'밸런스 조정'!$C$4+'밸런스 조정'!$D$4*D77+'밸런스 조정'!$C$66*D77*(D77-1)</f>
        <v>1350</v>
      </c>
      <c r="G77" t="s">
        <v>63</v>
      </c>
      <c r="H77" t="s">
        <v>9</v>
      </c>
      <c r="I77" t="n">
        <f>ROUND('밸런스 조정'!$E$4+'밸런스 조정'!$F$4*(D77-1)+'밸런스 조정'!$C$69*MAX(0,D77-3)^2,0)</f>
        <v>368</v>
      </c>
      <c r="J77" t="s">
        <v>126</v>
      </c>
    </row>
    <row r="78" spans="2:10">
      <c r="B78">
        <v>2</v>
      </c>
      <c r="C78" t="s">
        <v>23</v>
      </c>
      <c r="D78">
        <v>16</v>
      </c>
      <c r="E78" t="s">
        <v>22</v>
      </c>
      <c r="F78">
        <f>'밸런스 조정'!$C$4+'밸런스 조정'!$D$4*D78+'밸런스 조정'!$C$66*D78*(D78-1)</f>
        <v>1520</v>
      </c>
      <c r="G78" t="s">
        <v>63</v>
      </c>
      <c r="H78" t="s">
        <v>9</v>
      </c>
      <c r="I78" t="n">
        <f>ROUND('밸런스 조정'!$E$4+'밸런스 조정'!$F$4*(D78-1)+'밸런스 조정'!$C$69*MAX(0,D78-3)^2,0)</f>
        <v>423</v>
      </c>
      <c r="J78" t="s">
        <v>126</v>
      </c>
    </row>
    <row r="79" spans="2:10">
      <c r="B79">
        <v>2</v>
      </c>
      <c r="C79" t="s">
        <v>23</v>
      </c>
      <c r="D79">
        <v>17</v>
      </c>
      <c r="E79" t="s">
        <v>22</v>
      </c>
      <c r="F79">
        <f>'밸런스 조정'!$C$4+'밸런스 조정'!$D$4*D79+'밸런스 조정'!$C$66*D79*(D79-1)</f>
        <v>1700</v>
      </c>
      <c r="G79" t="s">
        <v>63</v>
      </c>
      <c r="H79" t="s">
        <v>9</v>
      </c>
      <c r="I79" t="n">
        <f>ROUND('밸런스 조정'!$E$4+'밸런스 조정'!$F$4*(D79-1)+'밸런스 조정'!$C$69*MAX(0,D79-3)^2,0)</f>
        <v>482</v>
      </c>
      <c r="J79" t="s">
        <v>126</v>
      </c>
    </row>
    <row r="80" spans="2:10">
      <c r="B80">
        <v>2</v>
      </c>
      <c r="C80" t="s">
        <v>23</v>
      </c>
      <c r="D80">
        <v>18</v>
      </c>
      <c r="E80" t="s">
        <v>22</v>
      </c>
      <c r="F80">
        <f>'밸런스 조정'!$C$4+'밸런스 조정'!$D$4*D80+'밸런스 조정'!$C$66*D80*(D80-1)</f>
        <v>1890</v>
      </c>
      <c r="G80" t="s">
        <v>63</v>
      </c>
      <c r="H80" t="s">
        <v>9</v>
      </c>
      <c r="I80" t="n">
        <f>ROUND('밸런스 조정'!$E$4+'밸런스 조정'!$F$4*(D80-1)+'밸런스 조정'!$C$69*MAX(0,D80-3)^2,0)</f>
        <v>545</v>
      </c>
      <c r="J80" t="s">
        <v>126</v>
      </c>
    </row>
    <row r="81" spans="2:10">
      <c r="B81">
        <v>2</v>
      </c>
      <c r="C81" t="s">
        <v>23</v>
      </c>
      <c r="D81">
        <v>19</v>
      </c>
      <c r="E81" t="s">
        <v>22</v>
      </c>
      <c r="F81">
        <f>'밸런스 조정'!$C$4+'밸런스 조정'!$D$4*D81+'밸런스 조정'!$C$66*D81*(D81-1)</f>
        <v>2090</v>
      </c>
      <c r="G81" t="s">
        <v>63</v>
      </c>
      <c r="H81" t="s">
        <v>9</v>
      </c>
      <c r="I81" t="n">
        <f>ROUND('밸런스 조정'!$E$4+'밸런스 조정'!$F$4*(D81-1)+'밸런스 조정'!$C$69*MAX(0,D81-3)^2,0)</f>
        <v>612</v>
      </c>
      <c r="J81" t="s">
        <v>126</v>
      </c>
    </row>
    <row r="82" spans="2:10">
      <c r="B82">
        <v>2</v>
      </c>
      <c r="C82" t="s">
        <v>23</v>
      </c>
      <c r="D82">
        <v>20</v>
      </c>
      <c r="E82" t="s">
        <v>22</v>
      </c>
      <c r="F82">
        <f>'밸런스 조정'!$C$4+'밸런스 조정'!$D$4*D82+'밸런스 조정'!$C$66*D82*(D82-1)</f>
        <v>2300</v>
      </c>
      <c r="G82" t="s">
        <v>63</v>
      </c>
      <c r="H82" t="s">
        <v>9</v>
      </c>
      <c r="I82" t="n">
        <f>ROUND('밸런스 조정'!$E$4+'밸런스 조정'!$F$4*(D82-1)+'밸런스 조정'!$C$69*MAX(0,D82-3)^2,0)</f>
        <v>683</v>
      </c>
      <c r="J82" t="s">
        <v>126</v>
      </c>
    </row>
    <row r="83" spans="2:10">
      <c r="B83">
        <v>2</v>
      </c>
      <c r="C83" t="s">
        <v>23</v>
      </c>
      <c r="D83">
        <v>21</v>
      </c>
      <c r="E83" t="s">
        <v>22</v>
      </c>
      <c r="F83">
        <f>'밸런스 조정'!$C$4+'밸런스 조정'!$D$4*D83+'밸런스 조정'!$C$66*D83*(D83-1)</f>
        <v>2520</v>
      </c>
      <c r="G83" t="s">
        <v>63</v>
      </c>
      <c r="H83" t="s">
        <v>9</v>
      </c>
      <c r="I83" t="n">
        <f>ROUND('밸런스 조정'!$E$4+'밸런스 조정'!$F$4*(D83-1)+'밸런스 조정'!$C$69*MAX(0,D83-3)^2,0)</f>
        <v>758</v>
      </c>
      <c r="J83" t="s">
        <v>126</v>
      </c>
    </row>
    <row r="84" spans="2:10">
      <c r="B84">
        <v>2</v>
      </c>
      <c r="C84" t="s">
        <v>23</v>
      </c>
      <c r="D84">
        <v>22</v>
      </c>
      <c r="E84" t="s">
        <v>22</v>
      </c>
      <c r="F84">
        <f>'밸런스 조정'!$C$4+'밸런스 조정'!$D$4*D84+'밸런스 조정'!$C$66*D84*(D84-1)</f>
        <v>2750</v>
      </c>
      <c r="G84" t="s">
        <v>63</v>
      </c>
      <c r="H84" t="s">
        <v>9</v>
      </c>
      <c r="I84" t="n">
        <f>ROUND('밸런스 조정'!$E$4+'밸런스 조정'!$F$4*(D84-1)+'밸런스 조정'!$C$69*MAX(0,D84-3)^2,0)</f>
        <v>837</v>
      </c>
      <c r="J84" t="s">
        <v>126</v>
      </c>
    </row>
    <row r="85" spans="2:10">
      <c r="B85">
        <v>2</v>
      </c>
      <c r="C85" t="s">
        <v>23</v>
      </c>
      <c r="D85">
        <v>23</v>
      </c>
      <c r="E85" t="s">
        <v>22</v>
      </c>
      <c r="F85">
        <f>'밸런스 조정'!$C$4+'밸런스 조정'!$D$4*D85+'밸런스 조정'!$C$66*D85*(D85-1)</f>
        <v>2990</v>
      </c>
      <c r="G85" t="s">
        <v>63</v>
      </c>
      <c r="H85" t="s">
        <v>9</v>
      </c>
      <c r="I85" t="n">
        <f>ROUND('밸런스 조정'!$E$4+'밸런스 조정'!$F$4*(D85-1)+'밸런스 조정'!$C$69*MAX(0,D85-3)^2,0)</f>
        <v>920</v>
      </c>
      <c r="J85" t="s">
        <v>126</v>
      </c>
    </row>
    <row r="86" spans="2:10">
      <c r="B86">
        <v>2</v>
      </c>
      <c r="C86" t="s">
        <v>23</v>
      </c>
      <c r="D86">
        <v>24</v>
      </c>
      <c r="E86" t="s">
        <v>22</v>
      </c>
      <c r="F86">
        <f>'밸런스 조정'!$C$4+'밸런스 조정'!$D$4*D86+'밸런스 조정'!$C$66*D86*(D86-1)</f>
        <v>3240</v>
      </c>
      <c r="G86" t="s">
        <v>63</v>
      </c>
      <c r="H86" t="s">
        <v>9</v>
      </c>
      <c r="I86" t="n">
        <f>ROUND('밸런스 조정'!$E$4+'밸런스 조정'!$F$4*(D86-1)+'밸런스 조정'!$C$69*MAX(0,D86-3)^2,0)</f>
        <v>1007</v>
      </c>
      <c r="J86" t="s">
        <v>126</v>
      </c>
    </row>
    <row r="87" spans="2:10">
      <c r="B87">
        <v>2</v>
      </c>
      <c r="C87" t="s">
        <v>23</v>
      </c>
      <c r="D87">
        <v>25</v>
      </c>
      <c r="E87" t="s">
        <v>22</v>
      </c>
      <c r="F87">
        <f>'밸런스 조정'!$C$4+'밸런스 조정'!$D$4*D87+'밸런스 조정'!$C$66*D87*(D87-1)</f>
        <v>3500</v>
      </c>
      <c r="G87" t="s">
        <v>63</v>
      </c>
      <c r="H87" t="s">
        <v>9</v>
      </c>
      <c r="I87" t="n">
        <f>ROUND('밸런스 조정'!$E$4+'밸런스 조정'!$F$4*(D87-1)+'밸런스 조정'!$C$69*MAX(0,D87-3)^2,0)</f>
        <v>1098</v>
      </c>
      <c r="J87" t="s">
        <v>126</v>
      </c>
    </row>
    <row r="88" spans="2:10">
      <c r="B88">
        <v>2</v>
      </c>
      <c r="C88" t="s">
        <v>23</v>
      </c>
      <c r="D88">
        <v>26</v>
      </c>
      <c r="E88" t="s">
        <v>22</v>
      </c>
      <c r="F88">
        <f>'밸런스 조정'!$C$4+'밸런스 조정'!$D$4*D88+'밸런스 조정'!$C$66*D88*(D88-1)</f>
        <v>3770</v>
      </c>
      <c r="G88" t="s">
        <v>63</v>
      </c>
      <c r="H88" t="s">
        <v>9</v>
      </c>
      <c r="I88" t="n">
        <f>ROUND('밸런스 조정'!$E$4+'밸런스 조정'!$F$4*(D88-1)+'밸런스 조정'!$C$69*MAX(0,D88-3)^2,0)</f>
        <v>1193</v>
      </c>
      <c r="J88" t="s">
        <v>126</v>
      </c>
    </row>
    <row r="89" spans="2:10">
      <c r="B89">
        <v>2</v>
      </c>
      <c r="C89" t="s">
        <v>23</v>
      </c>
      <c r="D89">
        <v>27</v>
      </c>
      <c r="E89" t="s">
        <v>22</v>
      </c>
      <c r="F89">
        <f>'밸런스 조정'!$C$4+'밸런스 조정'!$D$4*D89+'밸런스 조정'!$C$66*D89*(D89-1)</f>
        <v>4050</v>
      </c>
      <c r="G89" t="s">
        <v>63</v>
      </c>
      <c r="H89" t="s">
        <v>9</v>
      </c>
      <c r="I89" t="n">
        <f>ROUND('밸런스 조정'!$E$4+'밸런스 조정'!$F$4*(D89-1)+'밸런스 조정'!$C$69*MAX(0,D89-3)^2,0)</f>
        <v>1292</v>
      </c>
      <c r="J89" t="s">
        <v>126</v>
      </c>
    </row>
    <row r="90" spans="2:10">
      <c r="B90">
        <v>2</v>
      </c>
      <c r="C90" t="s">
        <v>23</v>
      </c>
      <c r="D90">
        <v>28</v>
      </c>
      <c r="E90" t="s">
        <v>22</v>
      </c>
      <c r="F90">
        <f>'밸런스 조정'!$C$4+'밸런스 조정'!$D$4*D90+'밸런스 조정'!$C$66*D90*(D90-1)</f>
        <v>4340</v>
      </c>
      <c r="G90" t="s">
        <v>63</v>
      </c>
      <c r="H90" t="s">
        <v>9</v>
      </c>
      <c r="I90" t="n">
        <f>ROUND('밸런스 조정'!$E$4+'밸런스 조정'!$F$4*(D90-1)+'밸런스 조정'!$C$69*MAX(0,D90-3)^2,0)</f>
        <v>1395</v>
      </c>
      <c r="J90" t="s">
        <v>126</v>
      </c>
    </row>
    <row r="91" spans="2:10">
      <c r="B91">
        <v>2</v>
      </c>
      <c r="C91" t="s">
        <v>23</v>
      </c>
      <c r="D91">
        <v>29</v>
      </c>
      <c r="E91" t="s">
        <v>22</v>
      </c>
      <c r="F91">
        <f>'밸런스 조정'!$C$4+'밸런스 조정'!$D$4*D91+'밸런스 조정'!$C$66*D91*(D91-1)</f>
        <v>4640</v>
      </c>
      <c r="G91" t="s">
        <v>63</v>
      </c>
      <c r="H91" t="s">
        <v>9</v>
      </c>
      <c r="I91" t="n">
        <f>ROUND('밸런스 조정'!$E$4+'밸런스 조정'!$F$4*(D91-1)+'밸런스 조정'!$C$69*MAX(0,D91-3)^2,0)</f>
        <v>1502</v>
      </c>
      <c r="J91" t="s">
        <v>126</v>
      </c>
    </row>
    <row r="92" spans="2:10">
      <c r="B92">
        <v>2</v>
      </c>
      <c r="C92" t="s">
        <v>23</v>
      </c>
      <c r="D92">
        <v>30</v>
      </c>
      <c r="E92" t="s">
        <v>22</v>
      </c>
      <c r="F92">
        <f>'밸런스 조정'!$C$4+'밸런스 조정'!$D$4*D92+'밸런스 조정'!$C$66*D92*(D92-1)</f>
        <v>4950</v>
      </c>
      <c r="G92" t="s">
        <v>63</v>
      </c>
      <c r="H92" t="s">
        <v>9</v>
      </c>
      <c r="I92" t="n">
        <f>ROUND('밸런스 조정'!$E$4+'밸런스 조정'!$F$4*(D92-1)+'밸런스 조정'!$C$69*MAX(0,D92-3)^2,0)</f>
        <v>1613</v>
      </c>
      <c r="J92" t="s">
        <v>126</v>
      </c>
    </row>
    <row r="93" spans="2:10">
      <c r="B93">
        <v>2</v>
      </c>
      <c r="C93" t="s">
        <v>23</v>
      </c>
      <c r="D93">
        <v>31</v>
      </c>
      <c r="E93" t="s">
        <v>22</v>
      </c>
      <c r="F93">
        <f>'밸런스 조정'!$C$4+'밸런스 조정'!$D$4*D93+'밸런스 조정'!$C$66*D93*(D93-1)</f>
        <v>5270</v>
      </c>
      <c r="G93" t="s">
        <v>63</v>
      </c>
      <c r="H93" t="s">
        <v>9</v>
      </c>
      <c r="I93" t="n">
        <f>ROUND('밸런스 조정'!$E$4+'밸런스 조정'!$F$4*(D93-1)+'밸런스 조정'!$C$69*MAX(0,D93-3)^2,0)</f>
        <v>1728</v>
      </c>
      <c r="J93" t="s">
        <v>126</v>
      </c>
    </row>
    <row r="94" spans="2:10">
      <c r="B94">
        <v>2</v>
      </c>
      <c r="C94" t="s">
        <v>23</v>
      </c>
      <c r="D94">
        <v>32</v>
      </c>
      <c r="E94" t="s">
        <v>22</v>
      </c>
      <c r="F94">
        <f>'밸런스 조정'!$C$4+'밸런스 조정'!$D$4*D94+'밸런스 조정'!$C$66*D94*(D94-1)</f>
        <v>5600</v>
      </c>
      <c r="G94" t="s">
        <v>63</v>
      </c>
      <c r="H94" t="s">
        <v>9</v>
      </c>
      <c r="I94" t="n">
        <f>ROUND('밸런스 조정'!$E$4+'밸런스 조정'!$F$4*(D94-1)+'밸런스 조정'!$C$69*MAX(0,D94-3)^2,0)</f>
        <v>1847</v>
      </c>
      <c r="J94" t="s">
        <v>126</v>
      </c>
    </row>
    <row r="95" spans="2:10">
      <c r="B95">
        <v>2</v>
      </c>
      <c r="C95" t="s">
        <v>23</v>
      </c>
      <c r="D95">
        <v>33</v>
      </c>
      <c r="E95" t="s">
        <v>22</v>
      </c>
      <c r="F95">
        <f>'밸런스 조정'!$C$4+'밸런스 조정'!$D$4*D95+'밸런스 조정'!$C$66*D95*(D95-1)</f>
        <v>5940</v>
      </c>
      <c r="G95" t="s">
        <v>63</v>
      </c>
      <c r="H95" t="s">
        <v>9</v>
      </c>
      <c r="I95" t="n">
        <f>ROUND('밸런스 조정'!$E$4+'밸런스 조정'!$F$4*(D95-1)+'밸런스 조정'!$C$69*MAX(0,D95-3)^2,0)</f>
        <v>1970</v>
      </c>
      <c r="J95" t="s">
        <v>126</v>
      </c>
    </row>
    <row r="96" spans="2:10">
      <c r="B96">
        <v>2</v>
      </c>
      <c r="C96" t="s">
        <v>23</v>
      </c>
      <c r="D96">
        <v>34</v>
      </c>
      <c r="E96" t="s">
        <v>22</v>
      </c>
      <c r="F96">
        <f>'밸런스 조정'!$C$4+'밸런스 조정'!$D$4*D96+'밸런스 조정'!$C$66*D96*(D96-1)</f>
        <v>6290</v>
      </c>
      <c r="G96" t="s">
        <v>63</v>
      </c>
      <c r="H96" t="s">
        <v>9</v>
      </c>
      <c r="I96" t="n">
        <f>ROUND('밸런스 조정'!$E$4+'밸런스 조정'!$F$4*(D96-1)+'밸런스 조정'!$C$69*MAX(0,D96-3)^2,0)</f>
        <v>2097</v>
      </c>
      <c r="J96" t="s">
        <v>126</v>
      </c>
    </row>
    <row r="97" spans="2:10">
      <c r="B97">
        <v>2</v>
      </c>
      <c r="C97" t="s">
        <v>23</v>
      </c>
      <c r="D97">
        <v>35</v>
      </c>
      <c r="E97" t="s">
        <v>22</v>
      </c>
      <c r="F97">
        <f>'밸런스 조정'!$C$4+'밸런스 조정'!$D$4*D97+'밸런스 조정'!$C$66*D97*(D97-1)</f>
        <v>6650</v>
      </c>
      <c r="G97" t="s">
        <v>63</v>
      </c>
      <c r="H97" t="s">
        <v>9</v>
      </c>
      <c r="I97" t="n">
        <f>ROUND('밸런스 조정'!$E$4+'밸런스 조정'!$F$4*(D97-1)+'밸런스 조정'!$C$69*MAX(0,D97-3)^2,0)</f>
        <v>2228</v>
      </c>
      <c r="J97" t="s">
        <v>126</v>
      </c>
    </row>
    <row r="98" spans="2:10">
      <c r="B98">
        <v>2</v>
      </c>
      <c r="C98" t="s">
        <v>23</v>
      </c>
      <c r="D98">
        <v>36</v>
      </c>
      <c r="E98" t="s">
        <v>22</v>
      </c>
      <c r="F98">
        <f>'밸런스 조정'!$C$4+'밸런스 조정'!$D$4*D98+'밸런스 조정'!$C$66*D98*(D98-1)</f>
        <v>7020</v>
      </c>
      <c r="G98" t="s">
        <v>63</v>
      </c>
      <c r="H98" t="s">
        <v>9</v>
      </c>
      <c r="I98" t="n">
        <f>ROUND('밸런스 조정'!$E$4+'밸런스 조정'!$F$4*(D98-1)+'밸런스 조정'!$C$69*MAX(0,D98-3)^2,0)</f>
        <v>2363</v>
      </c>
      <c r="J98" t="s">
        <v>126</v>
      </c>
    </row>
    <row r="99" spans="2:10">
      <c r="B99">
        <v>2</v>
      </c>
      <c r="C99" t="s">
        <v>23</v>
      </c>
      <c r="D99">
        <v>37</v>
      </c>
      <c r="E99" t="s">
        <v>22</v>
      </c>
      <c r="F99">
        <f>'밸런스 조정'!$C$4+'밸런스 조정'!$D$4*D99+'밸런스 조정'!$C$66*D99*(D99-1)</f>
        <v>7400</v>
      </c>
      <c r="G99" t="s">
        <v>63</v>
      </c>
      <c r="H99" t="s">
        <v>9</v>
      </c>
      <c r="I99" t="n">
        <f>ROUND('밸런스 조정'!$E$4+'밸런스 조정'!$F$4*(D99-1)+'밸런스 조정'!$C$69*MAX(0,D99-3)^2,0)</f>
        <v>2502</v>
      </c>
      <c r="J99" t="s">
        <v>126</v>
      </c>
    </row>
    <row r="100" spans="2:10">
      <c r="B100">
        <v>2</v>
      </c>
      <c r="C100" t="s">
        <v>23</v>
      </c>
      <c r="D100">
        <v>38</v>
      </c>
      <c r="E100" t="s">
        <v>22</v>
      </c>
      <c r="F100">
        <f>'밸런스 조정'!$C$4+'밸런스 조정'!$D$4*D100+'밸런스 조정'!$C$66*D100*(D100-1)</f>
        <v>7790</v>
      </c>
      <c r="G100" t="s">
        <v>63</v>
      </c>
      <c r="H100" t="s">
        <v>9</v>
      </c>
      <c r="I100" t="n">
        <f>ROUND('밸런스 조정'!$E$4+'밸런스 조정'!$F$4*(D100-1)+'밸런스 조정'!$C$69*MAX(0,D100-3)^2,0)</f>
        <v>2645</v>
      </c>
      <c r="J100" t="s">
        <v>126</v>
      </c>
    </row>
    <row r="101" spans="2:10">
      <c r="B101">
        <v>2</v>
      </c>
      <c r="C101" t="s">
        <v>23</v>
      </c>
      <c r="D101">
        <v>39</v>
      </c>
      <c r="E101" t="s">
        <v>22</v>
      </c>
      <c r="F101">
        <f>'밸런스 조정'!$C$4+'밸런스 조정'!$D$4*D101+'밸런스 조정'!$C$66*D101*(D101-1)</f>
        <v>8190</v>
      </c>
      <c r="G101" t="s">
        <v>63</v>
      </c>
      <c r="H101" t="s">
        <v>9</v>
      </c>
      <c r="I101" t="n">
        <f>ROUND('밸런스 조정'!$E$4+'밸런스 조정'!$F$4*(D101-1)+'밸런스 조정'!$C$69*MAX(0,D101-3)^2,0)</f>
        <v>2792</v>
      </c>
      <c r="J101" t="s">
        <v>126</v>
      </c>
    </row>
    <row r="102" spans="2:10">
      <c r="B102">
        <v>2</v>
      </c>
      <c r="C102" t="s">
        <v>23</v>
      </c>
      <c r="D102">
        <v>40</v>
      </c>
      <c r="E102" t="s">
        <v>22</v>
      </c>
      <c r="F102">
        <f>'밸런스 조정'!$C$4+'밸런스 조정'!$D$4*D102+'밸런스 조정'!$C$66*D102*(D102-1)</f>
        <v>8600</v>
      </c>
      <c r="G102" t="s">
        <v>63</v>
      </c>
      <c r="H102" t="s">
        <v>9</v>
      </c>
      <c r="I102" t="n">
        <f>ROUND('밸런스 조정'!$E$4+'밸런스 조정'!$F$4*(D102-1)+'밸런스 조정'!$C$69*MAX(0,D102-3)^2,0)</f>
        <v>2943</v>
      </c>
      <c r="J102" t="s">
        <v>126</v>
      </c>
    </row>
    <row r="103" spans="2:10">
      <c r="B103">
        <v>2</v>
      </c>
      <c r="C103" t="s">
        <v>23</v>
      </c>
      <c r="D103">
        <v>41</v>
      </c>
      <c r="E103" t="s">
        <v>22</v>
      </c>
      <c r="F103">
        <f>'밸런스 조정'!$C$4+'밸런스 조정'!$D$4*D103+'밸런스 조정'!$C$66*D103*(D103-1)</f>
        <v>9020</v>
      </c>
      <c r="G103" t="s">
        <v>63</v>
      </c>
      <c r="H103" t="s">
        <v>9</v>
      </c>
      <c r="I103" t="n">
        <f>ROUND('밸런스 조정'!$E$4+'밸런스 조정'!$F$4*(D103-1)+'밸런스 조정'!$C$69*MAX(0,D103-3)^2,0)</f>
        <v>3098</v>
      </c>
      <c r="J103" t="s">
        <v>126</v>
      </c>
    </row>
    <row r="104" spans="2:10">
      <c r="B104">
        <v>2</v>
      </c>
      <c r="C104" t="s">
        <v>23</v>
      </c>
      <c r="D104">
        <v>42</v>
      </c>
      <c r="E104" t="s">
        <v>22</v>
      </c>
      <c r="F104">
        <f>'밸런스 조정'!$C$4+'밸런스 조정'!$D$4*D104+'밸런스 조정'!$C$66*D104*(D104-1)</f>
        <v>9450</v>
      </c>
      <c r="G104" t="s">
        <v>63</v>
      </c>
      <c r="H104" t="s">
        <v>9</v>
      </c>
      <c r="I104" t="n">
        <f>ROUND('밸런스 조정'!$E$4+'밸런스 조정'!$F$4*(D104-1)+'밸런스 조정'!$C$69*MAX(0,D104-3)^2,0)</f>
        <v>3257</v>
      </c>
      <c r="J104" t="s">
        <v>126</v>
      </c>
    </row>
    <row r="105" spans="2:10">
      <c r="B105">
        <v>2</v>
      </c>
      <c r="C105" t="s">
        <v>23</v>
      </c>
      <c r="D105">
        <v>43</v>
      </c>
      <c r="E105" t="s">
        <v>22</v>
      </c>
      <c r="F105">
        <f>'밸런스 조정'!$C$4+'밸런스 조정'!$D$4*D105+'밸런스 조정'!$C$66*D105*(D105-1)</f>
        <v>9890</v>
      </c>
      <c r="G105" t="s">
        <v>63</v>
      </c>
      <c r="H105" t="s">
        <v>9</v>
      </c>
      <c r="I105" t="n">
        <f>ROUND('밸런스 조정'!$E$4+'밸런스 조정'!$F$4*(D105-1)+'밸런스 조정'!$C$69*MAX(0,D105-3)^2,0)</f>
        <v>3420</v>
      </c>
      <c r="J105" t="s">
        <v>126</v>
      </c>
    </row>
    <row r="106" spans="2:10">
      <c r="B106">
        <v>2</v>
      </c>
      <c r="C106" t="s">
        <v>23</v>
      </c>
      <c r="D106">
        <v>44</v>
      </c>
      <c r="E106" t="s">
        <v>22</v>
      </c>
      <c r="F106">
        <f>'밸런스 조정'!$C$4+'밸런스 조정'!$D$4*D106+'밸런스 조정'!$C$66*D106*(D106-1)</f>
        <v>10340</v>
      </c>
      <c r="G106" t="s">
        <v>63</v>
      </c>
      <c r="H106" t="s">
        <v>9</v>
      </c>
      <c r="I106" t="n">
        <f>ROUND('밸런스 조정'!$E$4+'밸런스 조정'!$F$4*(D106-1)+'밸런스 조정'!$C$69*MAX(0,D106-3)^2,0)</f>
        <v>3587</v>
      </c>
      <c r="J106" t="s">
        <v>126</v>
      </c>
    </row>
    <row r="107" spans="2:10">
      <c r="B107">
        <v>2</v>
      </c>
      <c r="C107" t="s">
        <v>23</v>
      </c>
      <c r="D107">
        <v>45</v>
      </c>
      <c r="E107" t="s">
        <v>22</v>
      </c>
      <c r="F107">
        <f>'밸런스 조정'!$C$4+'밸런스 조정'!$D$4*D107+'밸런스 조정'!$C$66*D107*(D107-1)</f>
        <v>10800</v>
      </c>
      <c r="G107" t="s">
        <v>63</v>
      </c>
      <c r="H107" t="s">
        <v>9</v>
      </c>
      <c r="I107" t="n">
        <f>ROUND('밸런스 조정'!$E$4+'밸런스 조정'!$F$4*(D107-1)+'밸런스 조정'!$C$69*MAX(0,D107-3)^2,0)</f>
        <v>3758</v>
      </c>
      <c r="J107" t="s">
        <v>126</v>
      </c>
    </row>
    <row r="108" spans="2:10">
      <c r="B108">
        <v>2</v>
      </c>
      <c r="C108" t="s">
        <v>23</v>
      </c>
      <c r="D108">
        <v>46</v>
      </c>
      <c r="E108" t="s">
        <v>22</v>
      </c>
      <c r="F108">
        <f>'밸런스 조정'!$C$4+'밸런스 조정'!$D$4*D108+'밸런스 조정'!$C$66*D108*(D108-1)</f>
        <v>11270</v>
      </c>
      <c r="G108" t="s">
        <v>63</v>
      </c>
      <c r="H108" t="s">
        <v>9</v>
      </c>
      <c r="I108" t="n">
        <f>ROUND('밸런스 조정'!$E$4+'밸런스 조정'!$F$4*(D108-1)+'밸런스 조정'!$C$69*MAX(0,D108-3)^2,0)</f>
        <v>3933</v>
      </c>
      <c r="J108" t="s">
        <v>126</v>
      </c>
    </row>
    <row r="109" spans="2:10">
      <c r="B109">
        <v>2</v>
      </c>
      <c r="C109" t="s">
        <v>23</v>
      </c>
      <c r="D109">
        <v>47</v>
      </c>
      <c r="E109" t="s">
        <v>22</v>
      </c>
      <c r="F109">
        <f>'밸런스 조정'!$C$4+'밸런스 조정'!$D$4*D109+'밸런스 조정'!$C$66*D109*(D109-1)</f>
        <v>11750</v>
      </c>
      <c r="G109" t="s">
        <v>63</v>
      </c>
      <c r="H109" t="s">
        <v>9</v>
      </c>
      <c r="I109" t="n">
        <f>ROUND('밸런스 조정'!$E$4+'밸런스 조정'!$F$4*(D109-1)+'밸런스 조정'!$C$69*MAX(0,D109-3)^2,0)</f>
        <v>4112</v>
      </c>
      <c r="J109" t="s">
        <v>126</v>
      </c>
    </row>
    <row r="110" spans="2:10">
      <c r="B110">
        <v>2</v>
      </c>
      <c r="C110" t="s">
        <v>23</v>
      </c>
      <c r="D110">
        <v>48</v>
      </c>
      <c r="E110" t="s">
        <v>22</v>
      </c>
      <c r="F110">
        <f>'밸런스 조정'!$C$4+'밸런스 조정'!$D$4*D110+'밸런스 조정'!$C$66*D110*(D110-1)</f>
        <v>12240</v>
      </c>
      <c r="G110" t="s">
        <v>63</v>
      </c>
      <c r="H110" t="s">
        <v>9</v>
      </c>
      <c r="I110" t="n">
        <f>ROUND('밸런스 조정'!$E$4+'밸런스 조정'!$F$4*(D110-1)+'밸런스 조정'!$C$69*MAX(0,D110-3)^2,0)</f>
        <v>4295</v>
      </c>
      <c r="J110" t="s">
        <v>126</v>
      </c>
    </row>
    <row r="111" spans="2:10">
      <c r="B111">
        <v>2</v>
      </c>
      <c r="C111" t="s">
        <v>23</v>
      </c>
      <c r="D111">
        <v>49</v>
      </c>
      <c r="E111" t="s">
        <v>22</v>
      </c>
      <c r="F111">
        <f>'밸런스 조정'!$C$4+'밸런스 조정'!$D$4*D111+'밸런스 조정'!$C$66*D111*(D111-1)</f>
        <v>12740</v>
      </c>
      <c r="G111" t="s">
        <v>63</v>
      </c>
      <c r="H111" t="s">
        <v>9</v>
      </c>
      <c r="I111" t="n">
        <f>ROUND('밸런스 조정'!$E$4+'밸런스 조정'!$F$4*(D111-1)+'밸런스 조정'!$C$69*MAX(0,D111-3)^2,0)</f>
        <v>4482</v>
      </c>
      <c r="J111" t="s">
        <v>126</v>
      </c>
    </row>
    <row r="112" spans="2:10">
      <c r="B112">
        <v>2</v>
      </c>
      <c r="C112" t="s">
        <v>23</v>
      </c>
      <c r="D112">
        <v>50</v>
      </c>
      <c r="E112" t="s">
        <v>22</v>
      </c>
      <c r="F112">
        <f>'밸런스 조정'!$C$4+'밸런스 조정'!$D$4*D112+'밸런스 조정'!$C$66*D112*(D112-1)</f>
        <v>13250</v>
      </c>
      <c r="G112" t="s">
        <v>63</v>
      </c>
      <c r="H112" t="s">
        <v>9</v>
      </c>
      <c r="I112" t="n">
        <f>ROUND('밸런스 조정'!$E$4+'밸런스 조정'!$F$4*(D112-1)+'밸런스 조정'!$C$69*MAX(0,D112-3)^2,0)</f>
        <v>4673</v>
      </c>
      <c r="J112" t="s">
        <v>126</v>
      </c>
    </row>
    <row r="113" spans="2:10">
      <c r="B113">
        <v>2</v>
      </c>
      <c r="C113" t="s">
        <v>23</v>
      </c>
      <c r="D113">
        <v>51</v>
      </c>
      <c r="E113" t="s">
        <v>22</v>
      </c>
      <c r="F113">
        <f>'밸런스 조정'!$C$4+'밸런스 조정'!$D$4*D113+'밸런스 조정'!$C$66*D113*(D113-1)</f>
        <v>13770</v>
      </c>
      <c r="G113" t="s">
        <v>63</v>
      </c>
      <c r="H113" t="s">
        <v>9</v>
      </c>
      <c r="I113" t="n">
        <f>ROUND('밸런스 조정'!$E$4+'밸런스 조정'!$F$4*(D113-1)+'밸런스 조정'!$C$69*MAX(0,D113-3)^2,0)</f>
        <v>4868</v>
      </c>
      <c r="J113" t="s">
        <v>126</v>
      </c>
    </row>
    <row r="114" spans="2:10">
      <c r="B114">
        <v>2</v>
      </c>
      <c r="C114" t="s">
        <v>23</v>
      </c>
      <c r="D114">
        <v>52</v>
      </c>
      <c r="E114" t="s">
        <v>22</v>
      </c>
      <c r="F114">
        <f>'밸런스 조정'!$C$4+'밸런스 조정'!$D$4*D114+'밸런스 조정'!$C$66*D114*(D114-1)</f>
        <v>14300</v>
      </c>
      <c r="G114" t="s">
        <v>63</v>
      </c>
      <c r="H114" t="s">
        <v>9</v>
      </c>
      <c r="I114" t="n">
        <f>ROUND('밸런스 조정'!$E$4+'밸런스 조정'!$F$4*(D114-1)+'밸런스 조정'!$C$69*MAX(0,D114-3)^2,0)</f>
        <v>5067</v>
      </c>
      <c r="J114" t="s">
        <v>126</v>
      </c>
    </row>
    <row r="115" spans="2:10">
      <c r="B115">
        <v>2</v>
      </c>
      <c r="C115" t="s">
        <v>23</v>
      </c>
      <c r="D115">
        <v>53</v>
      </c>
      <c r="E115" t="s">
        <v>22</v>
      </c>
      <c r="F115">
        <f>'밸런스 조정'!$C$4+'밸런스 조정'!$D$4*D115+'밸런스 조정'!$C$66*D115*(D115-1)</f>
        <v>14840</v>
      </c>
      <c r="G115" t="s">
        <v>63</v>
      </c>
      <c r="H115" t="s">
        <v>9</v>
      </c>
      <c r="I115" t="n">
        <f>ROUND('밸런스 조정'!$E$4+'밸런스 조정'!$F$4*(D115-1)+'밸런스 조정'!$C$69*MAX(0,D115-3)^2,0)</f>
        <v>5270</v>
      </c>
      <c r="J115" t="s">
        <v>126</v>
      </c>
    </row>
    <row r="116" spans="2:10">
      <c r="B116">
        <v>2</v>
      </c>
      <c r="C116" t="s">
        <v>23</v>
      </c>
      <c r="D116">
        <v>54</v>
      </c>
      <c r="E116" t="s">
        <v>22</v>
      </c>
      <c r="F116">
        <f>'밸런스 조정'!$C$4+'밸런스 조정'!$D$4*D116+'밸런스 조정'!$C$66*D116*(D116-1)</f>
        <v>15390</v>
      </c>
      <c r="G116" t="s">
        <v>63</v>
      </c>
      <c r="H116" t="s">
        <v>9</v>
      </c>
      <c r="I116" t="n">
        <f>ROUND('밸런스 조정'!$E$4+'밸런스 조정'!$F$4*(D116-1)+'밸런스 조정'!$C$69*MAX(0,D116-3)^2,0)</f>
        <v>5477</v>
      </c>
      <c r="J116" t="s">
        <v>126</v>
      </c>
    </row>
    <row r="117" spans="2:10">
      <c r="B117">
        <v>2</v>
      </c>
      <c r="C117" t="s">
        <v>23</v>
      </c>
      <c r="D117">
        <v>55</v>
      </c>
      <c r="E117" t="s">
        <v>22</v>
      </c>
      <c r="F117">
        <f>'밸런스 조정'!$C$4+'밸런스 조정'!$D$4*D117+'밸런스 조정'!$C$66*D117*(D117-1)</f>
        <v>15950</v>
      </c>
      <c r="G117" t="s">
        <v>63</v>
      </c>
      <c r="H117" t="s">
        <v>9</v>
      </c>
      <c r="I117" t="n">
        <f>ROUND('밸런스 조정'!$E$4+'밸런스 조정'!$F$4*(D117-1)+'밸런스 조정'!$C$69*MAX(0,D117-3)^2,0)</f>
        <v>5688</v>
      </c>
      <c r="J117" t="s">
        <v>126</v>
      </c>
    </row>
    <row r="118" spans="2:10">
      <c r="B118">
        <v>2</v>
      </c>
      <c r="C118" t="s">
        <v>23</v>
      </c>
      <c r="D118">
        <v>56</v>
      </c>
      <c r="E118" t="s">
        <v>22</v>
      </c>
      <c r="F118">
        <f>'밸런스 조정'!$C$4+'밸런스 조정'!$D$4*D118+'밸런스 조정'!$C$66*D118*(D118-1)</f>
        <v>16520</v>
      </c>
      <c r="G118" t="s">
        <v>63</v>
      </c>
      <c r="H118" t="s">
        <v>9</v>
      </c>
      <c r="I118" t="n">
        <f>ROUND('밸런스 조정'!$E$4+'밸런스 조정'!$F$4*(D118-1)+'밸런스 조정'!$C$69*MAX(0,D118-3)^2,0)</f>
        <v>5903</v>
      </c>
      <c r="J118" t="s">
        <v>126</v>
      </c>
    </row>
    <row r="119" spans="2:10">
      <c r="B119">
        <v>2</v>
      </c>
      <c r="C119" t="s">
        <v>23</v>
      </c>
      <c r="D119">
        <v>57</v>
      </c>
      <c r="E119" t="s">
        <v>22</v>
      </c>
      <c r="F119">
        <f>'밸런스 조정'!$C$4+'밸런스 조정'!$D$4*D119+'밸런스 조정'!$C$66*D119*(D119-1)</f>
        <v>17100</v>
      </c>
      <c r="G119" t="s">
        <v>63</v>
      </c>
      <c r="H119" t="s">
        <v>9</v>
      </c>
      <c r="I119" t="n">
        <f>ROUND('밸런스 조정'!$E$4+'밸런스 조정'!$F$4*(D119-1)+'밸런스 조정'!$C$69*MAX(0,D119-3)^2,0)</f>
        <v>6122</v>
      </c>
      <c r="J119" t="s">
        <v>126</v>
      </c>
    </row>
    <row r="120" spans="2:10">
      <c r="B120">
        <v>2</v>
      </c>
      <c r="C120" t="s">
        <v>23</v>
      </c>
      <c r="D120">
        <v>58</v>
      </c>
      <c r="E120" t="s">
        <v>22</v>
      </c>
      <c r="F120">
        <f>'밸런스 조정'!$C$4+'밸런스 조정'!$D$4*D120+'밸런스 조정'!$C$66*D120*(D120-1)</f>
        <v>17690</v>
      </c>
      <c r="G120" t="s">
        <v>63</v>
      </c>
      <c r="H120" t="s">
        <v>9</v>
      </c>
      <c r="I120" t="n">
        <f>ROUND('밸런스 조정'!$E$4+'밸런스 조정'!$F$4*(D120-1)+'밸런스 조정'!$C$69*MAX(0,D120-3)^2,0)</f>
        <v>6345</v>
      </c>
      <c r="J120" t="s">
        <v>126</v>
      </c>
    </row>
    <row r="121" spans="2:10">
      <c r="B121">
        <v>2</v>
      </c>
      <c r="C121" t="s">
        <v>23</v>
      </c>
      <c r="D121">
        <v>59</v>
      </c>
      <c r="E121" t="s">
        <v>22</v>
      </c>
      <c r="F121">
        <f>'밸런스 조정'!$C$4+'밸런스 조정'!$D$4*D121+'밸런스 조정'!$C$66*D121*(D121-1)</f>
        <v>18290</v>
      </c>
      <c r="G121" t="s">
        <v>63</v>
      </c>
      <c r="H121" t="s">
        <v>9</v>
      </c>
      <c r="I121" t="n">
        <f>ROUND('밸런스 조정'!$E$4+'밸런스 조정'!$F$4*(D121-1)+'밸런스 조정'!$C$69*MAX(0,D121-3)^2,0)</f>
        <v>6572</v>
      </c>
      <c r="J121" t="s">
        <v>126</v>
      </c>
    </row>
    <row r="122" spans="2:10">
      <c r="B122">
        <v>2</v>
      </c>
      <c r="C122" t="s">
        <v>23</v>
      </c>
      <c r="D122">
        <v>60</v>
      </c>
      <c r="E122" t="s">
        <v>22</v>
      </c>
      <c r="F122">
        <f>'밸런스 조정'!$C$4+'밸런스 조정'!$D$4*D122+'밸런스 조정'!$C$66*D122*(D122-1)</f>
        <v>18900</v>
      </c>
      <c r="G122" t="s">
        <v>63</v>
      </c>
      <c r="H122" t="s">
        <v>9</v>
      </c>
      <c r="I122" t="n">
        <f>ROUND('밸런스 조정'!$E$4+'밸런스 조정'!$F$4*(D122-1)+'밸런스 조정'!$C$69*MAX(0,D122-3)^2,0)</f>
        <v>6803</v>
      </c>
      <c r="J122" t="s">
        <v>126</v>
      </c>
    </row>
    <row r="123" spans="2:10">
      <c r="B123">
        <v>3</v>
      </c>
      <c r="C123" t="s">
        <v>19</v>
      </c>
      <c r="D123">
        <v>1</v>
      </c>
      <c r="E123" t="s">
        <v>18</v>
      </c>
      <c r="F123">
        <f>'밸런스 조정'!$C$5+'밸런스 조정'!$D$5*D123</f>
        <v>5</v>
      </c>
      <c r="G123" t="s">
        <v>49</v>
      </c>
      <c r="H123" t="s">
        <v>9</v>
      </c>
      <c r="I123">
        <f>ROUND('밸런스 조정'!$E$5+'밸런스 조정'!$F$5*(D123-1),0)</f>
        <v>45</v>
      </c>
      <c r="J123" t="s">
        <v>127</v>
      </c>
    </row>
    <row r="124" spans="2:10">
      <c r="B124">
        <v>3</v>
      </c>
      <c r="C124" t="s">
        <v>19</v>
      </c>
      <c r="D124">
        <v>2</v>
      </c>
      <c r="E124" t="s">
        <v>18</v>
      </c>
      <c r="F124">
        <f>'밸런스 조정'!$C$5+'밸런스 조정'!$D$5*D124</f>
        <v>10</v>
      </c>
      <c r="G124" t="s">
        <v>49</v>
      </c>
      <c r="H124" t="s">
        <v>9</v>
      </c>
      <c r="I124">
        <f>ROUND('밸런스 조정'!$E$5+'밸런스 조정'!$F$5*(D124-1),0)</f>
        <v>65</v>
      </c>
      <c r="J124" t="s">
        <v>127</v>
      </c>
    </row>
    <row r="125" spans="2:10">
      <c r="B125">
        <v>3</v>
      </c>
      <c r="C125" t="s">
        <v>19</v>
      </c>
      <c r="D125">
        <v>3</v>
      </c>
      <c r="E125" t="s">
        <v>18</v>
      </c>
      <c r="F125">
        <f>'밸런스 조정'!$C$5+'밸런스 조정'!$D$5*D125</f>
        <v>15</v>
      </c>
      <c r="G125" t="s">
        <v>49</v>
      </c>
      <c r="H125" t="s">
        <v>9</v>
      </c>
      <c r="I125">
        <f>ROUND('밸런스 조정'!$E$5+'밸런스 조정'!$F$5*(D125-1),0)</f>
        <v>85</v>
      </c>
      <c r="J125" t="s">
        <v>127</v>
      </c>
    </row>
    <row r="126" spans="2:10">
      <c r="B126">
        <v>3</v>
      </c>
      <c r="C126" t="s">
        <v>19</v>
      </c>
      <c r="D126">
        <v>4</v>
      </c>
      <c r="E126" t="s">
        <v>18</v>
      </c>
      <c r="F126">
        <f>'밸런스 조정'!$C$5+'밸런스 조정'!$D$5*D126</f>
        <v>20</v>
      </c>
      <c r="G126" t="s">
        <v>49</v>
      </c>
      <c r="H126" t="s">
        <v>9</v>
      </c>
      <c r="I126">
        <f>ROUND('밸런스 조정'!$E$5+'밸런스 조정'!$F$5*(D126-1),0)</f>
        <v>105</v>
      </c>
      <c r="J126" t="s">
        <v>127</v>
      </c>
    </row>
    <row r="127" spans="2:10">
      <c r="B127">
        <v>3</v>
      </c>
      <c r="C127" t="s">
        <v>19</v>
      </c>
      <c r="D127">
        <v>5</v>
      </c>
      <c r="E127" t="s">
        <v>18</v>
      </c>
      <c r="F127">
        <f>'밸런스 조정'!$C$5+'밸런스 조정'!$D$5*D127</f>
        <v>25</v>
      </c>
      <c r="G127" t="s">
        <v>49</v>
      </c>
      <c r="H127" t="s">
        <v>9</v>
      </c>
      <c r="I127">
        <f>ROUND('밸런스 조정'!$E$5+'밸런스 조정'!$F$5*(D127-1),0)</f>
        <v>125</v>
      </c>
      <c r="J127" t="s">
        <v>127</v>
      </c>
    </row>
    <row r="128" spans="2:10">
      <c r="B128">
        <v>3</v>
      </c>
      <c r="C128" t="s">
        <v>19</v>
      </c>
      <c r="D128">
        <v>6</v>
      </c>
      <c r="E128" t="s">
        <v>18</v>
      </c>
      <c r="F128">
        <f>'밸런스 조정'!$C$5+'밸런스 조정'!$D$5*D128</f>
        <v>30</v>
      </c>
      <c r="G128" t="s">
        <v>49</v>
      </c>
      <c r="H128" t="s">
        <v>9</v>
      </c>
      <c r="I128">
        <f>ROUND('밸런스 조정'!$E$5+'밸런스 조정'!$F$5*(D128-1),0)</f>
        <v>145</v>
      </c>
      <c r="J128" t="s">
        <v>127</v>
      </c>
    </row>
    <row r="129" spans="2:10">
      <c r="B129">
        <v>3</v>
      </c>
      <c r="C129" t="s">
        <v>19</v>
      </c>
      <c r="D129">
        <v>7</v>
      </c>
      <c r="E129" t="s">
        <v>18</v>
      </c>
      <c r="F129">
        <f>'밸런스 조정'!$C$5+'밸런스 조정'!$D$5*D129</f>
        <v>35</v>
      </c>
      <c r="G129" t="s">
        <v>49</v>
      </c>
      <c r="H129" t="s">
        <v>9</v>
      </c>
      <c r="I129">
        <f>ROUND('밸런스 조정'!$E$5+'밸런스 조정'!$F$5*(D129-1),0)</f>
        <v>165</v>
      </c>
      <c r="J129" t="s">
        <v>127</v>
      </c>
    </row>
    <row r="130" spans="2:10">
      <c r="B130">
        <v>3</v>
      </c>
      <c r="C130" t="s">
        <v>19</v>
      </c>
      <c r="D130">
        <v>8</v>
      </c>
      <c r="E130" t="s">
        <v>18</v>
      </c>
      <c r="F130">
        <f>'밸런스 조정'!$C$5+'밸런스 조정'!$D$5*D130</f>
        <v>40</v>
      </c>
      <c r="G130" t="s">
        <v>49</v>
      </c>
      <c r="H130" t="s">
        <v>9</v>
      </c>
      <c r="I130">
        <f>ROUND('밸런스 조정'!$E$5+'밸런스 조정'!$F$5*(D130-1),0)</f>
        <v>185</v>
      </c>
      <c r="J130" t="s">
        <v>127</v>
      </c>
    </row>
    <row r="131" spans="2:10">
      <c r="B131">
        <v>3</v>
      </c>
      <c r="C131" t="s">
        <v>19</v>
      </c>
      <c r="D131">
        <v>9</v>
      </c>
      <c r="E131" t="s">
        <v>18</v>
      </c>
      <c r="F131">
        <f>'밸런스 조정'!$C$5+'밸런스 조정'!$D$5*D131</f>
        <v>45</v>
      </c>
      <c r="G131" t="s">
        <v>49</v>
      </c>
      <c r="H131" t="s">
        <v>9</v>
      </c>
      <c r="I131">
        <f>ROUND('밸런스 조정'!$E$5+'밸런스 조정'!$F$5*(D131-1),0)</f>
        <v>205</v>
      </c>
      <c r="J131" t="s">
        <v>127</v>
      </c>
    </row>
    <row r="132" spans="2:10">
      <c r="B132">
        <v>3</v>
      </c>
      <c r="C132" t="s">
        <v>19</v>
      </c>
      <c r="D132">
        <v>10</v>
      </c>
      <c r="E132" t="s">
        <v>18</v>
      </c>
      <c r="F132">
        <f>'밸런스 조정'!$C$5+'밸런스 조정'!$D$5*D132</f>
        <v>50</v>
      </c>
      <c r="G132" t="s">
        <v>49</v>
      </c>
      <c r="H132" t="s">
        <v>9</v>
      </c>
      <c r="I132">
        <f>ROUND('밸런스 조정'!$E$5+'밸런스 조정'!$F$5*(D132-1),0)</f>
        <v>225</v>
      </c>
      <c r="J132" t="s">
        <v>127</v>
      </c>
    </row>
    <row r="133" spans="2:10">
      <c r="B133">
        <v>3</v>
      </c>
      <c r="C133" t="s">
        <v>19</v>
      </c>
      <c r="D133">
        <v>11</v>
      </c>
      <c r="E133" t="s">
        <v>18</v>
      </c>
      <c r="F133">
        <f>'밸런스 조정'!$C$5+'밸런스 조정'!$D$5*D133</f>
        <v>55</v>
      </c>
      <c r="G133" t="s">
        <v>49</v>
      </c>
      <c r="H133" t="s">
        <v>9</v>
      </c>
      <c r="I133">
        <f>ROUND('밸런스 조정'!$E$5+'밸런스 조정'!$F$5*(D133-1),0)</f>
        <v>245</v>
      </c>
      <c r="J133" t="s">
        <v>127</v>
      </c>
    </row>
    <row r="134" spans="2:10">
      <c r="B134">
        <v>3</v>
      </c>
      <c r="C134" t="s">
        <v>19</v>
      </c>
      <c r="D134">
        <v>12</v>
      </c>
      <c r="E134" t="s">
        <v>18</v>
      </c>
      <c r="F134">
        <f>'밸런스 조정'!$C$5+'밸런스 조정'!$D$5*D134</f>
        <v>60</v>
      </c>
      <c r="G134" t="s">
        <v>49</v>
      </c>
      <c r="H134" t="s">
        <v>9</v>
      </c>
      <c r="I134">
        <f>ROUND('밸런스 조정'!$E$5+'밸런스 조정'!$F$5*(D134-1),0)</f>
        <v>265</v>
      </c>
      <c r="J134" t="s">
        <v>127</v>
      </c>
    </row>
    <row r="135" spans="2:10">
      <c r="B135">
        <v>3</v>
      </c>
      <c r="C135" t="s">
        <v>19</v>
      </c>
      <c r="D135">
        <v>13</v>
      </c>
      <c r="E135" t="s">
        <v>18</v>
      </c>
      <c r="F135">
        <f>'밸런스 조정'!$C$5+'밸런스 조정'!$D$5*D135</f>
        <v>65</v>
      </c>
      <c r="G135" t="s">
        <v>49</v>
      </c>
      <c r="H135" t="s">
        <v>9</v>
      </c>
      <c r="I135">
        <f>ROUND('밸런스 조정'!$E$5+'밸런스 조정'!$F$5*(D135-1),0)</f>
        <v>285</v>
      </c>
      <c r="J135" t="s">
        <v>127</v>
      </c>
    </row>
    <row r="136" spans="2:10">
      <c r="B136">
        <v>3</v>
      </c>
      <c r="C136" t="s">
        <v>19</v>
      </c>
      <c r="D136">
        <v>14</v>
      </c>
      <c r="E136" t="s">
        <v>18</v>
      </c>
      <c r="F136">
        <f>'밸런스 조정'!$C$5+'밸런스 조정'!$D$5*D136</f>
        <v>70</v>
      </c>
      <c r="G136" t="s">
        <v>49</v>
      </c>
      <c r="H136" t="s">
        <v>9</v>
      </c>
      <c r="I136">
        <f>ROUND('밸런스 조정'!$E$5+'밸런스 조정'!$F$5*(D136-1),0)</f>
        <v>305</v>
      </c>
      <c r="J136" t="s">
        <v>127</v>
      </c>
    </row>
    <row r="137" spans="2:10">
      <c r="B137">
        <v>3</v>
      </c>
      <c r="C137" t="s">
        <v>19</v>
      </c>
      <c r="D137">
        <v>15</v>
      </c>
      <c r="E137" t="s">
        <v>18</v>
      </c>
      <c r="F137">
        <f>'밸런스 조정'!$C$5+'밸런스 조정'!$D$5*D137</f>
        <v>75</v>
      </c>
      <c r="G137" t="s">
        <v>49</v>
      </c>
      <c r="H137" t="s">
        <v>9</v>
      </c>
      <c r="I137">
        <f>ROUND('밸런스 조정'!$E$5+'밸런스 조정'!$F$5*(D137-1),0)</f>
        <v>325</v>
      </c>
      <c r="J137" t="s">
        <v>127</v>
      </c>
    </row>
    <row r="138" spans="2:10">
      <c r="B138">
        <v>3</v>
      </c>
      <c r="C138" t="s">
        <v>19</v>
      </c>
      <c r="D138">
        <v>16</v>
      </c>
      <c r="E138" t="s">
        <v>18</v>
      </c>
      <c r="F138">
        <f>'밸런스 조정'!$C$5+'밸런스 조정'!$D$5*D138</f>
        <v>80</v>
      </c>
      <c r="G138" t="s">
        <v>49</v>
      </c>
      <c r="H138" t="s">
        <v>9</v>
      </c>
      <c r="I138">
        <f>ROUND('밸런스 조정'!$E$5+'밸런스 조정'!$F$5*(D138-1),0)</f>
        <v>345</v>
      </c>
      <c r="J138" t="s">
        <v>127</v>
      </c>
    </row>
    <row r="139" spans="2:10">
      <c r="B139">
        <v>3</v>
      </c>
      <c r="C139" t="s">
        <v>19</v>
      </c>
      <c r="D139">
        <v>17</v>
      </c>
      <c r="E139" t="s">
        <v>18</v>
      </c>
      <c r="F139">
        <f>'밸런스 조정'!$C$5+'밸런스 조정'!$D$5*D139</f>
        <v>85</v>
      </c>
      <c r="G139" t="s">
        <v>49</v>
      </c>
      <c r="H139" t="s">
        <v>9</v>
      </c>
      <c r="I139">
        <f>ROUND('밸런스 조정'!$E$5+'밸런스 조정'!$F$5*(D139-1),0)</f>
        <v>365</v>
      </c>
      <c r="J139" t="s">
        <v>127</v>
      </c>
    </row>
    <row r="140" spans="2:10">
      <c r="B140">
        <v>3</v>
      </c>
      <c r="C140" t="s">
        <v>19</v>
      </c>
      <c r="D140">
        <v>18</v>
      </c>
      <c r="E140" t="s">
        <v>18</v>
      </c>
      <c r="F140">
        <f>'밸런스 조정'!$C$5+'밸런스 조정'!$D$5*D140</f>
        <v>90</v>
      </c>
      <c r="G140" t="s">
        <v>49</v>
      </c>
      <c r="H140" t="s">
        <v>9</v>
      </c>
      <c r="I140">
        <f>ROUND('밸런스 조정'!$E$5+'밸런스 조정'!$F$5*(D140-1),0)</f>
        <v>385</v>
      </c>
      <c r="J140" t="s">
        <v>127</v>
      </c>
    </row>
    <row r="141" spans="2:10">
      <c r="B141">
        <v>3</v>
      </c>
      <c r="C141" t="s">
        <v>19</v>
      </c>
      <c r="D141">
        <v>19</v>
      </c>
      <c r="E141" t="s">
        <v>18</v>
      </c>
      <c r="F141">
        <f>'밸런스 조정'!$C$5+'밸런스 조정'!$D$5*D141</f>
        <v>95</v>
      </c>
      <c r="G141" t="s">
        <v>49</v>
      </c>
      <c r="H141" t="s">
        <v>9</v>
      </c>
      <c r="I141">
        <f>ROUND('밸런스 조정'!$E$5+'밸런스 조정'!$F$5*(D141-1),0)</f>
        <v>405</v>
      </c>
      <c r="J141" t="s">
        <v>127</v>
      </c>
    </row>
    <row r="142" spans="2:10">
      <c r="B142">
        <v>3</v>
      </c>
      <c r="C142" t="s">
        <v>19</v>
      </c>
      <c r="D142">
        <v>20</v>
      </c>
      <c r="E142" t="s">
        <v>18</v>
      </c>
      <c r="F142">
        <f>'밸런스 조정'!$C$5+'밸런스 조정'!$D$5*D142</f>
        <v>100</v>
      </c>
      <c r="G142" t="s">
        <v>49</v>
      </c>
      <c r="H142" t="s">
        <v>9</v>
      </c>
      <c r="I142">
        <f>ROUND('밸런스 조정'!$E$5+'밸런스 조정'!$F$5*(D142-1),0)</f>
        <v>425</v>
      </c>
      <c r="J142" t="s">
        <v>127</v>
      </c>
    </row>
    <row r="143" spans="2:10">
      <c r="B143">
        <v>3</v>
      </c>
      <c r="C143" t="s">
        <v>19</v>
      </c>
      <c r="D143">
        <v>21</v>
      </c>
      <c r="E143" t="s">
        <v>18</v>
      </c>
      <c r="F143">
        <f>'밸런스 조정'!$C$5+'밸런스 조정'!$D$5*D143</f>
        <v>105</v>
      </c>
      <c r="G143" t="s">
        <v>49</v>
      </c>
      <c r="H143" t="s">
        <v>9</v>
      </c>
      <c r="I143">
        <f>ROUND('밸런스 조정'!$E$5+'밸런스 조정'!$F$5*(D143-1),0)</f>
        <v>445</v>
      </c>
      <c r="J143" t="s">
        <v>127</v>
      </c>
    </row>
    <row r="144" spans="2:10">
      <c r="B144">
        <v>3</v>
      </c>
      <c r="C144" t="s">
        <v>19</v>
      </c>
      <c r="D144">
        <v>22</v>
      </c>
      <c r="E144" t="s">
        <v>18</v>
      </c>
      <c r="F144">
        <f>'밸런스 조정'!$C$5+'밸런스 조정'!$D$5*D144</f>
        <v>110</v>
      </c>
      <c r="G144" t="s">
        <v>49</v>
      </c>
      <c r="H144" t="s">
        <v>9</v>
      </c>
      <c r="I144">
        <f>ROUND('밸런스 조정'!$E$5+'밸런스 조정'!$F$5*(D144-1),0)</f>
        <v>465</v>
      </c>
      <c r="J144" t="s">
        <v>127</v>
      </c>
    </row>
    <row r="145" spans="2:10">
      <c r="B145">
        <v>3</v>
      </c>
      <c r="C145" t="s">
        <v>19</v>
      </c>
      <c r="D145">
        <v>23</v>
      </c>
      <c r="E145" t="s">
        <v>18</v>
      </c>
      <c r="F145">
        <f>'밸런스 조정'!$C$5+'밸런스 조정'!$D$5*D145</f>
        <v>115</v>
      </c>
      <c r="G145" t="s">
        <v>49</v>
      </c>
      <c r="H145" t="s">
        <v>9</v>
      </c>
      <c r="I145">
        <f>ROUND('밸런스 조정'!$E$5+'밸런스 조정'!$F$5*(D145-1),0)</f>
        <v>485</v>
      </c>
      <c r="J145" t="s">
        <v>127</v>
      </c>
    </row>
    <row r="146" spans="2:10">
      <c r="B146">
        <v>3</v>
      </c>
      <c r="C146" t="s">
        <v>19</v>
      </c>
      <c r="D146">
        <v>24</v>
      </c>
      <c r="E146" t="s">
        <v>18</v>
      </c>
      <c r="F146">
        <f>'밸런스 조정'!$C$5+'밸런스 조정'!$D$5*D146</f>
        <v>120</v>
      </c>
      <c r="G146" t="s">
        <v>49</v>
      </c>
      <c r="H146" t="s">
        <v>9</v>
      </c>
      <c r="I146">
        <f>ROUND('밸런스 조정'!$E$5+'밸런스 조정'!$F$5*(D146-1),0)</f>
        <v>505</v>
      </c>
      <c r="J146" t="s">
        <v>127</v>
      </c>
    </row>
    <row r="147" spans="2:10">
      <c r="B147">
        <v>3</v>
      </c>
      <c r="C147" t="s">
        <v>19</v>
      </c>
      <c r="D147">
        <v>25</v>
      </c>
      <c r="E147" t="s">
        <v>18</v>
      </c>
      <c r="F147">
        <f>'밸런스 조정'!$C$5+'밸런스 조정'!$D$5*D147</f>
        <v>125</v>
      </c>
      <c r="G147" t="s">
        <v>49</v>
      </c>
      <c r="H147" t="s">
        <v>9</v>
      </c>
      <c r="I147">
        <f>ROUND('밸런스 조정'!$E$5+'밸런스 조정'!$F$5*(D147-1),0)</f>
        <v>525</v>
      </c>
      <c r="J147" t="s">
        <v>127</v>
      </c>
    </row>
    <row r="148" spans="2:10">
      <c r="B148">
        <v>3</v>
      </c>
      <c r="C148" t="s">
        <v>19</v>
      </c>
      <c r="D148">
        <v>26</v>
      </c>
      <c r="E148" t="s">
        <v>18</v>
      </c>
      <c r="F148">
        <f>'밸런스 조정'!$C$5+'밸런스 조정'!$D$5*D148</f>
        <v>130</v>
      </c>
      <c r="G148" t="s">
        <v>49</v>
      </c>
      <c r="H148" t="s">
        <v>9</v>
      </c>
      <c r="I148">
        <f>ROUND('밸런스 조정'!$E$5+'밸런스 조정'!$F$5*(D148-1),0)</f>
        <v>545</v>
      </c>
      <c r="J148" t="s">
        <v>127</v>
      </c>
    </row>
    <row r="149" spans="2:10">
      <c r="B149">
        <v>3</v>
      </c>
      <c r="C149" t="s">
        <v>19</v>
      </c>
      <c r="D149">
        <v>27</v>
      </c>
      <c r="E149" t="s">
        <v>18</v>
      </c>
      <c r="F149">
        <f>'밸런스 조정'!$C$5+'밸런스 조정'!$D$5*D149</f>
        <v>135</v>
      </c>
      <c r="G149" t="s">
        <v>49</v>
      </c>
      <c r="H149" t="s">
        <v>9</v>
      </c>
      <c r="I149">
        <f>ROUND('밸런스 조정'!$E$5+'밸런스 조정'!$F$5*(D149-1),0)</f>
        <v>565</v>
      </c>
      <c r="J149" t="s">
        <v>127</v>
      </c>
    </row>
    <row r="150" spans="2:10">
      <c r="B150">
        <v>3</v>
      </c>
      <c r="C150" t="s">
        <v>19</v>
      </c>
      <c r="D150">
        <v>28</v>
      </c>
      <c r="E150" t="s">
        <v>18</v>
      </c>
      <c r="F150">
        <f>'밸런스 조정'!$C$5+'밸런스 조정'!$D$5*D150</f>
        <v>140</v>
      </c>
      <c r="G150" t="s">
        <v>49</v>
      </c>
      <c r="H150" t="s">
        <v>9</v>
      </c>
      <c r="I150">
        <f>ROUND('밸런스 조정'!$E$5+'밸런스 조정'!$F$5*(D150-1),0)</f>
        <v>585</v>
      </c>
      <c r="J150" t="s">
        <v>127</v>
      </c>
    </row>
    <row r="151" spans="2:10">
      <c r="B151">
        <v>3</v>
      </c>
      <c r="C151" t="s">
        <v>19</v>
      </c>
      <c r="D151">
        <v>29</v>
      </c>
      <c r="E151" t="s">
        <v>18</v>
      </c>
      <c r="F151">
        <f>'밸런스 조정'!$C$5+'밸런스 조정'!$D$5*D151</f>
        <v>145</v>
      </c>
      <c r="G151" t="s">
        <v>49</v>
      </c>
      <c r="H151" t="s">
        <v>9</v>
      </c>
      <c r="I151">
        <f>ROUND('밸런스 조정'!$E$5+'밸런스 조정'!$F$5*(D151-1),0)</f>
        <v>605</v>
      </c>
      <c r="J151" t="s">
        <v>127</v>
      </c>
    </row>
    <row r="152" spans="2:10">
      <c r="B152">
        <v>3</v>
      </c>
      <c r="C152" t="s">
        <v>19</v>
      </c>
      <c r="D152">
        <v>30</v>
      </c>
      <c r="E152" t="s">
        <v>18</v>
      </c>
      <c r="F152">
        <f>'밸런스 조정'!$C$5+'밸런스 조정'!$D$5*D152</f>
        <v>150</v>
      </c>
      <c r="G152" t="s">
        <v>49</v>
      </c>
      <c r="H152" t="s">
        <v>9</v>
      </c>
      <c r="I152">
        <f>ROUND('밸런스 조정'!$E$5+'밸런스 조정'!$F$5*(D152-1),0)</f>
        <v>625</v>
      </c>
      <c r="J152" t="s">
        <v>127</v>
      </c>
    </row>
    <row r="153" spans="2:10">
      <c r="B153">
        <v>4</v>
      </c>
      <c r="C153" t="s">
        <v>128</v>
      </c>
      <c r="D153">
        <v>1</v>
      </c>
      <c r="E153" t="s">
        <v>129</v>
      </c>
      <c r="F153">
        <f>'밸런스 조정'!$C$6+'밸런스 조정'!$D$6*D153</f>
        <v>4</v>
      </c>
      <c r="G153" t="s">
        <v>49</v>
      </c>
      <c r="H153" t="s">
        <v>9</v>
      </c>
      <c r="I153">
        <f>ROUND('밸런스 조정'!$E$6+'밸런스 조정'!$F$6*(D153-1),0)</f>
        <v>40</v>
      </c>
      <c r="J153" t="s">
        <v>130</v>
      </c>
    </row>
    <row r="154" spans="2:10">
      <c r="B154">
        <v>4</v>
      </c>
      <c r="C154" t="s">
        <v>128</v>
      </c>
      <c r="D154">
        <v>2</v>
      </c>
      <c r="E154" t="s">
        <v>129</v>
      </c>
      <c r="F154">
        <f>'밸런스 조정'!$C$6+'밸런스 조정'!$D$6*D154</f>
        <v>8</v>
      </c>
      <c r="G154" t="s">
        <v>49</v>
      </c>
      <c r="H154" t="s">
        <v>9</v>
      </c>
      <c r="I154">
        <f>ROUND('밸런스 조정'!$E$6+'밸런스 조정'!$F$6*(D154-1),0)</f>
        <v>56</v>
      </c>
      <c r="J154" t="s">
        <v>130</v>
      </c>
    </row>
    <row r="155" spans="2:10">
      <c r="B155">
        <v>4</v>
      </c>
      <c r="C155" t="s">
        <v>128</v>
      </c>
      <c r="D155">
        <v>3</v>
      </c>
      <c r="E155" t="s">
        <v>129</v>
      </c>
      <c r="F155">
        <f>'밸런스 조정'!$C$6+'밸런스 조정'!$D$6*D155</f>
        <v>12</v>
      </c>
      <c r="G155" t="s">
        <v>49</v>
      </c>
      <c r="H155" t="s">
        <v>9</v>
      </c>
      <c r="I155">
        <f>ROUND('밸런스 조정'!$E$6+'밸런스 조정'!$F$6*(D155-1),0)</f>
        <v>72</v>
      </c>
      <c r="J155" t="s">
        <v>130</v>
      </c>
    </row>
    <row r="156" spans="2:10">
      <c r="B156">
        <v>4</v>
      </c>
      <c r="C156" t="s">
        <v>128</v>
      </c>
      <c r="D156">
        <v>4</v>
      </c>
      <c r="E156" t="s">
        <v>129</v>
      </c>
      <c r="F156">
        <f>'밸런스 조정'!$C$6+'밸런스 조정'!$D$6*D156</f>
        <v>16</v>
      </c>
      <c r="G156" t="s">
        <v>49</v>
      </c>
      <c r="H156" t="s">
        <v>9</v>
      </c>
      <c r="I156">
        <f>ROUND('밸런스 조정'!$E$6+'밸런스 조정'!$F$6*(D156-1),0)</f>
        <v>88</v>
      </c>
      <c r="J156" t="s">
        <v>130</v>
      </c>
    </row>
    <row r="157" spans="2:10">
      <c r="B157">
        <v>4</v>
      </c>
      <c r="C157" t="s">
        <v>128</v>
      </c>
      <c r="D157">
        <v>5</v>
      </c>
      <c r="E157" t="s">
        <v>129</v>
      </c>
      <c r="F157">
        <f>'밸런스 조정'!$C$6+'밸런스 조정'!$D$6*D157</f>
        <v>20</v>
      </c>
      <c r="G157" t="s">
        <v>49</v>
      </c>
      <c r="H157" t="s">
        <v>9</v>
      </c>
      <c r="I157">
        <f>ROUND('밸런스 조정'!$E$6+'밸런스 조정'!$F$6*(D157-1),0)</f>
        <v>104</v>
      </c>
      <c r="J157" t="s">
        <v>130</v>
      </c>
    </row>
    <row r="158" spans="2:10">
      <c r="B158">
        <v>4</v>
      </c>
      <c r="C158" t="s">
        <v>128</v>
      </c>
      <c r="D158">
        <v>6</v>
      </c>
      <c r="E158" t="s">
        <v>129</v>
      </c>
      <c r="F158">
        <f>'밸런스 조정'!$C$6+'밸런스 조정'!$D$6*D158</f>
        <v>24</v>
      </c>
      <c r="G158" t="s">
        <v>49</v>
      </c>
      <c r="H158" t="s">
        <v>9</v>
      </c>
      <c r="I158">
        <f>ROUND('밸런스 조정'!$E$6+'밸런스 조정'!$F$6*(D158-1),0)</f>
        <v>120</v>
      </c>
      <c r="J158" t="s">
        <v>130</v>
      </c>
    </row>
    <row r="159" spans="2:10">
      <c r="B159">
        <v>4</v>
      </c>
      <c r="C159" t="s">
        <v>128</v>
      </c>
      <c r="D159">
        <v>7</v>
      </c>
      <c r="E159" t="s">
        <v>129</v>
      </c>
      <c r="F159">
        <f>'밸런스 조정'!$C$6+'밸런스 조정'!$D$6*D159</f>
        <v>28</v>
      </c>
      <c r="G159" t="s">
        <v>49</v>
      </c>
      <c r="H159" t="s">
        <v>9</v>
      </c>
      <c r="I159">
        <f>ROUND('밸런스 조정'!$E$6+'밸런스 조정'!$F$6*(D159-1),0)</f>
        <v>136</v>
      </c>
      <c r="J159" t="s">
        <v>130</v>
      </c>
    </row>
    <row r="160" spans="2:10">
      <c r="B160">
        <v>4</v>
      </c>
      <c r="C160" t="s">
        <v>128</v>
      </c>
      <c r="D160">
        <v>8</v>
      </c>
      <c r="E160" t="s">
        <v>129</v>
      </c>
      <c r="F160">
        <f>'밸런스 조정'!$C$6+'밸런스 조정'!$D$6*D160</f>
        <v>32</v>
      </c>
      <c r="G160" t="s">
        <v>49</v>
      </c>
      <c r="H160" t="s">
        <v>9</v>
      </c>
      <c r="I160">
        <f>ROUND('밸런스 조정'!$E$6+'밸런스 조정'!$F$6*(D160-1),0)</f>
        <v>152</v>
      </c>
      <c r="J160" t="s">
        <v>130</v>
      </c>
    </row>
    <row r="161" spans="2:10">
      <c r="B161">
        <v>4</v>
      </c>
      <c r="C161" t="s">
        <v>128</v>
      </c>
      <c r="D161">
        <v>9</v>
      </c>
      <c r="E161" t="s">
        <v>129</v>
      </c>
      <c r="F161">
        <f>'밸런스 조정'!$C$6+'밸런스 조정'!$D$6*D161</f>
        <v>36</v>
      </c>
      <c r="G161" t="s">
        <v>49</v>
      </c>
      <c r="H161" t="s">
        <v>9</v>
      </c>
      <c r="I161">
        <f>ROUND('밸런스 조정'!$E$6+'밸런스 조정'!$F$6*(D161-1),0)</f>
        <v>168</v>
      </c>
      <c r="J161" t="s">
        <v>130</v>
      </c>
    </row>
    <row r="162" spans="2:10">
      <c r="B162">
        <v>4</v>
      </c>
      <c r="C162" t="s">
        <v>128</v>
      </c>
      <c r="D162">
        <v>10</v>
      </c>
      <c r="E162" t="s">
        <v>129</v>
      </c>
      <c r="F162">
        <f>'밸런스 조정'!$C$6+'밸런스 조정'!$D$6*D162</f>
        <v>40</v>
      </c>
      <c r="G162" t="s">
        <v>49</v>
      </c>
      <c r="H162" t="s">
        <v>9</v>
      </c>
      <c r="I162">
        <f>ROUND('밸런스 조정'!$E$6+'밸런스 조정'!$F$6*(D162-1),0)</f>
        <v>184</v>
      </c>
      <c r="J162" t="s">
        <v>130</v>
      </c>
    </row>
    <row r="163" spans="2:10">
      <c r="B163">
        <v>4</v>
      </c>
      <c r="C163" t="s">
        <v>128</v>
      </c>
      <c r="D163">
        <v>11</v>
      </c>
      <c r="E163" t="s">
        <v>129</v>
      </c>
      <c r="F163">
        <f>'밸런스 조정'!$C$6+'밸런스 조정'!$D$6*D163</f>
        <v>44</v>
      </c>
      <c r="G163" t="s">
        <v>49</v>
      </c>
      <c r="H163" t="s">
        <v>9</v>
      </c>
      <c r="I163">
        <f>ROUND('밸런스 조정'!$E$6+'밸런스 조정'!$F$6*(D163-1),0)</f>
        <v>200</v>
      </c>
      <c r="J163" t="s">
        <v>130</v>
      </c>
    </row>
    <row r="164" spans="2:10">
      <c r="B164">
        <v>4</v>
      </c>
      <c r="C164" t="s">
        <v>128</v>
      </c>
      <c r="D164">
        <v>12</v>
      </c>
      <c r="E164" t="s">
        <v>129</v>
      </c>
      <c r="F164">
        <f>'밸런스 조정'!$C$6+'밸런스 조정'!$D$6*D164</f>
        <v>48</v>
      </c>
      <c r="G164" t="s">
        <v>49</v>
      </c>
      <c r="H164" t="s">
        <v>9</v>
      </c>
      <c r="I164">
        <f>ROUND('밸런스 조정'!$E$6+'밸런스 조정'!$F$6*(D164-1),0)</f>
        <v>216</v>
      </c>
      <c r="J164" t="s">
        <v>130</v>
      </c>
    </row>
    <row r="165" spans="2:10">
      <c r="B165">
        <v>4</v>
      </c>
      <c r="C165" t="s">
        <v>128</v>
      </c>
      <c r="D165">
        <v>13</v>
      </c>
      <c r="E165" t="s">
        <v>129</v>
      </c>
      <c r="F165">
        <f>'밸런스 조정'!$C$6+'밸런스 조정'!$D$6*D165</f>
        <v>52</v>
      </c>
      <c r="G165" t="s">
        <v>49</v>
      </c>
      <c r="H165" t="s">
        <v>9</v>
      </c>
      <c r="I165">
        <f>ROUND('밸런스 조정'!$E$6+'밸런스 조정'!$F$6*(D165-1),0)</f>
        <v>232</v>
      </c>
      <c r="J165" t="s">
        <v>130</v>
      </c>
    </row>
    <row r="166" spans="2:10">
      <c r="B166">
        <v>4</v>
      </c>
      <c r="C166" t="s">
        <v>128</v>
      </c>
      <c r="D166">
        <v>14</v>
      </c>
      <c r="E166" t="s">
        <v>129</v>
      </c>
      <c r="F166">
        <f>'밸런스 조정'!$C$6+'밸런스 조정'!$D$6*D166</f>
        <v>56</v>
      </c>
      <c r="G166" t="s">
        <v>49</v>
      </c>
      <c r="H166" t="s">
        <v>9</v>
      </c>
      <c r="I166">
        <f>ROUND('밸런스 조정'!$E$6+'밸런스 조정'!$F$6*(D166-1),0)</f>
        <v>248</v>
      </c>
      <c r="J166" t="s">
        <v>130</v>
      </c>
    </row>
    <row r="167" spans="2:10">
      <c r="B167">
        <v>4</v>
      </c>
      <c r="C167" t="s">
        <v>128</v>
      </c>
      <c r="D167">
        <v>15</v>
      </c>
      <c r="E167" t="s">
        <v>129</v>
      </c>
      <c r="F167">
        <f>'밸런스 조정'!$C$6+'밸런스 조정'!$D$6*D167</f>
        <v>60</v>
      </c>
      <c r="G167" t="s">
        <v>49</v>
      </c>
      <c r="H167" t="s">
        <v>9</v>
      </c>
      <c r="I167">
        <f>ROUND('밸런스 조정'!$E$6+'밸런스 조정'!$F$6*(D167-1),0)</f>
        <v>264</v>
      </c>
      <c r="J167" t="s">
        <v>130</v>
      </c>
    </row>
    <row r="168" spans="2:10">
      <c r="B168">
        <v>4</v>
      </c>
      <c r="C168" t="s">
        <v>128</v>
      </c>
      <c r="D168">
        <v>16</v>
      </c>
      <c r="E168" t="s">
        <v>129</v>
      </c>
      <c r="F168">
        <f>'밸런스 조정'!$C$6+'밸런스 조정'!$D$6*D168</f>
        <v>64</v>
      </c>
      <c r="G168" t="s">
        <v>49</v>
      </c>
      <c r="H168" t="s">
        <v>9</v>
      </c>
      <c r="I168">
        <f>ROUND('밸런스 조정'!$E$6+'밸런스 조정'!$F$6*(D168-1),0)</f>
        <v>280</v>
      </c>
      <c r="J168" t="s">
        <v>130</v>
      </c>
    </row>
    <row r="169" spans="2:10">
      <c r="B169">
        <v>4</v>
      </c>
      <c r="C169" t="s">
        <v>128</v>
      </c>
      <c r="D169">
        <v>17</v>
      </c>
      <c r="E169" t="s">
        <v>129</v>
      </c>
      <c r="F169">
        <f>'밸런스 조정'!$C$6+'밸런스 조정'!$D$6*D169</f>
        <v>68</v>
      </c>
      <c r="G169" t="s">
        <v>49</v>
      </c>
      <c r="H169" t="s">
        <v>9</v>
      </c>
      <c r="I169">
        <f>ROUND('밸런스 조정'!$E$6+'밸런스 조정'!$F$6*(D169-1),0)</f>
        <v>296</v>
      </c>
      <c r="J169" t="s">
        <v>130</v>
      </c>
    </row>
    <row r="170" spans="2:10">
      <c r="B170">
        <v>4</v>
      </c>
      <c r="C170" t="s">
        <v>128</v>
      </c>
      <c r="D170">
        <v>18</v>
      </c>
      <c r="E170" t="s">
        <v>129</v>
      </c>
      <c r="F170">
        <f>'밸런스 조정'!$C$6+'밸런스 조정'!$D$6*D170</f>
        <v>72</v>
      </c>
      <c r="G170" t="s">
        <v>49</v>
      </c>
      <c r="H170" t="s">
        <v>9</v>
      </c>
      <c r="I170">
        <f>ROUND('밸런스 조정'!$E$6+'밸런스 조정'!$F$6*(D170-1),0)</f>
        <v>312</v>
      </c>
      <c r="J170" t="s">
        <v>130</v>
      </c>
    </row>
    <row r="171" spans="2:10">
      <c r="B171">
        <v>4</v>
      </c>
      <c r="C171" t="s">
        <v>128</v>
      </c>
      <c r="D171">
        <v>19</v>
      </c>
      <c r="E171" t="s">
        <v>129</v>
      </c>
      <c r="F171">
        <f>'밸런스 조정'!$C$6+'밸런스 조정'!$D$6*D171</f>
        <v>76</v>
      </c>
      <c r="G171" t="s">
        <v>49</v>
      </c>
      <c r="H171" t="s">
        <v>9</v>
      </c>
      <c r="I171">
        <f>ROUND('밸런스 조정'!$E$6+'밸런스 조정'!$F$6*(D171-1),0)</f>
        <v>328</v>
      </c>
      <c r="J171" t="s">
        <v>130</v>
      </c>
    </row>
    <row r="172" spans="2:10">
      <c r="B172">
        <v>4</v>
      </c>
      <c r="C172" t="s">
        <v>128</v>
      </c>
      <c r="D172">
        <v>20</v>
      </c>
      <c r="E172" t="s">
        <v>129</v>
      </c>
      <c r="F172">
        <f>'밸런스 조정'!$C$6+'밸런스 조정'!$D$6*D172</f>
        <v>80</v>
      </c>
      <c r="G172" t="s">
        <v>49</v>
      </c>
      <c r="H172" t="s">
        <v>9</v>
      </c>
      <c r="I172">
        <f>ROUND('밸런스 조정'!$E$6+'밸런스 조정'!$F$6*(D172-1),0)</f>
        <v>344</v>
      </c>
      <c r="J172" t="s">
        <v>130</v>
      </c>
    </row>
    <row r="173" spans="2:10">
      <c r="B173">
        <v>4</v>
      </c>
      <c r="C173" t="s">
        <v>128</v>
      </c>
      <c r="D173">
        <v>21</v>
      </c>
      <c r="E173" t="s">
        <v>129</v>
      </c>
      <c r="F173">
        <f>'밸런스 조정'!$C$6+'밸런스 조정'!$D$6*D173</f>
        <v>84</v>
      </c>
      <c r="G173" t="s">
        <v>49</v>
      </c>
      <c r="H173" t="s">
        <v>9</v>
      </c>
      <c r="I173">
        <f>ROUND('밸런스 조정'!$E$6+'밸런스 조정'!$F$6*(D173-1),0)</f>
        <v>360</v>
      </c>
      <c r="J173" t="s">
        <v>130</v>
      </c>
    </row>
    <row r="174" spans="2:10">
      <c r="B174">
        <v>4</v>
      </c>
      <c r="C174" t="s">
        <v>128</v>
      </c>
      <c r="D174">
        <v>22</v>
      </c>
      <c r="E174" t="s">
        <v>129</v>
      </c>
      <c r="F174">
        <f>'밸런스 조정'!$C$6+'밸런스 조정'!$D$6*D174</f>
        <v>88</v>
      </c>
      <c r="G174" t="s">
        <v>49</v>
      </c>
      <c r="H174" t="s">
        <v>9</v>
      </c>
      <c r="I174">
        <f>ROUND('밸런스 조정'!$E$6+'밸런스 조정'!$F$6*(D174-1),0)</f>
        <v>376</v>
      </c>
      <c r="J174" t="s">
        <v>130</v>
      </c>
    </row>
    <row r="175" spans="2:10">
      <c r="B175">
        <v>4</v>
      </c>
      <c r="C175" t="s">
        <v>128</v>
      </c>
      <c r="D175">
        <v>23</v>
      </c>
      <c r="E175" t="s">
        <v>129</v>
      </c>
      <c r="F175">
        <f>'밸런스 조정'!$C$6+'밸런스 조정'!$D$6*D175</f>
        <v>92</v>
      </c>
      <c r="G175" t="s">
        <v>49</v>
      </c>
      <c r="H175" t="s">
        <v>9</v>
      </c>
      <c r="I175">
        <f>ROUND('밸런스 조정'!$E$6+'밸런스 조정'!$F$6*(D175-1),0)</f>
        <v>392</v>
      </c>
      <c r="J175" t="s">
        <v>130</v>
      </c>
    </row>
    <row r="176" spans="2:10">
      <c r="B176">
        <v>4</v>
      </c>
      <c r="C176" t="s">
        <v>128</v>
      </c>
      <c r="D176">
        <v>24</v>
      </c>
      <c r="E176" t="s">
        <v>129</v>
      </c>
      <c r="F176">
        <f>'밸런스 조정'!$C$6+'밸런스 조정'!$D$6*D176</f>
        <v>96</v>
      </c>
      <c r="G176" t="s">
        <v>49</v>
      </c>
      <c r="H176" t="s">
        <v>9</v>
      </c>
      <c r="I176">
        <f>ROUND('밸런스 조정'!$E$6+'밸런스 조정'!$F$6*(D176-1),0)</f>
        <v>408</v>
      </c>
      <c r="J176" t="s">
        <v>130</v>
      </c>
    </row>
    <row r="177" spans="2:10">
      <c r="B177">
        <v>4</v>
      </c>
      <c r="C177" t="s">
        <v>128</v>
      </c>
      <c r="D177">
        <v>25</v>
      </c>
      <c r="E177" t="s">
        <v>129</v>
      </c>
      <c r="F177">
        <f>'밸런스 조정'!$C$6+'밸런스 조정'!$D$6*D177</f>
        <v>100</v>
      </c>
      <c r="G177" t="s">
        <v>49</v>
      </c>
      <c r="H177" t="s">
        <v>9</v>
      </c>
      <c r="I177">
        <f>ROUND('밸런스 조정'!$E$6+'밸런스 조정'!$F$6*(D177-1),0)</f>
        <v>424</v>
      </c>
      <c r="J177" t="s">
        <v>130</v>
      </c>
    </row>
    <row r="178" spans="2:10">
      <c r="B178">
        <v>4</v>
      </c>
      <c r="C178" t="s">
        <v>128</v>
      </c>
      <c r="D178">
        <v>26</v>
      </c>
      <c r="E178" t="s">
        <v>129</v>
      </c>
      <c r="F178">
        <f>'밸런스 조정'!$C$6+'밸런스 조정'!$D$6*D178</f>
        <v>104</v>
      </c>
      <c r="G178" t="s">
        <v>49</v>
      </c>
      <c r="H178" t="s">
        <v>9</v>
      </c>
      <c r="I178">
        <f>ROUND('밸런스 조정'!$E$6+'밸런스 조정'!$F$6*(D178-1),0)</f>
        <v>440</v>
      </c>
      <c r="J178" t="s">
        <v>130</v>
      </c>
    </row>
    <row r="179" spans="2:10">
      <c r="B179">
        <v>4</v>
      </c>
      <c r="C179" t="s">
        <v>128</v>
      </c>
      <c r="D179">
        <v>27</v>
      </c>
      <c r="E179" t="s">
        <v>129</v>
      </c>
      <c r="F179">
        <f>'밸런스 조정'!$C$6+'밸런스 조정'!$D$6*D179</f>
        <v>108</v>
      </c>
      <c r="G179" t="s">
        <v>49</v>
      </c>
      <c r="H179" t="s">
        <v>9</v>
      </c>
      <c r="I179">
        <f>ROUND('밸런스 조정'!$E$6+'밸런스 조정'!$F$6*(D179-1),0)</f>
        <v>456</v>
      </c>
      <c r="J179" t="s">
        <v>130</v>
      </c>
    </row>
    <row r="180" spans="2:10">
      <c r="B180">
        <v>4</v>
      </c>
      <c r="C180" t="s">
        <v>128</v>
      </c>
      <c r="D180">
        <v>28</v>
      </c>
      <c r="E180" t="s">
        <v>129</v>
      </c>
      <c r="F180">
        <f>'밸런스 조정'!$C$6+'밸런스 조정'!$D$6*D180</f>
        <v>112</v>
      </c>
      <c r="G180" t="s">
        <v>49</v>
      </c>
      <c r="H180" t="s">
        <v>9</v>
      </c>
      <c r="I180">
        <f>ROUND('밸런스 조정'!$E$6+'밸런스 조정'!$F$6*(D180-1),0)</f>
        <v>472</v>
      </c>
      <c r="J180" t="s">
        <v>130</v>
      </c>
    </row>
    <row r="181" spans="2:10">
      <c r="B181">
        <v>4</v>
      </c>
      <c r="C181" t="s">
        <v>128</v>
      </c>
      <c r="D181">
        <v>29</v>
      </c>
      <c r="E181" t="s">
        <v>129</v>
      </c>
      <c r="F181">
        <f>'밸런스 조정'!$C$6+'밸런스 조정'!$D$6*D181</f>
        <v>116</v>
      </c>
      <c r="G181" t="s">
        <v>49</v>
      </c>
      <c r="H181" t="s">
        <v>9</v>
      </c>
      <c r="I181">
        <f>ROUND('밸런스 조정'!$E$6+'밸런스 조정'!$F$6*(D181-1),0)</f>
        <v>488</v>
      </c>
      <c r="J181" t="s">
        <v>130</v>
      </c>
    </row>
    <row r="182" spans="2:10">
      <c r="B182">
        <v>4</v>
      </c>
      <c r="C182" t="s">
        <v>128</v>
      </c>
      <c r="D182">
        <v>30</v>
      </c>
      <c r="E182" t="s">
        <v>129</v>
      </c>
      <c r="F182">
        <f>'밸런스 조정'!$C$6+'밸런스 조정'!$D$6*D182</f>
        <v>120</v>
      </c>
      <c r="G182" t="s">
        <v>49</v>
      </c>
      <c r="H182" t="s">
        <v>9</v>
      </c>
      <c r="I182">
        <f>ROUND('밸런스 조정'!$E$6+'밸런스 조정'!$F$6*(D182-1),0)</f>
        <v>504</v>
      </c>
      <c r="J182" t="s">
        <v>130</v>
      </c>
    </row>
    <row r="183" spans="2:10">
      <c r="B183">
        <v>5</v>
      </c>
      <c r="C183" t="s">
        <v>12</v>
      </c>
      <c r="D183">
        <v>1</v>
      </c>
      <c r="E183" t="s">
        <v>11</v>
      </c>
      <c r="F183" s="28">
        <f>'밸런스 조정'!$C$7+'밸런스 조정'!$D$7*D183</f>
        <v>8</v>
      </c>
      <c r="G183" t="s">
        <v>49</v>
      </c>
      <c r="H183" t="s">
        <v>9</v>
      </c>
      <c r="I183">
        <f>ROUND('밸런스 조정'!$E$7+'밸런스 조정'!$F$7*(D183-1),0)</f>
        <v>60</v>
      </c>
      <c r="J183" t="s">
        <v>131</v>
      </c>
    </row>
    <row r="184" spans="2:10">
      <c r="B184">
        <v>5</v>
      </c>
      <c r="C184" t="s">
        <v>12</v>
      </c>
      <c r="D184">
        <v>2</v>
      </c>
      <c r="E184" t="s">
        <v>11</v>
      </c>
      <c r="F184" s="28">
        <f>'밸런스 조정'!$C$7+'밸런스 조정'!$D$7*D184</f>
        <v>16</v>
      </c>
      <c r="G184" t="s">
        <v>49</v>
      </c>
      <c r="H184" t="s">
        <v>9</v>
      </c>
      <c r="I184">
        <f>ROUND('밸런스 조정'!$E$7+'밸런스 조정'!$F$7*(D184-1),0)</f>
        <v>85</v>
      </c>
      <c r="J184" t="s">
        <v>131</v>
      </c>
    </row>
    <row r="185" spans="2:10">
      <c r="B185">
        <v>5</v>
      </c>
      <c r="C185" t="s">
        <v>12</v>
      </c>
      <c r="D185">
        <v>3</v>
      </c>
      <c r="E185" t="s">
        <v>11</v>
      </c>
      <c r="F185" s="28">
        <f>'밸런스 조정'!$C$7+'밸런스 조정'!$D$7*D185</f>
        <v>24</v>
      </c>
      <c r="G185" t="s">
        <v>49</v>
      </c>
      <c r="H185" t="s">
        <v>9</v>
      </c>
      <c r="I185">
        <f>ROUND('밸런스 조정'!$E$7+'밸런스 조정'!$F$7*(D185-1),0)</f>
        <v>110</v>
      </c>
      <c r="J185" t="s">
        <v>131</v>
      </c>
    </row>
    <row r="186" spans="2:10">
      <c r="B186">
        <v>5</v>
      </c>
      <c r="C186" t="s">
        <v>12</v>
      </c>
      <c r="D186">
        <v>4</v>
      </c>
      <c r="E186" t="s">
        <v>11</v>
      </c>
      <c r="F186" s="28">
        <f>'밸런스 조정'!$C$7+'밸런스 조정'!$D$7*D186</f>
        <v>32</v>
      </c>
      <c r="G186" t="s">
        <v>49</v>
      </c>
      <c r="H186" t="s">
        <v>9</v>
      </c>
      <c r="I186">
        <f>ROUND('밸런스 조정'!$E$7+'밸런스 조정'!$F$7*(D186-1),0)</f>
        <v>135</v>
      </c>
      <c r="J186" t="s">
        <v>131</v>
      </c>
    </row>
    <row r="187" spans="2:10">
      <c r="B187">
        <v>5</v>
      </c>
      <c r="C187" t="s">
        <v>12</v>
      </c>
      <c r="D187">
        <v>5</v>
      </c>
      <c r="E187" t="s">
        <v>11</v>
      </c>
      <c r="F187" s="28">
        <f>'밸런스 조정'!$C$7+'밸런스 조정'!$D$7*D187</f>
        <v>40</v>
      </c>
      <c r="G187" t="s">
        <v>49</v>
      </c>
      <c r="H187" t="s">
        <v>9</v>
      </c>
      <c r="I187">
        <f>ROUND('밸런스 조정'!$E$7+'밸런스 조정'!$F$7*(D187-1),0)</f>
        <v>160</v>
      </c>
      <c r="J187" t="s">
        <v>131</v>
      </c>
    </row>
    <row r="188" spans="2:10">
      <c r="B188">
        <v>5</v>
      </c>
      <c r="C188" t="s">
        <v>12</v>
      </c>
      <c r="D188">
        <v>6</v>
      </c>
      <c r="E188" t="s">
        <v>11</v>
      </c>
      <c r="F188" s="28">
        <f>'밸런스 조정'!$C$7+'밸런스 조정'!$D$7*D188</f>
        <v>48</v>
      </c>
      <c r="G188" t="s">
        <v>49</v>
      </c>
      <c r="H188" t="s">
        <v>9</v>
      </c>
      <c r="I188">
        <f>ROUND('밸런스 조정'!$E$7+'밸런스 조정'!$F$7*(D188-1),0)</f>
        <v>185</v>
      </c>
      <c r="J188" t="s">
        <v>131</v>
      </c>
    </row>
    <row r="189" spans="2:10">
      <c r="B189">
        <v>5</v>
      </c>
      <c r="C189" t="s">
        <v>12</v>
      </c>
      <c r="D189">
        <v>7</v>
      </c>
      <c r="E189" t="s">
        <v>11</v>
      </c>
      <c r="F189" s="28">
        <f>'밸런스 조정'!$C$7+'밸런스 조정'!$D$7*D189</f>
        <v>56</v>
      </c>
      <c r="G189" t="s">
        <v>49</v>
      </c>
      <c r="H189" t="s">
        <v>9</v>
      </c>
      <c r="I189">
        <f>ROUND('밸런스 조정'!$E$7+'밸런스 조정'!$F$7*(D189-1),0)</f>
        <v>210</v>
      </c>
      <c r="J189" t="s">
        <v>131</v>
      </c>
    </row>
    <row r="190" spans="2:10">
      <c r="B190">
        <v>5</v>
      </c>
      <c r="C190" t="s">
        <v>12</v>
      </c>
      <c r="D190">
        <v>8</v>
      </c>
      <c r="E190" t="s">
        <v>11</v>
      </c>
      <c r="F190" s="28">
        <f>'밸런스 조정'!$C$7+'밸런스 조정'!$D$7*D190</f>
        <v>64</v>
      </c>
      <c r="G190" t="s">
        <v>49</v>
      </c>
      <c r="H190" t="s">
        <v>9</v>
      </c>
      <c r="I190">
        <f>ROUND('밸런스 조정'!$E$7+'밸런스 조정'!$F$7*(D190-1),0)</f>
        <v>235</v>
      </c>
      <c r="J190" t="s">
        <v>131</v>
      </c>
    </row>
    <row r="191" spans="2:10">
      <c r="B191">
        <v>5</v>
      </c>
      <c r="C191" t="s">
        <v>12</v>
      </c>
      <c r="D191">
        <v>9</v>
      </c>
      <c r="E191" t="s">
        <v>11</v>
      </c>
      <c r="F191" s="28">
        <f>'밸런스 조정'!$C$7+'밸런스 조정'!$D$7*D191</f>
        <v>72</v>
      </c>
      <c r="G191" t="s">
        <v>49</v>
      </c>
      <c r="H191" t="s">
        <v>9</v>
      </c>
      <c r="I191">
        <f>ROUND('밸런스 조정'!$E$7+'밸런스 조정'!$F$7*(D191-1),0)</f>
        <v>260</v>
      </c>
      <c r="J191" t="s">
        <v>131</v>
      </c>
    </row>
    <row r="192" spans="2:10">
      <c r="B192">
        <v>5</v>
      </c>
      <c r="C192" t="s">
        <v>12</v>
      </c>
      <c r="D192">
        <v>10</v>
      </c>
      <c r="E192" t="s">
        <v>11</v>
      </c>
      <c r="F192" s="28">
        <f>'밸런스 조정'!$C$7+'밸런스 조정'!$D$7*D192</f>
        <v>80</v>
      </c>
      <c r="G192" t="s">
        <v>49</v>
      </c>
      <c r="H192" t="s">
        <v>9</v>
      </c>
      <c r="I192">
        <f>ROUND('밸런스 조정'!$E$7+'밸런스 조정'!$F$7*(D192-1),0)</f>
        <v>285</v>
      </c>
      <c r="J192" t="s">
        <v>131</v>
      </c>
    </row>
    <row r="193" spans="2:10">
      <c r="B193">
        <v>5</v>
      </c>
      <c r="C193" t="s">
        <v>12</v>
      </c>
      <c r="D193">
        <v>11</v>
      </c>
      <c r="E193" t="s">
        <v>11</v>
      </c>
      <c r="F193" s="28">
        <f>'밸런스 조정'!$C$7+'밸런스 조정'!$D$7*D193</f>
        <v>88</v>
      </c>
      <c r="G193" t="s">
        <v>49</v>
      </c>
      <c r="H193" t="s">
        <v>9</v>
      </c>
      <c r="I193">
        <f>ROUND('밸런스 조정'!$E$7+'밸런스 조정'!$F$7*(D193-1),0)</f>
        <v>310</v>
      </c>
      <c r="J193" t="s">
        <v>131</v>
      </c>
    </row>
    <row r="194" spans="2:10">
      <c r="B194">
        <v>5</v>
      </c>
      <c r="C194" t="s">
        <v>12</v>
      </c>
      <c r="D194">
        <v>12</v>
      </c>
      <c r="E194" t="s">
        <v>11</v>
      </c>
      <c r="F194" s="28">
        <f>'밸런스 조정'!$C$7+'밸런스 조정'!$D$7*D194</f>
        <v>96</v>
      </c>
      <c r="G194" t="s">
        <v>49</v>
      </c>
      <c r="H194" t="s">
        <v>9</v>
      </c>
      <c r="I194">
        <f>ROUND('밸런스 조정'!$E$7+'밸런스 조정'!$F$7*(D194-1),0)</f>
        <v>335</v>
      </c>
      <c r="J194" t="s">
        <v>131</v>
      </c>
    </row>
    <row r="195" spans="2:10">
      <c r="B195">
        <v>5</v>
      </c>
      <c r="C195" t="s">
        <v>12</v>
      </c>
      <c r="D195">
        <v>13</v>
      </c>
      <c r="E195" t="s">
        <v>11</v>
      </c>
      <c r="F195" s="28">
        <f>'밸런스 조정'!$C$7+'밸런스 조정'!$D$7*D195</f>
        <v>104</v>
      </c>
      <c r="G195" t="s">
        <v>49</v>
      </c>
      <c r="H195" t="s">
        <v>9</v>
      </c>
      <c r="I195">
        <f>ROUND('밸런스 조정'!$E$7+'밸런스 조정'!$F$7*(D195-1),0)</f>
        <v>360</v>
      </c>
      <c r="J195" t="s">
        <v>131</v>
      </c>
    </row>
    <row r="196" spans="2:10">
      <c r="B196">
        <v>5</v>
      </c>
      <c r="C196" t="s">
        <v>12</v>
      </c>
      <c r="D196">
        <v>14</v>
      </c>
      <c r="E196" t="s">
        <v>11</v>
      </c>
      <c r="F196" s="28">
        <f>'밸런스 조정'!$C$7+'밸런스 조정'!$D$7*D196</f>
        <v>112</v>
      </c>
      <c r="G196" t="s">
        <v>49</v>
      </c>
      <c r="H196" t="s">
        <v>9</v>
      </c>
      <c r="I196">
        <f>ROUND('밸런스 조정'!$E$7+'밸런스 조정'!$F$7*(D196-1),0)</f>
        <v>385</v>
      </c>
      <c r="J196" t="s">
        <v>131</v>
      </c>
    </row>
    <row r="197" spans="2:10">
      <c r="B197">
        <v>5</v>
      </c>
      <c r="C197" t="s">
        <v>12</v>
      </c>
      <c r="D197">
        <v>15</v>
      </c>
      <c r="E197" t="s">
        <v>11</v>
      </c>
      <c r="F197" s="28">
        <f>'밸런스 조정'!$C$7+'밸런스 조정'!$D$7*D197</f>
        <v>120</v>
      </c>
      <c r="G197" t="s">
        <v>49</v>
      </c>
      <c r="H197" t="s">
        <v>9</v>
      </c>
      <c r="I197">
        <f>ROUND('밸런스 조정'!$E$7+'밸런스 조정'!$F$7*(D197-1),0)</f>
        <v>410</v>
      </c>
      <c r="J197" t="s">
        <v>131</v>
      </c>
    </row>
    <row r="198" spans="2:10">
      <c r="B198">
        <v>5</v>
      </c>
      <c r="C198" t="s">
        <v>12</v>
      </c>
      <c r="D198">
        <v>16</v>
      </c>
      <c r="E198" t="s">
        <v>11</v>
      </c>
      <c r="F198" s="28">
        <f>'밸런스 조정'!$C$7+'밸런스 조정'!$D$7*D198</f>
        <v>128</v>
      </c>
      <c r="G198" t="s">
        <v>49</v>
      </c>
      <c r="H198" t="s">
        <v>9</v>
      </c>
      <c r="I198">
        <f>ROUND('밸런스 조정'!$E$7+'밸런스 조정'!$F$7*(D198-1),0)</f>
        <v>435</v>
      </c>
      <c r="J198" t="s">
        <v>131</v>
      </c>
    </row>
    <row r="199" spans="2:10">
      <c r="B199">
        <v>5</v>
      </c>
      <c r="C199" t="s">
        <v>12</v>
      </c>
      <c r="D199">
        <v>17</v>
      </c>
      <c r="E199" t="s">
        <v>11</v>
      </c>
      <c r="F199" s="28">
        <f>'밸런스 조정'!$C$7+'밸런스 조정'!$D$7*D199</f>
        <v>136</v>
      </c>
      <c r="G199" t="s">
        <v>49</v>
      </c>
      <c r="H199" t="s">
        <v>9</v>
      </c>
      <c r="I199">
        <f>ROUND('밸런스 조정'!$E$7+'밸런스 조정'!$F$7*(D199-1),0)</f>
        <v>460</v>
      </c>
      <c r="J199" t="s">
        <v>131</v>
      </c>
    </row>
    <row r="200" spans="2:10">
      <c r="B200">
        <v>5</v>
      </c>
      <c r="C200" t="s">
        <v>12</v>
      </c>
      <c r="D200">
        <v>18</v>
      </c>
      <c r="E200" t="s">
        <v>11</v>
      </c>
      <c r="F200" s="28">
        <f>'밸런스 조정'!$C$7+'밸런스 조정'!$D$7*D200</f>
        <v>144</v>
      </c>
      <c r="G200" t="s">
        <v>49</v>
      </c>
      <c r="H200" t="s">
        <v>9</v>
      </c>
      <c r="I200">
        <f>ROUND('밸런스 조정'!$E$7+'밸런스 조정'!$F$7*(D200-1),0)</f>
        <v>485</v>
      </c>
      <c r="J200" t="s">
        <v>131</v>
      </c>
    </row>
    <row r="201" spans="2:10">
      <c r="B201">
        <v>5</v>
      </c>
      <c r="C201" t="s">
        <v>12</v>
      </c>
      <c r="D201">
        <v>19</v>
      </c>
      <c r="E201" t="s">
        <v>11</v>
      </c>
      <c r="F201" s="28">
        <f>'밸런스 조정'!$C$7+'밸런스 조정'!$D$7*D201</f>
        <v>152</v>
      </c>
      <c r="G201" t="s">
        <v>49</v>
      </c>
      <c r="H201" t="s">
        <v>9</v>
      </c>
      <c r="I201">
        <f>ROUND('밸런스 조정'!$E$7+'밸런스 조정'!$F$7*(D201-1),0)</f>
        <v>510</v>
      </c>
      <c r="J201" t="s">
        <v>131</v>
      </c>
    </row>
    <row r="202" spans="2:10">
      <c r="B202">
        <v>5</v>
      </c>
      <c r="C202" t="s">
        <v>12</v>
      </c>
      <c r="D202">
        <v>20</v>
      </c>
      <c r="E202" t="s">
        <v>11</v>
      </c>
      <c r="F202" s="28">
        <f>'밸런스 조정'!$C$7+'밸런스 조정'!$D$7*D202</f>
        <v>160</v>
      </c>
      <c r="G202" t="s">
        <v>49</v>
      </c>
      <c r="H202" t="s">
        <v>9</v>
      </c>
      <c r="I202">
        <f>ROUND('밸런스 조정'!$E$7+'밸런스 조정'!$F$7*(D202-1),0)</f>
        <v>535</v>
      </c>
      <c r="J202" t="s">
        <v>131</v>
      </c>
    </row>
    <row r="203" spans="2:10">
      <c r="B203">
        <v>5</v>
      </c>
      <c r="C203" t="s">
        <v>12</v>
      </c>
      <c r="D203">
        <v>21</v>
      </c>
      <c r="E203" t="s">
        <v>11</v>
      </c>
      <c r="F203">
        <f>'밸런스 조정'!$C$7+'밸런스 조정'!$D$7*D203</f>
        <v>168</v>
      </c>
      <c r="G203" t="s">
        <v>49</v>
      </c>
      <c r="H203" t="s">
        <v>9</v>
      </c>
      <c r="I203">
        <f>ROUND('밸런스 조정'!$E$7+'밸런스 조정'!$F$7*(D203-1),0)</f>
        <v>560</v>
      </c>
      <c r="J203" t="s">
        <v>131</v>
      </c>
    </row>
    <row r="204" spans="2:10">
      <c r="B204">
        <v>5</v>
      </c>
      <c r="C204" t="s">
        <v>12</v>
      </c>
      <c r="D204">
        <v>22</v>
      </c>
      <c r="E204" t="s">
        <v>11</v>
      </c>
      <c r="F204">
        <f>'밸런스 조정'!$C$7+'밸런스 조정'!$D$7*D204</f>
        <v>176</v>
      </c>
      <c r="G204" t="s">
        <v>49</v>
      </c>
      <c r="H204" t="s">
        <v>9</v>
      </c>
      <c r="I204">
        <f>ROUND('밸런스 조정'!$E$7+'밸런스 조정'!$F$7*(D204-1),0)</f>
        <v>585</v>
      </c>
      <c r="J204" t="s">
        <v>131</v>
      </c>
    </row>
    <row r="205" spans="2:10">
      <c r="B205">
        <v>5</v>
      </c>
      <c r="C205" t="s">
        <v>12</v>
      </c>
      <c r="D205">
        <v>23</v>
      </c>
      <c r="E205" t="s">
        <v>11</v>
      </c>
      <c r="F205">
        <f>'밸런스 조정'!$C$7+'밸런스 조정'!$D$7*D205</f>
        <v>184</v>
      </c>
      <c r="G205" t="s">
        <v>49</v>
      </c>
      <c r="H205" t="s">
        <v>9</v>
      </c>
      <c r="I205">
        <f>ROUND('밸런스 조정'!$E$7+'밸런스 조정'!$F$7*(D205-1),0)</f>
        <v>610</v>
      </c>
      <c r="J205" t="s">
        <v>131</v>
      </c>
    </row>
    <row r="206" spans="2:10">
      <c r="B206">
        <v>5</v>
      </c>
      <c r="C206" t="s">
        <v>12</v>
      </c>
      <c r="D206">
        <v>24</v>
      </c>
      <c r="E206" t="s">
        <v>11</v>
      </c>
      <c r="F206">
        <f>'밸런스 조정'!$C$7+'밸런스 조정'!$D$7*D206</f>
        <v>192</v>
      </c>
      <c r="G206" t="s">
        <v>49</v>
      </c>
      <c r="H206" t="s">
        <v>9</v>
      </c>
      <c r="I206">
        <f>ROUND('밸런스 조정'!$E$7+'밸런스 조정'!$F$7*(D206-1),0)</f>
        <v>635</v>
      </c>
      <c r="J206" t="s">
        <v>131</v>
      </c>
    </row>
    <row r="207" spans="2:10">
      <c r="B207">
        <v>5</v>
      </c>
      <c r="C207" t="s">
        <v>12</v>
      </c>
      <c r="D207">
        <v>25</v>
      </c>
      <c r="E207" t="s">
        <v>11</v>
      </c>
      <c r="F207">
        <f>'밸런스 조정'!$C$7+'밸런스 조정'!$D$7*D207</f>
        <v>200</v>
      </c>
      <c r="G207" t="s">
        <v>49</v>
      </c>
      <c r="H207" t="s">
        <v>9</v>
      </c>
      <c r="I207">
        <f>ROUND('밸런스 조정'!$E$7+'밸런스 조정'!$F$7*(D207-1),0)</f>
        <v>660</v>
      </c>
      <c r="J207" t="s">
        <v>131</v>
      </c>
    </row>
    <row r="208" spans="2:10">
      <c r="B208">
        <v>5</v>
      </c>
      <c r="C208" t="s">
        <v>12</v>
      </c>
      <c r="D208">
        <v>26</v>
      </c>
      <c r="E208" t="s">
        <v>11</v>
      </c>
      <c r="F208">
        <f>'밸런스 조정'!$C$7+'밸런스 조정'!$D$7*D208</f>
        <v>208</v>
      </c>
      <c r="G208" t="s">
        <v>49</v>
      </c>
      <c r="H208" t="s">
        <v>9</v>
      </c>
      <c r="I208">
        <f>ROUND('밸런스 조정'!$E$7+'밸런스 조정'!$F$7*(D208-1),0)</f>
        <v>685</v>
      </c>
      <c r="J208" t="s">
        <v>131</v>
      </c>
    </row>
    <row r="209" spans="2:10">
      <c r="B209">
        <v>5</v>
      </c>
      <c r="C209" t="s">
        <v>12</v>
      </c>
      <c r="D209">
        <v>27</v>
      </c>
      <c r="E209" t="s">
        <v>11</v>
      </c>
      <c r="F209">
        <f>'밸런스 조정'!$C$7+'밸런스 조정'!$D$7*D209</f>
        <v>216</v>
      </c>
      <c r="G209" t="s">
        <v>49</v>
      </c>
      <c r="H209" t="s">
        <v>9</v>
      </c>
      <c r="I209">
        <f>ROUND('밸런스 조정'!$E$7+'밸런스 조정'!$F$7*(D209-1),0)</f>
        <v>710</v>
      </c>
      <c r="J209" t="s">
        <v>131</v>
      </c>
    </row>
    <row r="210" spans="2:10">
      <c r="B210">
        <v>5</v>
      </c>
      <c r="C210" t="s">
        <v>12</v>
      </c>
      <c r="D210">
        <v>28</v>
      </c>
      <c r="E210" t="s">
        <v>11</v>
      </c>
      <c r="F210">
        <f>'밸런스 조정'!$C$7+'밸런스 조정'!$D$7*D210</f>
        <v>224</v>
      </c>
      <c r="G210" t="s">
        <v>49</v>
      </c>
      <c r="H210" t="s">
        <v>9</v>
      </c>
      <c r="I210">
        <f>ROUND('밸런스 조정'!$E$7+'밸런스 조정'!$F$7*(D210-1),0)</f>
        <v>735</v>
      </c>
      <c r="J210" t="s">
        <v>131</v>
      </c>
    </row>
    <row r="211" spans="2:10">
      <c r="B211">
        <v>5</v>
      </c>
      <c r="C211" t="s">
        <v>12</v>
      </c>
      <c r="D211">
        <v>29</v>
      </c>
      <c r="E211" t="s">
        <v>11</v>
      </c>
      <c r="F211">
        <f>'밸런스 조정'!$C$7+'밸런스 조정'!$D$7*D211</f>
        <v>232</v>
      </c>
      <c r="G211" t="s">
        <v>49</v>
      </c>
      <c r="H211" t="s">
        <v>9</v>
      </c>
      <c r="I211">
        <f>ROUND('밸런스 조정'!$E$7+'밸런스 조정'!$F$7*(D211-1),0)</f>
        <v>760</v>
      </c>
      <c r="J211" t="s">
        <v>131</v>
      </c>
    </row>
    <row r="212" spans="2:10">
      <c r="B212">
        <v>5</v>
      </c>
      <c r="C212" t="s">
        <v>12</v>
      </c>
      <c r="D212">
        <v>30</v>
      </c>
      <c r="E212" t="s">
        <v>11</v>
      </c>
      <c r="F212">
        <f>'밸런스 조정'!$C$7+'밸런스 조정'!$D$7*D212</f>
        <v>240</v>
      </c>
      <c r="G212" t="s">
        <v>49</v>
      </c>
      <c r="H212" t="s">
        <v>9</v>
      </c>
      <c r="I212">
        <f>ROUND('밸런스 조정'!$E$7+'밸런스 조정'!$F$7*(D212-1),0)</f>
        <v>785</v>
      </c>
      <c r="J212" t="s">
        <v>131</v>
      </c>
    </row>
    <row r="213" spans="2:10">
      <c r="B213">
        <v>6</v>
      </c>
      <c r="C213" t="s">
        <v>32</v>
      </c>
      <c r="D213">
        <v>1</v>
      </c>
      <c r="E213" t="s">
        <v>31</v>
      </c>
      <c r="F213">
        <f>'밸런스 조정'!$C$8+'밸런스 조정'!$D$8*D213</f>
        <v>8</v>
      </c>
      <c r="G213" t="s">
        <v>49</v>
      </c>
      <c r="H213" t="s">
        <v>9</v>
      </c>
      <c r="I213">
        <f>ROUND('밸런스 조정'!$E$8+'밸런스 조정'!$F$8*(D213-1),0)</f>
        <v>70</v>
      </c>
      <c r="J213" t="s">
        <v>132</v>
      </c>
    </row>
    <row r="214" spans="2:10">
      <c r="B214">
        <v>6</v>
      </c>
      <c r="C214" t="s">
        <v>32</v>
      </c>
      <c r="D214">
        <v>2</v>
      </c>
      <c r="E214" t="s">
        <v>31</v>
      </c>
      <c r="F214">
        <f>'밸런스 조정'!$C$8+'밸런스 조정'!$D$8*D214</f>
        <v>16</v>
      </c>
      <c r="G214" t="s">
        <v>49</v>
      </c>
      <c r="H214" t="s">
        <v>9</v>
      </c>
      <c r="I214">
        <f>ROUND('밸런스 조정'!$E$8+'밸런스 조정'!$F$8*(D214-1),0)</f>
        <v>105</v>
      </c>
      <c r="J214" t="s">
        <v>132</v>
      </c>
    </row>
    <row r="215" spans="2:10">
      <c r="B215">
        <v>6</v>
      </c>
      <c r="C215" t="s">
        <v>32</v>
      </c>
      <c r="D215">
        <v>3</v>
      </c>
      <c r="E215" t="s">
        <v>31</v>
      </c>
      <c r="F215">
        <f>'밸런스 조정'!$C$8+'밸런스 조정'!$D$8*D215</f>
        <v>24</v>
      </c>
      <c r="G215" t="s">
        <v>49</v>
      </c>
      <c r="H215" t="s">
        <v>9</v>
      </c>
      <c r="I215">
        <f>ROUND('밸런스 조정'!$E$8+'밸런스 조정'!$F$8*(D215-1),0)</f>
        <v>140</v>
      </c>
      <c r="J215" t="s">
        <v>132</v>
      </c>
    </row>
    <row r="216" spans="2:10">
      <c r="B216">
        <v>6</v>
      </c>
      <c r="C216" t="s">
        <v>32</v>
      </c>
      <c r="D216">
        <v>4</v>
      </c>
      <c r="E216" t="s">
        <v>31</v>
      </c>
      <c r="F216">
        <f>'밸런스 조정'!$C$8+'밸런스 조정'!$D$8*D216</f>
        <v>32</v>
      </c>
      <c r="G216" t="s">
        <v>49</v>
      </c>
      <c r="H216" t="s">
        <v>9</v>
      </c>
      <c r="I216">
        <f>ROUND('밸런스 조정'!$E$8+'밸런스 조정'!$F$8*(D216-1),0)</f>
        <v>175</v>
      </c>
      <c r="J216" t="s">
        <v>132</v>
      </c>
    </row>
    <row r="217" spans="2:10">
      <c r="B217">
        <v>6</v>
      </c>
      <c r="C217" t="s">
        <v>32</v>
      </c>
      <c r="D217">
        <v>5</v>
      </c>
      <c r="E217" t="s">
        <v>31</v>
      </c>
      <c r="F217">
        <f>'밸런스 조정'!$C$8+'밸런스 조정'!$D$8*D217</f>
        <v>40</v>
      </c>
      <c r="G217" t="s">
        <v>49</v>
      </c>
      <c r="H217" t="s">
        <v>9</v>
      </c>
      <c r="I217">
        <f>ROUND('밸런스 조정'!$E$8+'밸런스 조정'!$F$8*(D217-1),0)</f>
        <v>210</v>
      </c>
      <c r="J217" t="s">
        <v>132</v>
      </c>
    </row>
    <row r="218" spans="2:10">
      <c r="B218">
        <v>6</v>
      </c>
      <c r="C218" t="s">
        <v>32</v>
      </c>
      <c r="D218">
        <v>6</v>
      </c>
      <c r="E218" t="s">
        <v>31</v>
      </c>
      <c r="F218">
        <f>'밸런스 조정'!$C$8+'밸런스 조정'!$D$8*D218</f>
        <v>48</v>
      </c>
      <c r="G218" t="s">
        <v>49</v>
      </c>
      <c r="H218" t="s">
        <v>9</v>
      </c>
      <c r="I218">
        <f>ROUND('밸런스 조정'!$E$8+'밸런스 조정'!$F$8*(D218-1),0)</f>
        <v>245</v>
      </c>
      <c r="J218" t="s">
        <v>132</v>
      </c>
    </row>
    <row r="219" spans="2:10">
      <c r="B219">
        <v>6</v>
      </c>
      <c r="C219" t="s">
        <v>32</v>
      </c>
      <c r="D219">
        <v>7</v>
      </c>
      <c r="E219" t="s">
        <v>31</v>
      </c>
      <c r="F219">
        <f>'밸런스 조정'!$C$8+'밸런스 조정'!$D$8*D219</f>
        <v>56</v>
      </c>
      <c r="G219" t="s">
        <v>49</v>
      </c>
      <c r="H219" t="s">
        <v>9</v>
      </c>
      <c r="I219">
        <f>ROUND('밸런스 조정'!$E$8+'밸런스 조정'!$F$8*(D219-1),0)</f>
        <v>280</v>
      </c>
      <c r="J219" t="s">
        <v>132</v>
      </c>
    </row>
    <row r="220" spans="2:10">
      <c r="B220">
        <v>6</v>
      </c>
      <c r="C220" t="s">
        <v>32</v>
      </c>
      <c r="D220">
        <v>8</v>
      </c>
      <c r="E220" t="s">
        <v>31</v>
      </c>
      <c r="F220">
        <f>'밸런스 조정'!$C$8+'밸런스 조정'!$D$8*D220</f>
        <v>64</v>
      </c>
      <c r="G220" t="s">
        <v>49</v>
      </c>
      <c r="H220" t="s">
        <v>9</v>
      </c>
      <c r="I220">
        <f>ROUND('밸런스 조정'!$E$8+'밸런스 조정'!$F$8*(D220-1),0)</f>
        <v>315</v>
      </c>
      <c r="J220" t="s">
        <v>132</v>
      </c>
    </row>
    <row r="221" spans="2:10">
      <c r="B221">
        <v>6</v>
      </c>
      <c r="C221" t="s">
        <v>32</v>
      </c>
      <c r="D221">
        <v>9</v>
      </c>
      <c r="E221" t="s">
        <v>31</v>
      </c>
      <c r="F221">
        <f>'밸런스 조정'!$C$8+'밸런스 조정'!$D$8*D221</f>
        <v>72</v>
      </c>
      <c r="G221" t="s">
        <v>49</v>
      </c>
      <c r="H221" t="s">
        <v>9</v>
      </c>
      <c r="I221">
        <f>ROUND('밸런스 조정'!$E$8+'밸런스 조정'!$F$8*(D221-1),0)</f>
        <v>350</v>
      </c>
      <c r="J221" t="s">
        <v>132</v>
      </c>
    </row>
    <row r="222" spans="2:10">
      <c r="B222">
        <v>6</v>
      </c>
      <c r="C222" t="s">
        <v>32</v>
      </c>
      <c r="D222">
        <v>10</v>
      </c>
      <c r="E222" t="s">
        <v>31</v>
      </c>
      <c r="F222">
        <f>'밸런스 조정'!$C$8+'밸런스 조정'!$D$8*D222</f>
        <v>80</v>
      </c>
      <c r="G222" t="s">
        <v>49</v>
      </c>
      <c r="H222" t="s">
        <v>9</v>
      </c>
      <c r="I222">
        <f>ROUND('밸런스 조정'!$E$8+'밸런스 조정'!$F$8*(D222-1),0)</f>
        <v>385</v>
      </c>
      <c r="J222" t="s">
        <v>132</v>
      </c>
    </row>
    <row r="223" spans="2:10">
      <c r="B223">
        <v>6</v>
      </c>
      <c r="C223" t="s">
        <v>32</v>
      </c>
      <c r="D223">
        <v>11</v>
      </c>
      <c r="E223" t="s">
        <v>31</v>
      </c>
      <c r="F223">
        <f>'밸런스 조정'!$C$8+'밸런스 조정'!$D$8*D223</f>
        <v>88</v>
      </c>
      <c r="G223" t="s">
        <v>49</v>
      </c>
      <c r="H223" t="s">
        <v>9</v>
      </c>
      <c r="I223">
        <f>ROUND('밸런스 조정'!$E$8+'밸런스 조정'!$F$8*(D223-1),0)</f>
        <v>420</v>
      </c>
      <c r="J223" t="s">
        <v>132</v>
      </c>
    </row>
    <row r="224" spans="2:10">
      <c r="B224">
        <v>6</v>
      </c>
      <c r="C224" t="s">
        <v>32</v>
      </c>
      <c r="D224">
        <v>12</v>
      </c>
      <c r="E224" t="s">
        <v>31</v>
      </c>
      <c r="F224">
        <f>'밸런스 조정'!$C$8+'밸런스 조정'!$D$8*D224</f>
        <v>96</v>
      </c>
      <c r="G224" t="s">
        <v>49</v>
      </c>
      <c r="H224" t="s">
        <v>9</v>
      </c>
      <c r="I224">
        <f>ROUND('밸런스 조정'!$E$8+'밸런스 조정'!$F$8*(D224-1),0)</f>
        <v>455</v>
      </c>
      <c r="J224" t="s">
        <v>132</v>
      </c>
    </row>
    <row r="225" spans="2:10">
      <c r="B225">
        <v>6</v>
      </c>
      <c r="C225" t="s">
        <v>32</v>
      </c>
      <c r="D225">
        <v>13</v>
      </c>
      <c r="E225" t="s">
        <v>31</v>
      </c>
      <c r="F225">
        <f>'밸런스 조정'!$C$8+'밸런스 조정'!$D$8*D225</f>
        <v>104</v>
      </c>
      <c r="G225" t="s">
        <v>49</v>
      </c>
      <c r="H225" t="s">
        <v>9</v>
      </c>
      <c r="I225">
        <f>ROUND('밸런스 조정'!$E$8+'밸런스 조정'!$F$8*(D225-1),0)</f>
        <v>490</v>
      </c>
      <c r="J225" t="s">
        <v>132</v>
      </c>
    </row>
    <row r="226" spans="2:10">
      <c r="B226">
        <v>6</v>
      </c>
      <c r="C226" t="s">
        <v>32</v>
      </c>
      <c r="D226">
        <v>14</v>
      </c>
      <c r="E226" t="s">
        <v>31</v>
      </c>
      <c r="F226">
        <f>'밸런스 조정'!$C$8+'밸런스 조정'!$D$8*D226</f>
        <v>112</v>
      </c>
      <c r="G226" t="s">
        <v>49</v>
      </c>
      <c r="H226" t="s">
        <v>9</v>
      </c>
      <c r="I226">
        <f>ROUND('밸런스 조정'!$E$8+'밸런스 조정'!$F$8*(D226-1),0)</f>
        <v>525</v>
      </c>
      <c r="J226" t="s">
        <v>132</v>
      </c>
    </row>
    <row r="227" spans="2:10">
      <c r="B227">
        <v>6</v>
      </c>
      <c r="C227" t="s">
        <v>32</v>
      </c>
      <c r="D227">
        <v>15</v>
      </c>
      <c r="E227" t="s">
        <v>31</v>
      </c>
      <c r="F227">
        <f>'밸런스 조정'!$C$8+'밸런스 조정'!$D$8*D227</f>
        <v>120</v>
      </c>
      <c r="G227" t="s">
        <v>49</v>
      </c>
      <c r="H227" t="s">
        <v>9</v>
      </c>
      <c r="I227">
        <f>ROUND('밸런스 조정'!$E$8+'밸런스 조정'!$F$8*(D227-1),0)</f>
        <v>560</v>
      </c>
      <c r="J227" t="s">
        <v>132</v>
      </c>
    </row>
    <row r="228" spans="2:10">
      <c r="B228">
        <v>6</v>
      </c>
      <c r="C228" t="s">
        <v>32</v>
      </c>
      <c r="D228">
        <v>16</v>
      </c>
      <c r="E228" t="s">
        <v>31</v>
      </c>
      <c r="F228">
        <f>'밸런스 조정'!$C$8+'밸런스 조정'!$D$8*D228</f>
        <v>128</v>
      </c>
      <c r="G228" t="s">
        <v>49</v>
      </c>
      <c r="H228" t="s">
        <v>9</v>
      </c>
      <c r="I228">
        <f>ROUND('밸런스 조정'!$E$8+'밸런스 조정'!$F$8*(D228-1),0)</f>
        <v>595</v>
      </c>
      <c r="J228" t="s">
        <v>132</v>
      </c>
    </row>
    <row r="229" spans="2:10">
      <c r="B229">
        <v>6</v>
      </c>
      <c r="C229" t="s">
        <v>32</v>
      </c>
      <c r="D229">
        <v>17</v>
      </c>
      <c r="E229" t="s">
        <v>31</v>
      </c>
      <c r="F229">
        <f>'밸런스 조정'!$C$8+'밸런스 조정'!$D$8*D229</f>
        <v>136</v>
      </c>
      <c r="G229" t="s">
        <v>49</v>
      </c>
      <c r="H229" t="s">
        <v>9</v>
      </c>
      <c r="I229">
        <f>ROUND('밸런스 조정'!$E$8+'밸런스 조정'!$F$8*(D229-1),0)</f>
        <v>630</v>
      </c>
      <c r="J229" t="s">
        <v>132</v>
      </c>
    </row>
    <row r="230" spans="2:10">
      <c r="B230">
        <v>6</v>
      </c>
      <c r="C230" t="s">
        <v>32</v>
      </c>
      <c r="D230">
        <v>18</v>
      </c>
      <c r="E230" t="s">
        <v>31</v>
      </c>
      <c r="F230">
        <f>'밸런스 조정'!$C$8+'밸런스 조정'!$D$8*D230</f>
        <v>144</v>
      </c>
      <c r="G230" t="s">
        <v>49</v>
      </c>
      <c r="H230" t="s">
        <v>9</v>
      </c>
      <c r="I230">
        <f>ROUND('밸런스 조정'!$E$8+'밸런스 조정'!$F$8*(D230-1),0)</f>
        <v>665</v>
      </c>
      <c r="J230" t="s">
        <v>132</v>
      </c>
    </row>
    <row r="231" spans="2:10">
      <c r="B231">
        <v>6</v>
      </c>
      <c r="C231" t="s">
        <v>32</v>
      </c>
      <c r="D231">
        <v>19</v>
      </c>
      <c r="E231" t="s">
        <v>31</v>
      </c>
      <c r="F231">
        <f>'밸런스 조정'!$C$8+'밸런스 조정'!$D$8*D231</f>
        <v>152</v>
      </c>
      <c r="G231" t="s">
        <v>49</v>
      </c>
      <c r="H231" t="s">
        <v>9</v>
      </c>
      <c r="I231">
        <f>ROUND('밸런스 조정'!$E$8+'밸런스 조정'!$F$8*(D231-1),0)</f>
        <v>700</v>
      </c>
      <c r="J231" t="s">
        <v>132</v>
      </c>
    </row>
    <row r="232" spans="2:10">
      <c r="B232">
        <v>6</v>
      </c>
      <c r="C232" t="s">
        <v>32</v>
      </c>
      <c r="D232">
        <v>20</v>
      </c>
      <c r="E232" t="s">
        <v>31</v>
      </c>
      <c r="F232">
        <f>'밸런스 조정'!$C$8+'밸런스 조정'!$D$8*D232</f>
        <v>160</v>
      </c>
      <c r="G232" t="s">
        <v>49</v>
      </c>
      <c r="H232" t="s">
        <v>9</v>
      </c>
      <c r="I232">
        <f>ROUND('밸런스 조정'!$E$8+'밸런스 조정'!$F$8*(D232-1),0)</f>
        <v>735</v>
      </c>
      <c r="J232" t="s">
        <v>132</v>
      </c>
    </row>
    <row r="233" spans="2:10">
      <c r="B233">
        <v>6</v>
      </c>
      <c r="C233" t="s">
        <v>32</v>
      </c>
      <c r="D233">
        <v>21</v>
      </c>
      <c r="E233" t="s">
        <v>31</v>
      </c>
      <c r="F233">
        <f>'밸런스 조정'!$C$8+'밸런스 조정'!$D$8*D233</f>
        <v>168</v>
      </c>
      <c r="G233" t="s">
        <v>49</v>
      </c>
      <c r="H233" t="s">
        <v>9</v>
      </c>
      <c r="I233">
        <f>ROUND('밸런스 조정'!$E$8+'밸런스 조정'!$F$8*(D233-1),0)</f>
        <v>770</v>
      </c>
      <c r="J233" t="s">
        <v>132</v>
      </c>
    </row>
    <row r="234" spans="2:10">
      <c r="B234">
        <v>6</v>
      </c>
      <c r="C234" t="s">
        <v>32</v>
      </c>
      <c r="D234">
        <v>22</v>
      </c>
      <c r="E234" t="s">
        <v>31</v>
      </c>
      <c r="F234">
        <f>'밸런스 조정'!$C$8+'밸런스 조정'!$D$8*D234</f>
        <v>176</v>
      </c>
      <c r="G234" t="s">
        <v>49</v>
      </c>
      <c r="H234" t="s">
        <v>9</v>
      </c>
      <c r="I234">
        <f>ROUND('밸런스 조정'!$E$8+'밸런스 조정'!$F$8*(D234-1),0)</f>
        <v>805</v>
      </c>
      <c r="J234" t="s">
        <v>132</v>
      </c>
    </row>
    <row r="235" spans="2:10">
      <c r="B235">
        <v>6</v>
      </c>
      <c r="C235" t="s">
        <v>32</v>
      </c>
      <c r="D235">
        <v>23</v>
      </c>
      <c r="E235" t="s">
        <v>31</v>
      </c>
      <c r="F235">
        <f>'밸런스 조정'!$C$8+'밸런스 조정'!$D$8*D235</f>
        <v>184</v>
      </c>
      <c r="G235" t="s">
        <v>49</v>
      </c>
      <c r="H235" t="s">
        <v>9</v>
      </c>
      <c r="I235">
        <f>ROUND('밸런스 조정'!$E$8+'밸런스 조정'!$F$8*(D235-1),0)</f>
        <v>840</v>
      </c>
      <c r="J235" t="s">
        <v>132</v>
      </c>
    </row>
    <row r="236" spans="2:10">
      <c r="B236">
        <v>6</v>
      </c>
      <c r="C236" t="s">
        <v>32</v>
      </c>
      <c r="D236">
        <v>24</v>
      </c>
      <c r="E236" t="s">
        <v>31</v>
      </c>
      <c r="F236">
        <f>'밸런스 조정'!$C$8+'밸런스 조정'!$D$8*D236</f>
        <v>192</v>
      </c>
      <c r="G236" t="s">
        <v>49</v>
      </c>
      <c r="H236" t="s">
        <v>9</v>
      </c>
      <c r="I236">
        <f>ROUND('밸런스 조정'!$E$8+'밸런스 조정'!$F$8*(D236-1),0)</f>
        <v>875</v>
      </c>
      <c r="J236" t="s">
        <v>132</v>
      </c>
    </row>
    <row r="237" spans="2:10">
      <c r="B237">
        <v>6</v>
      </c>
      <c r="C237" t="s">
        <v>32</v>
      </c>
      <c r="D237">
        <v>25</v>
      </c>
      <c r="E237" t="s">
        <v>31</v>
      </c>
      <c r="F237">
        <f>'밸런스 조정'!$C$8+'밸런스 조정'!$D$8*D237</f>
        <v>200</v>
      </c>
      <c r="G237" t="s">
        <v>49</v>
      </c>
      <c r="H237" t="s">
        <v>9</v>
      </c>
      <c r="I237">
        <f>ROUND('밸런스 조정'!$E$8+'밸런스 조정'!$F$8*(D237-1),0)</f>
        <v>910</v>
      </c>
      <c r="J237" t="s">
        <v>132</v>
      </c>
    </row>
    <row r="238" spans="2:10">
      <c r="B238">
        <v>6</v>
      </c>
      <c r="C238" t="s">
        <v>32</v>
      </c>
      <c r="D238">
        <v>26</v>
      </c>
      <c r="E238" t="s">
        <v>31</v>
      </c>
      <c r="F238">
        <f>'밸런스 조정'!$C$8+'밸런스 조정'!$D$8*D238</f>
        <v>208</v>
      </c>
      <c r="G238" t="s">
        <v>49</v>
      </c>
      <c r="H238" t="s">
        <v>9</v>
      </c>
      <c r="I238">
        <f>ROUND('밸런스 조정'!$E$8+'밸런스 조정'!$F$8*(D238-1),0)</f>
        <v>945</v>
      </c>
      <c r="J238" t="s">
        <v>132</v>
      </c>
    </row>
    <row r="239" spans="2:10">
      <c r="B239">
        <v>6</v>
      </c>
      <c r="C239" t="s">
        <v>32</v>
      </c>
      <c r="D239">
        <v>27</v>
      </c>
      <c r="E239" t="s">
        <v>31</v>
      </c>
      <c r="F239">
        <f>'밸런스 조정'!$C$8+'밸런스 조정'!$D$8*D239</f>
        <v>216</v>
      </c>
      <c r="G239" t="s">
        <v>49</v>
      </c>
      <c r="H239" t="s">
        <v>9</v>
      </c>
      <c r="I239">
        <f>ROUND('밸런스 조정'!$E$8+'밸런스 조정'!$F$8*(D239-1),0)</f>
        <v>980</v>
      </c>
      <c r="J239" t="s">
        <v>132</v>
      </c>
    </row>
    <row r="240" spans="2:10">
      <c r="B240">
        <v>6</v>
      </c>
      <c r="C240" t="s">
        <v>32</v>
      </c>
      <c r="D240">
        <v>28</v>
      </c>
      <c r="E240" t="s">
        <v>31</v>
      </c>
      <c r="F240">
        <f>'밸런스 조정'!$C$8+'밸런스 조정'!$D$8*D240</f>
        <v>224</v>
      </c>
      <c r="G240" t="s">
        <v>49</v>
      </c>
      <c r="H240" t="s">
        <v>9</v>
      </c>
      <c r="I240">
        <f>ROUND('밸런스 조정'!$E$8+'밸런스 조정'!$F$8*(D240-1),0)</f>
        <v>1015</v>
      </c>
      <c r="J240" t="s">
        <v>132</v>
      </c>
    </row>
    <row r="241" spans="2:10">
      <c r="B241">
        <v>6</v>
      </c>
      <c r="C241" t="s">
        <v>32</v>
      </c>
      <c r="D241">
        <v>29</v>
      </c>
      <c r="E241" t="s">
        <v>31</v>
      </c>
      <c r="F241">
        <f>'밸런스 조정'!$C$8+'밸런스 조정'!$D$8*D241</f>
        <v>232</v>
      </c>
      <c r="G241" t="s">
        <v>49</v>
      </c>
      <c r="H241" t="s">
        <v>9</v>
      </c>
      <c r="I241">
        <f>ROUND('밸런스 조정'!$E$8+'밸런스 조정'!$F$8*(D241-1),0)</f>
        <v>1050</v>
      </c>
      <c r="J241" t="s">
        <v>132</v>
      </c>
    </row>
    <row r="242" spans="2:10">
      <c r="B242">
        <v>6</v>
      </c>
      <c r="C242" t="s">
        <v>32</v>
      </c>
      <c r="D242">
        <v>30</v>
      </c>
      <c r="E242" t="s">
        <v>31</v>
      </c>
      <c r="F242">
        <f>'밸런스 조정'!$C$8+'밸런스 조정'!$D$8*D242</f>
        <v>240</v>
      </c>
      <c r="G242" t="s">
        <v>49</v>
      </c>
      <c r="H242" t="s">
        <v>9</v>
      </c>
      <c r="I242">
        <f>ROUND('밸런스 조정'!$E$8+'밸런스 조정'!$F$8*(D242-1),0)</f>
        <v>1085</v>
      </c>
      <c r="J242" t="s">
        <v>132</v>
      </c>
    </row>
    <row r="243" spans="2:10">
      <c r="B243">
        <v>7</v>
      </c>
      <c r="C243" t="s">
        <v>29</v>
      </c>
      <c r="D243">
        <v>1</v>
      </c>
      <c r="E243" t="s">
        <v>28</v>
      </c>
      <c r="F243">
        <f>'밸런스 조정'!$C$9+'밸런스 조정'!$D$9*D243+'밸런스 조정'!$C$94*D243*(D243-1)</f>
        <v>0.1</v>
      </c>
      <c r="G243" t="s">
        <v>63</v>
      </c>
      <c r="H243" t="s">
        <v>9</v>
      </c>
      <c r="I243">
        <f>ROUND('밸런스 조정'!$E$9+'밸런스 조정'!$F$9*(D243-1),0)</f>
        <v>80</v>
      </c>
      <c r="J243" t="s">
        <v>133</v>
      </c>
    </row>
    <row r="244" spans="2:10">
      <c r="B244">
        <v>7</v>
      </c>
      <c r="C244" t="s">
        <v>29</v>
      </c>
      <c r="D244">
        <v>2</v>
      </c>
      <c r="E244" t="s">
        <v>28</v>
      </c>
      <c r="F244">
        <f>'밸런스 조정'!$C$9+'밸런스 조정'!$D$9*D244+'밸런스 조정'!$C$94*D244*(D244-1)</f>
        <v>0.24000000000000002</v>
      </c>
      <c r="G244" t="s">
        <v>63</v>
      </c>
      <c r="H244" t="s">
        <v>9</v>
      </c>
      <c r="I244">
        <f>ROUND('밸런스 조정'!$E$9+'밸런스 조정'!$F$9*(D244-1),0)</f>
        <v>115</v>
      </c>
      <c r="J244" t="s">
        <v>133</v>
      </c>
    </row>
    <row r="245" spans="2:10">
      <c r="B245">
        <v>7</v>
      </c>
      <c r="C245" t="s">
        <v>29</v>
      </c>
      <c r="D245">
        <v>3</v>
      </c>
      <c r="E245" t="s">
        <v>28</v>
      </c>
      <c r="F245">
        <f>'밸런스 조정'!$C$9+'밸런스 조정'!$D$9*D245+'밸런스 조정'!$C$94*D245*(D245-1)</f>
        <v>0.42000000000000004</v>
      </c>
      <c r="G245" t="s">
        <v>63</v>
      </c>
      <c r="H245" t="s">
        <v>9</v>
      </c>
      <c r="I245">
        <f>ROUND('밸런스 조정'!$E$9+'밸런스 조정'!$F$9*(D245-1),0)</f>
        <v>150</v>
      </c>
      <c r="J245" t="s">
        <v>133</v>
      </c>
    </row>
    <row r="246" spans="2:10">
      <c r="B246">
        <v>7</v>
      </c>
      <c r="C246" t="s">
        <v>29</v>
      </c>
      <c r="D246">
        <v>4</v>
      </c>
      <c r="E246" t="s">
        <v>28</v>
      </c>
      <c r="F246">
        <f>'밸런스 조정'!$C$9+'밸런스 조정'!$D$9*D246+'밸런스 조정'!$C$94*D246*(D246-1)</f>
        <v>0.64</v>
      </c>
      <c r="G246" t="s">
        <v>63</v>
      </c>
      <c r="H246" t="s">
        <v>9</v>
      </c>
      <c r="I246">
        <f>ROUND('밸런스 조정'!$E$9+'밸런스 조정'!$F$9*(D246-1),0)</f>
        <v>185</v>
      </c>
      <c r="J246" t="s">
        <v>133</v>
      </c>
    </row>
    <row r="247" spans="2:10">
      <c r="B247">
        <v>7</v>
      </c>
      <c r="C247" t="s">
        <v>29</v>
      </c>
      <c r="D247">
        <v>5</v>
      </c>
      <c r="E247" t="s">
        <v>28</v>
      </c>
      <c r="F247">
        <f>'밸런스 조정'!$C$9+'밸런스 조정'!$D$9*D247+'밸런스 조정'!$C$94*D247*(D247-1)</f>
        <v>0.9</v>
      </c>
      <c r="G247" t="s">
        <v>63</v>
      </c>
      <c r="H247" t="s">
        <v>9</v>
      </c>
      <c r="I247">
        <f>ROUND('밸런스 조정'!$E$9+'밸런스 조정'!$F$9*(D247-1),0)</f>
        <v>220</v>
      </c>
      <c r="J247" t="s">
        <v>133</v>
      </c>
    </row>
    <row r="248" spans="2:10">
      <c r="B248">
        <v>7</v>
      </c>
      <c r="C248" t="s">
        <v>29</v>
      </c>
      <c r="D248">
        <v>6</v>
      </c>
      <c r="E248" t="s">
        <v>28</v>
      </c>
      <c r="F248">
        <f>'밸런스 조정'!$C$9+'밸런스 조정'!$D$9*D248+'밸런스 조정'!$C$94*D248*(D248-1)</f>
        <v>1.2000000000000002</v>
      </c>
      <c r="G248" t="s">
        <v>63</v>
      </c>
      <c r="H248" t="s">
        <v>9</v>
      </c>
      <c r="I248">
        <f>ROUND('밸런스 조정'!$E$9+'밸런스 조정'!$F$9*(D248-1),0)</f>
        <v>255</v>
      </c>
      <c r="J248" t="s">
        <v>133</v>
      </c>
    </row>
    <row r="249" spans="2:10">
      <c r="B249">
        <v>7</v>
      </c>
      <c r="C249" t="s">
        <v>29</v>
      </c>
      <c r="D249">
        <v>7</v>
      </c>
      <c r="E249" t="s">
        <v>28</v>
      </c>
      <c r="F249">
        <f>'밸런스 조정'!$C$9+'밸런스 조정'!$D$9*D249+'밸런스 조정'!$C$94*D249*(D249-1)</f>
        <v>1.54</v>
      </c>
      <c r="G249" t="s">
        <v>63</v>
      </c>
      <c r="H249" t="s">
        <v>9</v>
      </c>
      <c r="I249">
        <f>ROUND('밸런스 조정'!$E$9+'밸런스 조정'!$F$9*(D249-1),0)</f>
        <v>290</v>
      </c>
      <c r="J249" t="s">
        <v>133</v>
      </c>
    </row>
    <row r="250" spans="2:10">
      <c r="B250">
        <v>7</v>
      </c>
      <c r="C250" t="s">
        <v>29</v>
      </c>
      <c r="D250">
        <v>8</v>
      </c>
      <c r="E250" t="s">
        <v>28</v>
      </c>
      <c r="F250">
        <f>'밸런스 조정'!$C$9+'밸런스 조정'!$D$9*D250+'밸런스 조정'!$C$94*D250*(D250-1)</f>
        <v>1.9200000000000002</v>
      </c>
      <c r="G250" t="s">
        <v>63</v>
      </c>
      <c r="H250" t="s">
        <v>9</v>
      </c>
      <c r="I250">
        <f>ROUND('밸런스 조정'!$E$9+'밸런스 조정'!$F$9*(D250-1),0)</f>
        <v>325</v>
      </c>
      <c r="J250" t="s">
        <v>133</v>
      </c>
    </row>
    <row r="251" spans="2:10">
      <c r="B251">
        <v>7</v>
      </c>
      <c r="C251" t="s">
        <v>29</v>
      </c>
      <c r="D251">
        <v>9</v>
      </c>
      <c r="E251" t="s">
        <v>28</v>
      </c>
      <c r="F251">
        <f>'밸런스 조정'!$C$9+'밸런스 조정'!$D$9*D251+'밸런스 조정'!$C$94*D251*(D251-1)</f>
        <v>2.34</v>
      </c>
      <c r="G251" t="s">
        <v>63</v>
      </c>
      <c r="H251" t="s">
        <v>9</v>
      </c>
      <c r="I251">
        <f>ROUND('밸런스 조정'!$E$9+'밸런스 조정'!$F$9*(D251-1),0)</f>
        <v>360</v>
      </c>
      <c r="J251" t="s">
        <v>133</v>
      </c>
    </row>
    <row r="252" spans="2:10">
      <c r="B252">
        <v>7</v>
      </c>
      <c r="C252" t="s">
        <v>29</v>
      </c>
      <c r="D252">
        <v>10</v>
      </c>
      <c r="E252" t="s">
        <v>28</v>
      </c>
      <c r="F252">
        <f>'밸런스 조정'!$C$9+'밸런스 조정'!$D$9*D252+'밸런스 조정'!$C$94*D252*(D252-1)</f>
        <v>2.8</v>
      </c>
      <c r="G252" t="s">
        <v>63</v>
      </c>
      <c r="H252" t="s">
        <v>9</v>
      </c>
      <c r="I252">
        <f>ROUND('밸런스 조정'!$E$9+'밸런스 조정'!$F$9*(D252-1),0)</f>
        <v>395</v>
      </c>
      <c r="J252" t="s">
        <v>133</v>
      </c>
    </row>
    <row r="253" spans="2:10">
      <c r="B253">
        <v>7</v>
      </c>
      <c r="C253" t="s">
        <v>29</v>
      </c>
      <c r="D253">
        <v>11</v>
      </c>
      <c r="E253" t="s">
        <v>28</v>
      </c>
      <c r="F253">
        <f>'밸런스 조정'!$C$9+'밸런스 조정'!$D$9*D253+'밸런스 조정'!$C$94*D253*(D253-1)</f>
        <v>3.3000000000000003</v>
      </c>
      <c r="G253" t="s">
        <v>63</v>
      </c>
      <c r="H253" t="s">
        <v>9</v>
      </c>
      <c r="I253">
        <f>ROUND('밸런스 조정'!$E$9+'밸런스 조정'!$F$9*(D253-1),0)</f>
        <v>430</v>
      </c>
      <c r="J253" t="s">
        <v>133</v>
      </c>
    </row>
    <row r="254" spans="2:10">
      <c r="B254">
        <v>7</v>
      </c>
      <c r="C254" t="s">
        <v>29</v>
      </c>
      <c r="D254">
        <v>12</v>
      </c>
      <c r="E254" t="s">
        <v>28</v>
      </c>
      <c r="F254">
        <f>'밸런스 조정'!$C$9+'밸런스 조정'!$D$9*D254+'밸런스 조정'!$C$94*D254*(D254-1)</f>
        <v>3.84</v>
      </c>
      <c r="G254" t="s">
        <v>63</v>
      </c>
      <c r="H254" t="s">
        <v>9</v>
      </c>
      <c r="I254">
        <f>ROUND('밸런스 조정'!$E$9+'밸런스 조정'!$F$9*(D254-1),0)</f>
        <v>465</v>
      </c>
      <c r="J254" t="s">
        <v>133</v>
      </c>
    </row>
    <row r="255" spans="2:10">
      <c r="B255">
        <v>7</v>
      </c>
      <c r="C255" t="s">
        <v>29</v>
      </c>
      <c r="D255">
        <v>13</v>
      </c>
      <c r="E255" t="s">
        <v>28</v>
      </c>
      <c r="F255">
        <f>'밸런스 조정'!$C$9+'밸런스 조정'!$D$9*D255+'밸런스 조정'!$C$94*D255*(D255-1)</f>
        <v>4.42</v>
      </c>
      <c r="G255" t="s">
        <v>63</v>
      </c>
      <c r="H255" t="s">
        <v>9</v>
      </c>
      <c r="I255">
        <f>ROUND('밸런스 조정'!$E$9+'밸런스 조정'!$F$9*(D255-1),0)</f>
        <v>500</v>
      </c>
      <c r="J255" t="s">
        <v>133</v>
      </c>
    </row>
    <row r="256" spans="2:10">
      <c r="B256">
        <v>7</v>
      </c>
      <c r="C256" t="s">
        <v>29</v>
      </c>
      <c r="D256">
        <v>14</v>
      </c>
      <c r="E256" t="s">
        <v>28</v>
      </c>
      <c r="F256">
        <f>'밸런스 조정'!$C$9+'밸런스 조정'!$D$9*D256+'밸런스 조정'!$C$94*D256*(D256-1)</f>
        <v>5.0400000000000009</v>
      </c>
      <c r="G256" t="s">
        <v>63</v>
      </c>
      <c r="H256" t="s">
        <v>9</v>
      </c>
      <c r="I256">
        <f>ROUND('밸런스 조정'!$E$9+'밸런스 조정'!$F$9*(D256-1),0)</f>
        <v>535</v>
      </c>
      <c r="J256" t="s">
        <v>133</v>
      </c>
    </row>
    <row r="257" spans="2:10">
      <c r="B257">
        <v>7</v>
      </c>
      <c r="C257" t="s">
        <v>29</v>
      </c>
      <c r="D257">
        <v>15</v>
      </c>
      <c r="E257" t="s">
        <v>28</v>
      </c>
      <c r="F257">
        <f>'밸런스 조정'!$C$9+'밸런스 조정'!$D$9*D257+'밸런스 조정'!$C$94*D257*(D257-1)</f>
        <v>5.7</v>
      </c>
      <c r="G257" t="s">
        <v>63</v>
      </c>
      <c r="H257" t="s">
        <v>9</v>
      </c>
      <c r="I257">
        <f>ROUND('밸런스 조정'!$E$9+'밸런스 조정'!$F$9*(D257-1),0)</f>
        <v>570</v>
      </c>
      <c r="J257" t="s">
        <v>133</v>
      </c>
    </row>
    <row r="258" spans="2:10">
      <c r="B258">
        <v>7</v>
      </c>
      <c r="C258" t="s">
        <v>29</v>
      </c>
      <c r="D258">
        <v>16</v>
      </c>
      <c r="E258" t="s">
        <v>28</v>
      </c>
      <c r="F258">
        <f>'밸런스 조정'!$C$9+'밸런스 조정'!$D$9*D258+'밸런스 조정'!$C$94*D258*(D258-1)</f>
        <v>6.4</v>
      </c>
      <c r="G258" t="s">
        <v>63</v>
      </c>
      <c r="H258" t="s">
        <v>9</v>
      </c>
      <c r="I258">
        <f>ROUND('밸런스 조정'!$E$9+'밸런스 조정'!$F$9*(D258-1),0)</f>
        <v>605</v>
      </c>
      <c r="J258" t="s">
        <v>133</v>
      </c>
    </row>
    <row r="259" spans="2:10">
      <c r="B259">
        <v>7</v>
      </c>
      <c r="C259" t="s">
        <v>29</v>
      </c>
      <c r="D259">
        <v>17</v>
      </c>
      <c r="E259" t="s">
        <v>28</v>
      </c>
      <c r="F259">
        <f>'밸런스 조정'!$C$9+'밸런스 조정'!$D$9*D259+'밸런스 조정'!$C$94*D259*(D259-1)</f>
        <v>7.1400000000000006</v>
      </c>
      <c r="G259" t="s">
        <v>63</v>
      </c>
      <c r="H259" t="s">
        <v>9</v>
      </c>
      <c r="I259">
        <f>ROUND('밸런스 조정'!$E$9+'밸런스 조정'!$F$9*(D259-1),0)</f>
        <v>640</v>
      </c>
      <c r="J259" t="s">
        <v>133</v>
      </c>
    </row>
    <row r="260" spans="2:10">
      <c r="B260">
        <v>7</v>
      </c>
      <c r="C260" t="s">
        <v>29</v>
      </c>
      <c r="D260">
        <v>18</v>
      </c>
      <c r="E260" t="s">
        <v>28</v>
      </c>
      <c r="F260">
        <f>'밸런스 조정'!$C$9+'밸런스 조정'!$D$9*D260+'밸런스 조정'!$C$94*D260*(D260-1)</f>
        <v>7.92</v>
      </c>
      <c r="G260" t="s">
        <v>63</v>
      </c>
      <c r="H260" t="s">
        <v>9</v>
      </c>
      <c r="I260">
        <f>ROUND('밸런스 조정'!$E$9+'밸런스 조정'!$F$9*(D260-1),0)</f>
        <v>675</v>
      </c>
      <c r="J260" t="s">
        <v>133</v>
      </c>
    </row>
    <row r="261" spans="2:10">
      <c r="B261">
        <v>7</v>
      </c>
      <c r="C261" t="s">
        <v>29</v>
      </c>
      <c r="D261">
        <v>19</v>
      </c>
      <c r="E261" t="s">
        <v>28</v>
      </c>
      <c r="F261">
        <f>'밸런스 조정'!$C$9+'밸런스 조정'!$D$9*D261+'밸런스 조정'!$C$94*D261*(D261-1)</f>
        <v>8.74</v>
      </c>
      <c r="G261" t="s">
        <v>63</v>
      </c>
      <c r="H261" t="s">
        <v>9</v>
      </c>
      <c r="I261">
        <f>ROUND('밸런스 조정'!$E$9+'밸런스 조정'!$F$9*(D261-1),0)</f>
        <v>710</v>
      </c>
      <c r="J261" t="s">
        <v>133</v>
      </c>
    </row>
    <row r="262" spans="2:10">
      <c r="B262">
        <v>7</v>
      </c>
      <c r="C262" t="s">
        <v>29</v>
      </c>
      <c r="D262">
        <v>20</v>
      </c>
      <c r="E262" t="s">
        <v>28</v>
      </c>
      <c r="F262">
        <f>'밸런스 조정'!$C$9+'밸런스 조정'!$D$9*D262+'밸런스 조정'!$C$94*D262*(D262-1)</f>
        <v>9.6000000000000014</v>
      </c>
      <c r="G262" t="s">
        <v>63</v>
      </c>
      <c r="H262" t="s">
        <v>9</v>
      </c>
      <c r="I262">
        <f>ROUND('밸런스 조정'!$E$9+'밸런스 조정'!$F$9*(D262-1),0)</f>
        <v>745</v>
      </c>
      <c r="J262" t="s">
        <v>133</v>
      </c>
    </row>
    <row r="263" spans="2:10">
      <c r="B263">
        <v>8</v>
      </c>
      <c r="C263" t="s">
        <v>134</v>
      </c>
      <c r="D263">
        <v>1</v>
      </c>
      <c r="E263" t="s">
        <v>135</v>
      </c>
      <c r="F263">
        <f>'밸런스 조정'!$C$10+'밸런스 조정'!$D$10*D263</f>
        <v>100</v>
      </c>
      <c r="G263" t="s">
        <v>49</v>
      </c>
      <c r="H263" t="s">
        <v>9</v>
      </c>
      <c r="I263">
        <f>ROUND('밸런스 조정'!$E$10+'밸런스 조정'!$F$10*(D263-1),0)</f>
        <v>450</v>
      </c>
      <c r="J263" t="s">
        <v>136</v>
      </c>
    </row>
    <row r="264" spans="2:10">
      <c r="B264">
        <v>8</v>
      </c>
      <c r="C264" t="s">
        <v>134</v>
      </c>
      <c r="D264">
        <v>2</v>
      </c>
      <c r="E264" t="s">
        <v>135</v>
      </c>
      <c r="F264">
        <f>'밸런스 조정'!$C$10+'밸런스 조정'!$D$10*D264</f>
        <v>105</v>
      </c>
      <c r="G264" t="s">
        <v>49</v>
      </c>
      <c r="H264" t="s">
        <v>9</v>
      </c>
      <c r="I264">
        <f>ROUND('밸런스 조정'!$E$10+'밸런스 조정'!$F$10*(D264-1),0)</f>
        <v>570</v>
      </c>
      <c r="J264" t="s">
        <v>136</v>
      </c>
    </row>
    <row r="265" spans="2:10">
      <c r="B265">
        <v>8</v>
      </c>
      <c r="C265" t="s">
        <v>134</v>
      </c>
      <c r="D265">
        <v>3</v>
      </c>
      <c r="E265" t="s">
        <v>135</v>
      </c>
      <c r="F265">
        <f>'밸런스 조정'!$C$10+'밸런스 조정'!$D$10*D265</f>
        <v>110</v>
      </c>
      <c r="G265" t="s">
        <v>49</v>
      </c>
      <c r="H265" t="s">
        <v>9</v>
      </c>
      <c r="I265">
        <f>ROUND('밸런스 조정'!$E$10+'밸런스 조정'!$F$10*(D265-1),0)</f>
        <v>690</v>
      </c>
      <c r="J265" t="s">
        <v>136</v>
      </c>
    </row>
    <row r="266" spans="2:10">
      <c r="B266">
        <v>8</v>
      </c>
      <c r="C266" t="s">
        <v>134</v>
      </c>
      <c r="D266">
        <v>4</v>
      </c>
      <c r="E266" t="s">
        <v>135</v>
      </c>
      <c r="F266">
        <f>'밸런스 조정'!$C$10+'밸런스 조정'!$D$10*D266</f>
        <v>115</v>
      </c>
      <c r="G266" t="s">
        <v>49</v>
      </c>
      <c r="H266" t="s">
        <v>9</v>
      </c>
      <c r="I266">
        <f>ROUND('밸런스 조정'!$E$10+'밸런스 조정'!$F$10*(D266-1),0)</f>
        <v>810</v>
      </c>
      <c r="J266" t="s">
        <v>136</v>
      </c>
    </row>
    <row r="267" spans="2:10">
      <c r="B267">
        <v>8</v>
      </c>
      <c r="C267" t="s">
        <v>134</v>
      </c>
      <c r="D267">
        <v>5</v>
      </c>
      <c r="E267" t="s">
        <v>135</v>
      </c>
      <c r="F267">
        <f>'밸런스 조정'!$C$10+'밸런스 조정'!$D$10*D267</f>
        <v>120</v>
      </c>
      <c r="G267" t="s">
        <v>49</v>
      </c>
      <c r="H267" t="s">
        <v>9</v>
      </c>
      <c r="I267">
        <f>ROUND('밸런스 조정'!$E$10+'밸런스 조정'!$F$10*(D267-1),0)</f>
        <v>930</v>
      </c>
      <c r="J267" t="s">
        <v>136</v>
      </c>
    </row>
    <row r="268" spans="2:10">
      <c r="B268">
        <v>8</v>
      </c>
      <c r="C268" t="s">
        <v>134</v>
      </c>
      <c r="D268">
        <v>6</v>
      </c>
      <c r="E268" t="s">
        <v>135</v>
      </c>
      <c r="F268">
        <f>'밸런스 조정'!$C$10+'밸런스 조정'!$D$10*D268</f>
        <v>125</v>
      </c>
      <c r="G268" t="s">
        <v>49</v>
      </c>
      <c r="H268" t="s">
        <v>9</v>
      </c>
      <c r="I268">
        <f>ROUND('밸런스 조정'!$E$10+'밸런스 조정'!$F$10*(D268-1),0)</f>
        <v>1050</v>
      </c>
      <c r="J268" t="s">
        <v>136</v>
      </c>
    </row>
    <row r="269" spans="2:10">
      <c r="B269">
        <v>8</v>
      </c>
      <c r="C269" t="s">
        <v>134</v>
      </c>
      <c r="D269">
        <v>7</v>
      </c>
      <c r="E269" t="s">
        <v>135</v>
      </c>
      <c r="F269">
        <f>'밸런스 조정'!$C$10+'밸런스 조정'!$D$10*D269</f>
        <v>130</v>
      </c>
      <c r="G269" t="s">
        <v>49</v>
      </c>
      <c r="H269" t="s">
        <v>9</v>
      </c>
      <c r="I269">
        <f>ROUND('밸런스 조정'!$E$10+'밸런스 조정'!$F$10*(D269-1),0)</f>
        <v>1170</v>
      </c>
      <c r="J269" t="s">
        <v>136</v>
      </c>
    </row>
    <row r="270" spans="2:10">
      <c r="B270">
        <v>8</v>
      </c>
      <c r="C270" t="s">
        <v>134</v>
      </c>
      <c r="D270">
        <v>8</v>
      </c>
      <c r="E270" t="s">
        <v>135</v>
      </c>
      <c r="F270">
        <f>'밸런스 조정'!$C$10+'밸런스 조정'!$D$10*D270</f>
        <v>135</v>
      </c>
      <c r="G270" t="s">
        <v>49</v>
      </c>
      <c r="H270" t="s">
        <v>9</v>
      </c>
      <c r="I270">
        <f>ROUND('밸런스 조정'!$E$10+'밸런스 조정'!$F$10*(D270-1),0)</f>
        <v>1290</v>
      </c>
      <c r="J270" t="s">
        <v>136</v>
      </c>
    </row>
    <row r="271" spans="2:10">
      <c r="B271">
        <v>8</v>
      </c>
      <c r="C271" t="s">
        <v>134</v>
      </c>
      <c r="D271">
        <v>9</v>
      </c>
      <c r="E271" t="s">
        <v>135</v>
      </c>
      <c r="F271">
        <f>'밸런스 조정'!$C$10+'밸런스 조정'!$D$10*D271</f>
        <v>140</v>
      </c>
      <c r="G271" t="s">
        <v>49</v>
      </c>
      <c r="H271" t="s">
        <v>9</v>
      </c>
      <c r="I271">
        <f>ROUND('밸런스 조정'!$E$10+'밸런스 조정'!$F$10*(D271-1),0)</f>
        <v>1410</v>
      </c>
      <c r="J271" t="s">
        <v>136</v>
      </c>
    </row>
    <row r="272" spans="2:10">
      <c r="B272">
        <v>8</v>
      </c>
      <c r="C272" t="s">
        <v>134</v>
      </c>
      <c r="D272">
        <v>10</v>
      </c>
      <c r="E272" t="s">
        <v>135</v>
      </c>
      <c r="F272">
        <f>'밸런스 조정'!$C$10+'밸런스 조정'!$D$10*D272</f>
        <v>145</v>
      </c>
      <c r="G272" t="s">
        <v>49</v>
      </c>
      <c r="H272" t="s">
        <v>9</v>
      </c>
      <c r="I272">
        <f>ROUND('밸런스 조정'!$E$10+'밸런스 조정'!$F$10*(D272-1),0)</f>
        <v>1530</v>
      </c>
      <c r="J272" t="s">
        <v>136</v>
      </c>
    </row>
    <row r="273" spans="2:10">
      <c r="B273">
        <v>8</v>
      </c>
      <c r="C273" t="s">
        <v>134</v>
      </c>
      <c r="D273">
        <v>11</v>
      </c>
      <c r="E273" t="s">
        <v>135</v>
      </c>
      <c r="F273">
        <f>'밸런스 조정'!$C$10+'밸런스 조정'!$D$10*D273</f>
        <v>150</v>
      </c>
      <c r="G273" t="s">
        <v>49</v>
      </c>
      <c r="H273" t="s">
        <v>9</v>
      </c>
      <c r="I273">
        <f>ROUND('밸런스 조정'!$E$10+'밸런스 조정'!$F$10*(D273-1),0)</f>
        <v>1650</v>
      </c>
      <c r="J273" t="s">
        <v>136</v>
      </c>
    </row>
    <row r="274" spans="2:10">
      <c r="B274">
        <v>8</v>
      </c>
      <c r="C274" t="s">
        <v>134</v>
      </c>
      <c r="D274">
        <v>12</v>
      </c>
      <c r="E274" t="s">
        <v>135</v>
      </c>
      <c r="F274">
        <f>'밸런스 조정'!$C$10+'밸런스 조정'!$D$10*D274</f>
        <v>155</v>
      </c>
      <c r="G274" t="s">
        <v>49</v>
      </c>
      <c r="H274" t="s">
        <v>9</v>
      </c>
      <c r="I274">
        <f>ROUND('밸런스 조정'!$E$10+'밸런스 조정'!$F$10*(D274-1),0)</f>
        <v>1770</v>
      </c>
      <c r="J274" t="s">
        <v>136</v>
      </c>
    </row>
    <row r="275" spans="2:10">
      <c r="B275">
        <v>8</v>
      </c>
      <c r="C275" t="s">
        <v>134</v>
      </c>
      <c r="D275">
        <v>13</v>
      </c>
      <c r="E275" t="s">
        <v>135</v>
      </c>
      <c r="F275">
        <f>'밸런스 조정'!$C$10+'밸런스 조정'!$D$10*D275</f>
        <v>160</v>
      </c>
      <c r="G275" t="s">
        <v>49</v>
      </c>
      <c r="H275" t="s">
        <v>9</v>
      </c>
      <c r="I275">
        <f>ROUND('밸런스 조정'!$E$10+'밸런스 조정'!$F$10*(D275-1),0)</f>
        <v>1890</v>
      </c>
      <c r="J275" t="s">
        <v>136</v>
      </c>
    </row>
    <row r="276" spans="2:10">
      <c r="B276">
        <v>8</v>
      </c>
      <c r="C276" t="s">
        <v>134</v>
      </c>
      <c r="D276">
        <v>14</v>
      </c>
      <c r="E276" t="s">
        <v>135</v>
      </c>
      <c r="F276">
        <f>'밸런스 조정'!$C$10+'밸런스 조정'!$D$10*D276</f>
        <v>165</v>
      </c>
      <c r="G276" t="s">
        <v>49</v>
      </c>
      <c r="H276" t="s">
        <v>9</v>
      </c>
      <c r="I276">
        <f>ROUND('밸런스 조정'!$E$10+'밸런스 조정'!$F$10*(D276-1),0)</f>
        <v>2010</v>
      </c>
      <c r="J276" t="s">
        <v>136</v>
      </c>
    </row>
    <row r="277" spans="2:10">
      <c r="B277">
        <v>8</v>
      </c>
      <c r="C277" t="s">
        <v>134</v>
      </c>
      <c r="D277">
        <v>15</v>
      </c>
      <c r="E277" t="s">
        <v>135</v>
      </c>
      <c r="F277">
        <f>'밸런스 조정'!$C$10+'밸런스 조정'!$D$10*D277</f>
        <v>170</v>
      </c>
      <c r="G277" t="s">
        <v>49</v>
      </c>
      <c r="H277" t="s">
        <v>9</v>
      </c>
      <c r="I277">
        <f>ROUND('밸런스 조정'!$E$10+'밸런스 조정'!$F$10*(D277-1),0)</f>
        <v>2130</v>
      </c>
      <c r="J277" t="s">
        <v>136</v>
      </c>
    </row>
    <row r="278" spans="2:10">
      <c r="B278">
        <v>8</v>
      </c>
      <c r="C278" t="s">
        <v>134</v>
      </c>
      <c r="D278">
        <v>16</v>
      </c>
      <c r="E278" t="s">
        <v>135</v>
      </c>
      <c r="F278">
        <f>'밸런스 조정'!$C$10+'밸런스 조정'!$D$10*D278</f>
        <v>175</v>
      </c>
      <c r="G278" t="s">
        <v>49</v>
      </c>
      <c r="H278" t="s">
        <v>9</v>
      </c>
      <c r="I278">
        <f>ROUND('밸런스 조정'!$E$10+'밸런스 조정'!$F$10*(D278-1),0)</f>
        <v>2250</v>
      </c>
      <c r="J278" t="s">
        <v>136</v>
      </c>
    </row>
    <row r="279" spans="2:10">
      <c r="B279">
        <v>8</v>
      </c>
      <c r="C279" t="s">
        <v>134</v>
      </c>
      <c r="D279">
        <v>17</v>
      </c>
      <c r="E279" t="s">
        <v>135</v>
      </c>
      <c r="F279">
        <f>'밸런스 조정'!$C$10+'밸런스 조정'!$D$10*D279</f>
        <v>180</v>
      </c>
      <c r="G279" t="s">
        <v>49</v>
      </c>
      <c r="H279" t="s">
        <v>9</v>
      </c>
      <c r="I279">
        <f>ROUND('밸런스 조정'!$E$10+'밸런스 조정'!$F$10*(D279-1),0)</f>
        <v>2370</v>
      </c>
      <c r="J279" t="s">
        <v>136</v>
      </c>
    </row>
    <row r="280" spans="2:10">
      <c r="B280">
        <v>8</v>
      </c>
      <c r="C280" t="s">
        <v>134</v>
      </c>
      <c r="D280">
        <v>18</v>
      </c>
      <c r="E280" t="s">
        <v>135</v>
      </c>
      <c r="F280">
        <f>'밸런스 조정'!$C$10+'밸런스 조정'!$D$10*D280</f>
        <v>185</v>
      </c>
      <c r="G280" t="s">
        <v>49</v>
      </c>
      <c r="H280" t="s">
        <v>9</v>
      </c>
      <c r="I280">
        <f>ROUND('밸런스 조정'!$E$10+'밸런스 조정'!$F$10*(D280-1),0)</f>
        <v>2490</v>
      </c>
      <c r="J280" t="s">
        <v>136</v>
      </c>
    </row>
    <row r="281" spans="2:10">
      <c r="B281">
        <v>8</v>
      </c>
      <c r="C281" t="s">
        <v>134</v>
      </c>
      <c r="D281">
        <v>19</v>
      </c>
      <c r="E281" t="s">
        <v>135</v>
      </c>
      <c r="F281">
        <f>'밸런스 조정'!$C$10+'밸런스 조정'!$D$10*D281</f>
        <v>190</v>
      </c>
      <c r="G281" t="s">
        <v>49</v>
      </c>
      <c r="H281" t="s">
        <v>9</v>
      </c>
      <c r="I281">
        <f>ROUND('밸런스 조정'!$E$10+'밸런스 조정'!$F$10*(D281-1),0)</f>
        <v>2610</v>
      </c>
      <c r="J281" t="s">
        <v>136</v>
      </c>
    </row>
    <row r="282" spans="2:10">
      <c r="B282">
        <v>8</v>
      </c>
      <c r="C282" t="s">
        <v>134</v>
      </c>
      <c r="D282">
        <v>20</v>
      </c>
      <c r="E282" t="s">
        <v>135</v>
      </c>
      <c r="F282">
        <f>'밸런스 조정'!$C$10+'밸런스 조정'!$D$10*D282</f>
        <v>195</v>
      </c>
      <c r="G282" t="s">
        <v>49</v>
      </c>
      <c r="H282" t="s">
        <v>9</v>
      </c>
      <c r="I282">
        <f>ROUND('밸런스 조정'!$E$10+'밸런스 조정'!$F$10*(D282-1),0)</f>
        <v>2730</v>
      </c>
      <c r="J282" t="s">
        <v>136</v>
      </c>
    </row>
    <row r="283" spans="2:10">
      <c r="B283">
        <v>9</v>
      </c>
      <c r="C283" t="s">
        <v>137</v>
      </c>
      <c r="D283">
        <v>1</v>
      </c>
      <c r="E283" t="s">
        <v>138</v>
      </c>
      <c r="F283">
        <f>'밸런스 조정'!$C$11+'밸런스 조정'!$D$11*D283</f>
        <v>130</v>
      </c>
      <c r="G283" t="s">
        <v>49</v>
      </c>
      <c r="H283" t="s">
        <v>9</v>
      </c>
      <c r="I283">
        <f>ROUND('밸런스 조정'!$E$11+'밸런스 조정'!$F$11*(D283-1),0)</f>
        <v>550</v>
      </c>
      <c r="J283" t="s">
        <v>139</v>
      </c>
    </row>
    <row r="284" spans="2:10">
      <c r="B284">
        <v>9</v>
      </c>
      <c r="C284" t="s">
        <v>137</v>
      </c>
      <c r="D284">
        <v>2</v>
      </c>
      <c r="E284" t="s">
        <v>138</v>
      </c>
      <c r="F284">
        <f>'밸런스 조정'!$C$11+'밸런스 조정'!$D$11*D284</f>
        <v>135</v>
      </c>
      <c r="G284" t="s">
        <v>49</v>
      </c>
      <c r="H284" t="s">
        <v>9</v>
      </c>
      <c r="I284">
        <f>ROUND('밸런스 조정'!$E$11+'밸런스 조정'!$F$11*(D284-1),0)</f>
        <v>700</v>
      </c>
      <c r="J284" t="s">
        <v>139</v>
      </c>
    </row>
    <row r="285" spans="2:10">
      <c r="B285">
        <v>9</v>
      </c>
      <c r="C285" t="s">
        <v>137</v>
      </c>
      <c r="D285">
        <v>3</v>
      </c>
      <c r="E285" t="s">
        <v>138</v>
      </c>
      <c r="F285">
        <f>'밸런스 조정'!$C$11+'밸런스 조정'!$D$11*D285</f>
        <v>140</v>
      </c>
      <c r="G285" t="s">
        <v>49</v>
      </c>
      <c r="H285" t="s">
        <v>9</v>
      </c>
      <c r="I285">
        <f>ROUND('밸런스 조정'!$E$11+'밸런스 조정'!$F$11*(D285-1),0)</f>
        <v>850</v>
      </c>
      <c r="J285" t="s">
        <v>139</v>
      </c>
    </row>
    <row r="286" spans="2:10">
      <c r="B286">
        <v>9</v>
      </c>
      <c r="C286" t="s">
        <v>137</v>
      </c>
      <c r="D286">
        <v>4</v>
      </c>
      <c r="E286" t="s">
        <v>138</v>
      </c>
      <c r="F286">
        <f>'밸런스 조정'!$C$11+'밸런스 조정'!$D$11*D286</f>
        <v>145</v>
      </c>
      <c r="G286" t="s">
        <v>49</v>
      </c>
      <c r="H286" t="s">
        <v>9</v>
      </c>
      <c r="I286">
        <f>ROUND('밸런스 조정'!$E$11+'밸런스 조정'!$F$11*(D286-1),0)</f>
        <v>1000</v>
      </c>
      <c r="J286" t="s">
        <v>139</v>
      </c>
    </row>
    <row r="287" spans="2:10">
      <c r="B287">
        <v>9</v>
      </c>
      <c r="C287" t="s">
        <v>137</v>
      </c>
      <c r="D287">
        <v>5</v>
      </c>
      <c r="E287" t="s">
        <v>138</v>
      </c>
      <c r="F287">
        <f>'밸런스 조정'!$C$11+'밸런스 조정'!$D$11*D287</f>
        <v>150</v>
      </c>
      <c r="G287" t="s">
        <v>49</v>
      </c>
      <c r="H287" t="s">
        <v>9</v>
      </c>
      <c r="I287">
        <f>ROUND('밸런스 조정'!$E$11+'밸런스 조정'!$F$11*(D287-1),0)</f>
        <v>1150</v>
      </c>
      <c r="J287" t="s">
        <v>139</v>
      </c>
    </row>
    <row r="288" spans="2:10">
      <c r="B288">
        <v>9</v>
      </c>
      <c r="C288" t="s">
        <v>137</v>
      </c>
      <c r="D288">
        <v>6</v>
      </c>
      <c r="E288" t="s">
        <v>138</v>
      </c>
      <c r="F288">
        <f>'밸런스 조정'!$C$11+'밸런스 조정'!$D$11*D288</f>
        <v>155</v>
      </c>
      <c r="G288" t="s">
        <v>49</v>
      </c>
      <c r="H288" t="s">
        <v>9</v>
      </c>
      <c r="I288">
        <f>ROUND('밸런스 조정'!$E$11+'밸런스 조정'!$F$11*(D288-1),0)</f>
        <v>1300</v>
      </c>
      <c r="J288" t="s">
        <v>139</v>
      </c>
    </row>
    <row r="289" spans="2:10">
      <c r="B289">
        <v>9</v>
      </c>
      <c r="C289" t="s">
        <v>137</v>
      </c>
      <c r="D289">
        <v>7</v>
      </c>
      <c r="E289" t="s">
        <v>138</v>
      </c>
      <c r="F289">
        <f>'밸런스 조정'!$C$11+'밸런스 조정'!$D$11*D289</f>
        <v>160</v>
      </c>
      <c r="G289" t="s">
        <v>49</v>
      </c>
      <c r="H289" t="s">
        <v>9</v>
      </c>
      <c r="I289">
        <f>ROUND('밸런스 조정'!$E$11+'밸런스 조정'!$F$11*(D289-1),0)</f>
        <v>1450</v>
      </c>
      <c r="J289" t="s">
        <v>139</v>
      </c>
    </row>
    <row r="290" spans="2:10">
      <c r="B290">
        <v>9</v>
      </c>
      <c r="C290" t="s">
        <v>137</v>
      </c>
      <c r="D290">
        <v>8</v>
      </c>
      <c r="E290" t="s">
        <v>138</v>
      </c>
      <c r="F290">
        <f>'밸런스 조정'!$C$11+'밸런스 조정'!$D$11*D290</f>
        <v>165</v>
      </c>
      <c r="G290" t="s">
        <v>49</v>
      </c>
      <c r="H290" t="s">
        <v>9</v>
      </c>
      <c r="I290">
        <f>ROUND('밸런스 조정'!$E$11+'밸런스 조정'!$F$11*(D290-1),0)</f>
        <v>1600</v>
      </c>
      <c r="J290" t="s">
        <v>139</v>
      </c>
    </row>
    <row r="291" spans="2:10">
      <c r="B291">
        <v>9</v>
      </c>
      <c r="C291" t="s">
        <v>137</v>
      </c>
      <c r="D291">
        <v>9</v>
      </c>
      <c r="E291" t="s">
        <v>138</v>
      </c>
      <c r="F291">
        <f>'밸런스 조정'!$C$11+'밸런스 조정'!$D$11*D291</f>
        <v>170</v>
      </c>
      <c r="G291" t="s">
        <v>49</v>
      </c>
      <c r="H291" t="s">
        <v>9</v>
      </c>
      <c r="I291">
        <f>ROUND('밸런스 조정'!$E$11+'밸런스 조정'!$F$11*(D291-1),0)</f>
        <v>1750</v>
      </c>
      <c r="J291" t="s">
        <v>139</v>
      </c>
    </row>
    <row r="292" spans="2:10">
      <c r="B292">
        <v>9</v>
      </c>
      <c r="C292" t="s">
        <v>137</v>
      </c>
      <c r="D292">
        <v>10</v>
      </c>
      <c r="E292" t="s">
        <v>138</v>
      </c>
      <c r="F292">
        <f>'밸런스 조정'!$C$11+'밸런스 조정'!$D$11*D292</f>
        <v>175</v>
      </c>
      <c r="G292" t="s">
        <v>49</v>
      </c>
      <c r="H292" t="s">
        <v>9</v>
      </c>
      <c r="I292">
        <f>ROUND('밸런스 조정'!$E$11+'밸런스 조정'!$F$11*(D292-1),0)</f>
        <v>1900</v>
      </c>
      <c r="J292" t="s">
        <v>139</v>
      </c>
    </row>
    <row r="293" spans="2:10">
      <c r="B293">
        <v>9</v>
      </c>
      <c r="C293" t="s">
        <v>137</v>
      </c>
      <c r="D293">
        <v>11</v>
      </c>
      <c r="E293" t="s">
        <v>138</v>
      </c>
      <c r="F293">
        <f>'밸런스 조정'!$C$11+'밸런스 조정'!$D$11*D293</f>
        <v>180</v>
      </c>
      <c r="G293" t="s">
        <v>49</v>
      </c>
      <c r="H293" t="s">
        <v>9</v>
      </c>
      <c r="I293">
        <f>ROUND('밸런스 조정'!$E$11+'밸런스 조정'!$F$11*(D293-1),0)</f>
        <v>2050</v>
      </c>
      <c r="J293" t="s">
        <v>139</v>
      </c>
    </row>
    <row r="294" spans="2:10">
      <c r="B294">
        <v>9</v>
      </c>
      <c r="C294" t="s">
        <v>137</v>
      </c>
      <c r="D294">
        <v>12</v>
      </c>
      <c r="E294" t="s">
        <v>138</v>
      </c>
      <c r="F294">
        <f>'밸런스 조정'!$C$11+'밸런스 조정'!$D$11*D294</f>
        <v>185</v>
      </c>
      <c r="G294" t="s">
        <v>49</v>
      </c>
      <c r="H294" t="s">
        <v>9</v>
      </c>
      <c r="I294">
        <f>ROUND('밸런스 조정'!$E$11+'밸런스 조정'!$F$11*(D294-1),0)</f>
        <v>2200</v>
      </c>
      <c r="J294" t="s">
        <v>139</v>
      </c>
    </row>
    <row r="295" spans="2:10">
      <c r="B295">
        <v>9</v>
      </c>
      <c r="C295" t="s">
        <v>137</v>
      </c>
      <c r="D295">
        <v>13</v>
      </c>
      <c r="E295" t="s">
        <v>138</v>
      </c>
      <c r="F295">
        <f>'밸런스 조정'!$C$11+'밸런스 조정'!$D$11*D295</f>
        <v>190</v>
      </c>
      <c r="G295" t="s">
        <v>49</v>
      </c>
      <c r="H295" t="s">
        <v>9</v>
      </c>
      <c r="I295">
        <f>ROUND('밸런스 조정'!$E$11+'밸런스 조정'!$F$11*(D295-1),0)</f>
        <v>2350</v>
      </c>
      <c r="J295" t="s">
        <v>139</v>
      </c>
    </row>
    <row r="296" spans="2:10">
      <c r="B296">
        <v>9</v>
      </c>
      <c r="C296" t="s">
        <v>137</v>
      </c>
      <c r="D296">
        <v>14</v>
      </c>
      <c r="E296" t="s">
        <v>138</v>
      </c>
      <c r="F296">
        <f>'밸런스 조정'!$C$11+'밸런스 조정'!$D$11*D296</f>
        <v>195</v>
      </c>
      <c r="G296" t="s">
        <v>49</v>
      </c>
      <c r="H296" t="s">
        <v>9</v>
      </c>
      <c r="I296">
        <f>ROUND('밸런스 조정'!$E$11+'밸런스 조정'!$F$11*(D296-1),0)</f>
        <v>2500</v>
      </c>
      <c r="J296" t="s">
        <v>139</v>
      </c>
    </row>
    <row r="297" spans="2:10">
      <c r="B297">
        <v>9</v>
      </c>
      <c r="C297" t="s">
        <v>137</v>
      </c>
      <c r="D297">
        <v>15</v>
      </c>
      <c r="E297" t="s">
        <v>138</v>
      </c>
      <c r="F297">
        <f>'밸런스 조정'!$C$11+'밸런스 조정'!$D$11*D297</f>
        <v>200</v>
      </c>
      <c r="G297" t="s">
        <v>49</v>
      </c>
      <c r="H297" t="s">
        <v>9</v>
      </c>
      <c r="I297">
        <f>ROUND('밸런스 조정'!$E$11+'밸런스 조정'!$F$11*(D297-1),0)</f>
        <v>2650</v>
      </c>
      <c r="J297" t="s">
        <v>139</v>
      </c>
    </row>
    <row r="298" spans="2:10">
      <c r="B298">
        <v>9</v>
      </c>
      <c r="C298" t="s">
        <v>137</v>
      </c>
      <c r="D298">
        <v>16</v>
      </c>
      <c r="E298" t="s">
        <v>138</v>
      </c>
      <c r="F298">
        <f>'밸런스 조정'!$C$11+'밸런스 조정'!$D$11*D298</f>
        <v>205</v>
      </c>
      <c r="G298" t="s">
        <v>49</v>
      </c>
      <c r="H298" t="s">
        <v>9</v>
      </c>
      <c r="I298">
        <f>ROUND('밸런스 조정'!$E$11+'밸런스 조정'!$F$11*(D298-1),0)</f>
        <v>2800</v>
      </c>
      <c r="J298" t="s">
        <v>139</v>
      </c>
    </row>
    <row r="299" spans="2:10">
      <c r="B299">
        <v>9</v>
      </c>
      <c r="C299" t="s">
        <v>137</v>
      </c>
      <c r="D299">
        <v>17</v>
      </c>
      <c r="E299" t="s">
        <v>138</v>
      </c>
      <c r="F299">
        <f>'밸런스 조정'!$C$11+'밸런스 조정'!$D$11*D299</f>
        <v>210</v>
      </c>
      <c r="G299" t="s">
        <v>49</v>
      </c>
      <c r="H299" t="s">
        <v>9</v>
      </c>
      <c r="I299">
        <f>ROUND('밸런스 조정'!$E$11+'밸런스 조정'!$F$11*(D299-1),0)</f>
        <v>2950</v>
      </c>
      <c r="J299" t="s">
        <v>139</v>
      </c>
    </row>
    <row r="300" spans="2:10">
      <c r="B300">
        <v>9</v>
      </c>
      <c r="C300" t="s">
        <v>137</v>
      </c>
      <c r="D300">
        <v>18</v>
      </c>
      <c r="E300" t="s">
        <v>138</v>
      </c>
      <c r="F300">
        <f>'밸런스 조정'!$C$11+'밸런스 조정'!$D$11*D300</f>
        <v>215</v>
      </c>
      <c r="G300" t="s">
        <v>49</v>
      </c>
      <c r="H300" t="s">
        <v>9</v>
      </c>
      <c r="I300">
        <f>ROUND('밸런스 조정'!$E$11+'밸런스 조정'!$F$11*(D300-1),0)</f>
        <v>3100</v>
      </c>
      <c r="J300" t="s">
        <v>139</v>
      </c>
    </row>
    <row r="301" spans="2:10">
      <c r="B301">
        <v>9</v>
      </c>
      <c r="C301" t="s">
        <v>137</v>
      </c>
      <c r="D301">
        <v>19</v>
      </c>
      <c r="E301" t="s">
        <v>138</v>
      </c>
      <c r="F301">
        <f>'밸런스 조정'!$C$11+'밸런스 조정'!$D$11*D301</f>
        <v>220</v>
      </c>
      <c r="G301" t="s">
        <v>49</v>
      </c>
      <c r="H301" t="s">
        <v>9</v>
      </c>
      <c r="I301">
        <f>ROUND('밸런스 조정'!$E$11+'밸런스 조정'!$F$11*(D301-1),0)</f>
        <v>3250</v>
      </c>
      <c r="J301" t="s">
        <v>139</v>
      </c>
    </row>
    <row r="302" spans="2:10">
      <c r="B302">
        <v>9</v>
      </c>
      <c r="C302" t="s">
        <v>137</v>
      </c>
      <c r="D302">
        <v>20</v>
      </c>
      <c r="E302" t="s">
        <v>138</v>
      </c>
      <c r="F302">
        <f>'밸런스 조정'!$C$11+'밸런스 조정'!$D$11*D302</f>
        <v>225</v>
      </c>
      <c r="G302" t="s">
        <v>49</v>
      </c>
      <c r="H302" t="s">
        <v>9</v>
      </c>
      <c r="I302">
        <f>ROUND('밸런스 조정'!$E$11+'밸런스 조정'!$F$11*(D302-1),0)</f>
        <v>3400</v>
      </c>
      <c r="J302" t="s">
        <v>139</v>
      </c>
    </row>
    <row r="303" spans="2:10" ht="32.1" customHeight="1">
      <c r="B303">
        <v>10</v>
      </c>
      <c r="C303" t="s">
        <v>140</v>
      </c>
      <c r="D303">
        <v>1</v>
      </c>
      <c r="E303" s="40" t="s">
        <v>141</v>
      </c>
      <c r="F303">
        <v>5</v>
      </c>
      <c r="G303" t="s">
        <v>49</v>
      </c>
      <c r="H303" t="s">
        <v>9</v>
      </c>
      <c r="I303">
        <v>70</v>
      </c>
      <c r="J303" s="40" t="s">
        <v>142</v>
      </c>
    </row>
    <row r="304" spans="2:10" ht="32.1" customHeight="1">
      <c r="B304">
        <v>10</v>
      </c>
      <c r="C304" t="s">
        <v>140</v>
      </c>
      <c r="D304">
        <v>2</v>
      </c>
      <c r="E304" s="40" t="s">
        <v>141</v>
      </c>
      <c r="F304">
        <v>10</v>
      </c>
      <c r="G304" t="s">
        <v>49</v>
      </c>
      <c r="H304" t="s">
        <v>9</v>
      </c>
      <c r="I304">
        <v>105</v>
      </c>
      <c r="J304" s="40" t="s">
        <v>142</v>
      </c>
    </row>
    <row r="305" spans="2:10" ht="32.1" customHeight="1">
      <c r="B305">
        <v>10</v>
      </c>
      <c r="C305" t="s">
        <v>140</v>
      </c>
      <c r="D305">
        <v>3</v>
      </c>
      <c r="E305" s="40" t="s">
        <v>141</v>
      </c>
      <c r="F305">
        <v>15</v>
      </c>
      <c r="G305" t="s">
        <v>49</v>
      </c>
      <c r="H305" t="s">
        <v>9</v>
      </c>
      <c r="I305">
        <v>140</v>
      </c>
      <c r="J305" s="40" t="s">
        <v>142</v>
      </c>
    </row>
    <row r="306" spans="2:10" ht="32.1" customHeight="1">
      <c r="B306">
        <v>10</v>
      </c>
      <c r="C306" t="s">
        <v>140</v>
      </c>
      <c r="D306">
        <v>4</v>
      </c>
      <c r="E306" s="40" t="s">
        <v>141</v>
      </c>
      <c r="F306">
        <v>20</v>
      </c>
      <c r="G306" t="s">
        <v>49</v>
      </c>
      <c r="H306" t="s">
        <v>9</v>
      </c>
      <c r="I306">
        <v>175</v>
      </c>
      <c r="J306" s="40" t="s">
        <v>142</v>
      </c>
    </row>
    <row r="307" spans="2:10" ht="32.1" customHeight="1">
      <c r="B307">
        <v>10</v>
      </c>
      <c r="C307" t="s">
        <v>140</v>
      </c>
      <c r="D307">
        <v>5</v>
      </c>
      <c r="E307" s="40" t="s">
        <v>141</v>
      </c>
      <c r="F307">
        <v>25</v>
      </c>
      <c r="G307" t="s">
        <v>49</v>
      </c>
      <c r="H307" t="s">
        <v>9</v>
      </c>
      <c r="I307">
        <v>210</v>
      </c>
      <c r="J307" s="40" t="s">
        <v>142</v>
      </c>
    </row>
    <row r="308" spans="2:10" ht="32.1" customHeight="1">
      <c r="B308">
        <v>10</v>
      </c>
      <c r="C308" t="s">
        <v>140</v>
      </c>
      <c r="D308">
        <v>6</v>
      </c>
      <c r="E308" s="40" t="s">
        <v>141</v>
      </c>
      <c r="F308">
        <v>30</v>
      </c>
      <c r="G308" t="s">
        <v>49</v>
      </c>
      <c r="H308" t="s">
        <v>9</v>
      </c>
      <c r="I308">
        <v>245</v>
      </c>
      <c r="J308" s="40" t="s">
        <v>142</v>
      </c>
    </row>
    <row r="309" spans="2:10" ht="32.1" customHeight="1">
      <c r="B309">
        <v>10</v>
      </c>
      <c r="C309" t="s">
        <v>140</v>
      </c>
      <c r="D309">
        <v>7</v>
      </c>
      <c r="E309" s="40" t="s">
        <v>141</v>
      </c>
      <c r="F309">
        <v>35</v>
      </c>
      <c r="G309" t="s">
        <v>49</v>
      </c>
      <c r="H309" t="s">
        <v>9</v>
      </c>
      <c r="I309">
        <v>280</v>
      </c>
      <c r="J309" s="40" t="s">
        <v>142</v>
      </c>
    </row>
    <row r="310" spans="2:10" ht="32.1" customHeight="1">
      <c r="B310">
        <v>10</v>
      </c>
      <c r="C310" t="s">
        <v>140</v>
      </c>
      <c r="D310">
        <v>8</v>
      </c>
      <c r="E310" s="40" t="s">
        <v>141</v>
      </c>
      <c r="F310">
        <v>40</v>
      </c>
      <c r="G310" t="s">
        <v>49</v>
      </c>
      <c r="H310" t="s">
        <v>9</v>
      </c>
      <c r="I310">
        <v>315</v>
      </c>
      <c r="J310" s="40" t="s">
        <v>142</v>
      </c>
    </row>
    <row r="311" spans="2:10" ht="32.1" customHeight="1">
      <c r="B311">
        <v>10</v>
      </c>
      <c r="C311" t="s">
        <v>140</v>
      </c>
      <c r="D311">
        <v>9</v>
      </c>
      <c r="E311" s="40" t="s">
        <v>141</v>
      </c>
      <c r="F311">
        <v>45</v>
      </c>
      <c r="G311" t="s">
        <v>49</v>
      </c>
      <c r="H311" t="s">
        <v>9</v>
      </c>
      <c r="I311">
        <v>350</v>
      </c>
      <c r="J311" s="40" t="s">
        <v>142</v>
      </c>
    </row>
    <row r="312" spans="2:10" ht="32.1" customHeight="1">
      <c r="B312">
        <v>10</v>
      </c>
      <c r="C312" t="s">
        <v>140</v>
      </c>
      <c r="D312">
        <v>10</v>
      </c>
      <c r="E312" s="40" t="s">
        <v>141</v>
      </c>
      <c r="F312">
        <v>50</v>
      </c>
      <c r="G312" t="s">
        <v>49</v>
      </c>
      <c r="H312" t="s">
        <v>9</v>
      </c>
      <c r="I312">
        <v>385</v>
      </c>
      <c r="J312" s="40" t="s">
        <v>142</v>
      </c>
    </row>
  </sheetData>
  <phoneticPr fontId="1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I11"/>
  <sheetViews>
    <sheetView workbookViewId="0"/>
  </sheetViews>
  <sheetFormatPr defaultRowHeight="16.5"/>
  <cols>
    <col min="2" max="2" width="9.625" customWidth="1"/>
    <col min="3" max="3" width="10.25" customWidth="1"/>
    <col min="4" max="5" width="9.625" customWidth="1"/>
    <col min="6" max="6" width="11.625" customWidth="1"/>
    <col min="7" max="7" width="18.625" customWidth="1"/>
    <col min="8" max="8" width="14.375" customWidth="1"/>
    <col min="9" max="9" width="11.625" customWidth="1"/>
  </cols>
  <sheetData>
    <row r="2" spans="2:9">
      <c r="B2" s="10" t="s">
        <v>0</v>
      </c>
      <c r="C2" s="10" t="s">
        <v>1</v>
      </c>
      <c r="D2" s="10" t="s">
        <v>2</v>
      </c>
      <c r="E2" s="10" t="s">
        <v>3</v>
      </c>
      <c r="F2" s="10" t="s">
        <v>4</v>
      </c>
      <c r="G2" s="10" t="s">
        <v>5</v>
      </c>
      <c r="H2" s="10" t="s">
        <v>6</v>
      </c>
      <c r="I2" s="10" t="s">
        <v>7</v>
      </c>
    </row>
    <row r="3" spans="2:9">
      <c r="B3" s="11">
        <v>1</v>
      </c>
      <c r="C3" s="11" t="s">
        <v>8</v>
      </c>
      <c r="D3" s="11" t="s">
        <v>9</v>
      </c>
      <c r="E3" s="11"/>
      <c r="F3" s="11"/>
      <c r="G3" s="11"/>
      <c r="H3" s="11"/>
      <c r="I3" s="11"/>
    </row>
    <row r="4" spans="2:9">
      <c r="B4" s="11">
        <v>2</v>
      </c>
      <c r="C4" s="11" t="s">
        <v>10</v>
      </c>
      <c r="D4" s="11" t="s">
        <v>9</v>
      </c>
      <c r="E4" s="11">
        <v>5000</v>
      </c>
      <c r="F4" s="11" t="s">
        <v>11</v>
      </c>
      <c r="G4" s="11" t="s">
        <v>12</v>
      </c>
      <c r="H4" s="11" t="s">
        <v>13</v>
      </c>
      <c r="I4" s="11">
        <v>50</v>
      </c>
    </row>
    <row r="5" spans="2:9">
      <c r="B5" s="11">
        <v>3</v>
      </c>
      <c r="C5" s="11" t="s">
        <v>14</v>
      </c>
      <c r="D5" s="11" t="s">
        <v>9</v>
      </c>
      <c r="E5" s="11">
        <v>5000</v>
      </c>
      <c r="F5" s="11" t="s">
        <v>15</v>
      </c>
      <c r="G5" s="11" t="s">
        <v>16</v>
      </c>
      <c r="H5" s="11" t="s">
        <v>13</v>
      </c>
      <c r="I5" s="11">
        <v>30</v>
      </c>
    </row>
    <row r="6" spans="2:9">
      <c r="B6" s="11">
        <v>4</v>
      </c>
      <c r="C6" s="11" t="s">
        <v>17</v>
      </c>
      <c r="D6" s="11" t="s">
        <v>9</v>
      </c>
      <c r="E6" s="11">
        <v>5000</v>
      </c>
      <c r="F6" s="11" t="s">
        <v>18</v>
      </c>
      <c r="G6" s="11" t="s">
        <v>19</v>
      </c>
      <c r="H6" s="11" t="s">
        <v>20</v>
      </c>
      <c r="I6" s="11">
        <v>20</v>
      </c>
    </row>
    <row r="7" spans="2:9">
      <c r="B7" s="11">
        <v>5</v>
      </c>
      <c r="C7" s="11" t="s">
        <v>21</v>
      </c>
      <c r="D7" s="11" t="s">
        <v>9</v>
      </c>
      <c r="E7" s="11">
        <v>5000</v>
      </c>
      <c r="F7" s="11" t="s">
        <v>22</v>
      </c>
      <c r="G7" s="11" t="s">
        <v>23</v>
      </c>
      <c r="H7" s="11" t="s">
        <v>13</v>
      </c>
      <c r="I7" s="11">
        <v>50</v>
      </c>
    </row>
    <row r="8" spans="2:9">
      <c r="B8" s="11">
        <v>6</v>
      </c>
      <c r="C8" s="11" t="s">
        <v>24</v>
      </c>
      <c r="D8" s="11" t="s">
        <v>25</v>
      </c>
      <c r="E8" s="11">
        <v>1000</v>
      </c>
      <c r="F8" s="11" t="s">
        <v>11</v>
      </c>
      <c r="G8" s="11" t="s">
        <v>12</v>
      </c>
      <c r="H8" s="11" t="s">
        <v>20</v>
      </c>
      <c r="I8" s="11">
        <v>50</v>
      </c>
    </row>
    <row r="9" spans="2:9">
      <c r="B9" s="11">
        <v>7</v>
      </c>
      <c r="C9" s="11" t="s">
        <v>26</v>
      </c>
      <c r="D9" s="11" t="s">
        <v>25</v>
      </c>
      <c r="E9" s="11">
        <v>1000</v>
      </c>
      <c r="F9" s="11" t="s">
        <v>15</v>
      </c>
      <c r="G9" s="11" t="s">
        <v>16</v>
      </c>
      <c r="H9" s="11" t="s">
        <v>20</v>
      </c>
      <c r="I9" s="11">
        <v>30</v>
      </c>
    </row>
    <row r="10" spans="2:9">
      <c r="B10" s="11">
        <v>8</v>
      </c>
      <c r="C10" s="11" t="s">
        <v>27</v>
      </c>
      <c r="D10" s="11" t="s">
        <v>25</v>
      </c>
      <c r="E10" s="11">
        <v>1500</v>
      </c>
      <c r="F10" s="11" t="s">
        <v>28</v>
      </c>
      <c r="G10" s="11" t="s">
        <v>29</v>
      </c>
      <c r="H10" s="11" t="s">
        <v>13</v>
      </c>
      <c r="I10" s="11">
        <v>10</v>
      </c>
    </row>
    <row r="11" spans="2:9">
      <c r="B11" s="11">
        <v>9</v>
      </c>
      <c r="C11" s="11" t="s">
        <v>30</v>
      </c>
      <c r="D11" s="11" t="s">
        <v>25</v>
      </c>
      <c r="E11" s="11">
        <v>1500</v>
      </c>
      <c r="F11" s="11" t="s">
        <v>31</v>
      </c>
      <c r="G11" s="11" t="s">
        <v>32</v>
      </c>
      <c r="H11" s="11" t="s">
        <v>20</v>
      </c>
      <c r="I11" s="11">
        <v>100</v>
      </c>
    </row>
  </sheetData>
  <phoneticPr fontId="1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mc="http://schemas.openxmlformats.org/markup-compatibility/2006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00000000-0001-0000-0200-000000000000}">
  <dimension ref="B2:N23"/>
  <sheetViews>
    <sheetView workbookViewId="0"/>
  </sheetViews>
  <sheetFormatPr defaultRowHeight="16.5"/>
  <cols>
    <col min="3" max="3" width="18.625" customWidth="1"/>
    <col min="5" max="5" width="14.25" customWidth="1"/>
    <col min="7" max="7" width="13" customWidth="1"/>
    <col min="12" max="12" width="25.75" customWidth="1"/>
  </cols>
  <sheetData>
    <row r="2" spans="2:14"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4</v>
      </c>
      <c r="H2" t="s">
        <v>38</v>
      </c>
      <c r="I2" t="s">
        <v>39</v>
      </c>
      <c r="J2" t="s">
        <v>2</v>
      </c>
      <c r="K2" t="s">
        <v>3</v>
      </c>
      <c r="L2" t="s">
        <v>40</v>
      </c>
      <c r="M2" t="s">
        <v>41</v>
      </c>
      <c r="N2" t="s">
        <v>42</v>
      </c>
    </row>
    <row r="3" spans="2:14">
      <c r="B3">
        <v>1</v>
      </c>
      <c r="C3" t="s">
        <v>43</v>
      </c>
      <c r="D3">
        <v>1</v>
      </c>
      <c r="E3" t="s">
        <v>44</v>
      </c>
      <c r="F3" t="s">
        <v>15</v>
      </c>
      <c r="G3" t="s">
        <v>45</v>
      </c>
      <c r="I3" t="inlineStr">
        <is>
          <t>value</t>
        </is>
      </c>
      <c r="M3" s="2" t="n">
        <v>12</v>
      </c>
      <c r="N3" s="2" t="n">
        <v>18</v>
      </c>
    </row>
    <row r="4" spans="2:14">
      <c r="B4">
        <v>2</v>
      </c>
      <c r="C4" t="s">
        <v>43</v>
      </c>
      <c r="D4">
        <v>1</v>
      </c>
      <c r="E4" t="s">
        <v>47</v>
      </c>
      <c r="F4" t="s">
        <v>15</v>
      </c>
      <c r="G4" t="s">
        <v>48</v>
      </c>
      <c r="I4" t="s">
        <v>49</v>
      </c>
      <c r="M4" s="3">
        <v>10</v>
      </c>
      <c r="N4" s="3">
        <v>15</v>
      </c>
    </row>
    <row r="5" spans="2:14">
      <c r="B5">
        <v>3</v>
      </c>
      <c r="C5" t="s">
        <v>43</v>
      </c>
      <c r="D5">
        <v>1</v>
      </c>
      <c r="E5" t="s">
        <v>50</v>
      </c>
      <c r="F5" t="s">
        <v>18</v>
      </c>
      <c r="G5" t="s">
        <v>51</v>
      </c>
      <c r="I5" t="s">
        <v>49</v>
      </c>
      <c r="M5" s="5">
        <v>8</v>
      </c>
      <c r="N5" s="5">
        <v>14</v>
      </c>
    </row>
    <row r="6" spans="2:14">
      <c r="B6">
        <v>4</v>
      </c>
      <c r="C6" t="s">
        <v>43</v>
      </c>
      <c r="D6">
        <v>1</v>
      </c>
      <c r="E6" t="s">
        <v>52</v>
      </c>
      <c r="F6" t="s">
        <v>53</v>
      </c>
      <c r="G6" t="s">
        <v>54</v>
      </c>
      <c r="I6" t="s">
        <v>49</v>
      </c>
      <c r="M6" s="6">
        <v>15</v>
      </c>
      <c r="N6" s="6">
        <v>23</v>
      </c>
    </row>
    <row r="7" spans="2:14">
      <c r="B7">
        <v>5</v>
      </c>
      <c r="C7" t="s">
        <v>43</v>
      </c>
      <c r="D7">
        <v>1</v>
      </c>
      <c r="E7" t="s">
        <v>55</v>
      </c>
      <c r="F7" t="s">
        <v>22</v>
      </c>
      <c r="G7" t="s">
        <v>56</v>
      </c>
      <c r="I7" t="inlineStr">
        <is>
          <t>value</t>
        </is>
      </c>
      <c r="L7" t="s">
        <v>143</v>
      </c>
      <c r="M7" s="7" t="n">
        <v>12</v>
      </c>
      <c r="N7" s="7" t="n">
        <v>20</v>
      </c>
    </row>
    <row r="8" spans="2:14">
      <c r="B8">
        <v>6</v>
      </c>
      <c r="C8" t="s">
        <v>43</v>
      </c>
      <c r="D8">
        <v>1</v>
      </c>
      <c r="E8" t="s">
        <v>57</v>
      </c>
      <c r="F8" t="s">
        <v>22</v>
      </c>
      <c r="G8" t="s">
        <v>58</v>
      </c>
      <c r="I8" t="s">
        <v>49</v>
      </c>
      <c r="L8" t="s">
        <v>143</v>
      </c>
      <c r="M8" s="8">
        <v>10</v>
      </c>
      <c r="N8" s="8">
        <v>17</v>
      </c>
    </row>
    <row r="9" spans="2:14">
      <c r="B9">
        <v>7</v>
      </c>
      <c r="C9" t="s">
        <v>59</v>
      </c>
      <c r="D9">
        <v>1</v>
      </c>
      <c r="E9" t="s">
        <v>60</v>
      </c>
      <c r="F9" t="s">
        <v>61</v>
      </c>
      <c r="G9" t="s">
        <v>62</v>
      </c>
      <c r="I9" t="s">
        <v>63</v>
      </c>
      <c r="M9">
        <v>1</v>
      </c>
      <c r="N9">
        <v>1</v>
      </c>
    </row>
    <row r="10" spans="2:14">
      <c r="B10">
        <v>8</v>
      </c>
      <c r="C10" t="s">
        <v>59</v>
      </c>
      <c r="D10">
        <v>1</v>
      </c>
      <c r="E10" t="s">
        <v>64</v>
      </c>
      <c r="F10" t="s">
        <v>65</v>
      </c>
      <c r="G10" t="s">
        <v>66</v>
      </c>
      <c r="I10" t="s">
        <v>63</v>
      </c>
      <c r="M10">
        <v>1</v>
      </c>
      <c r="N10">
        <v>1</v>
      </c>
    </row>
    <row r="11" spans="2:14">
      <c r="B11">
        <v>9</v>
      </c>
      <c r="C11" t="s">
        <v>67</v>
      </c>
      <c r="D11">
        <v>1</v>
      </c>
      <c r="E11" t="s">
        <v>68</v>
      </c>
      <c r="F11" t="s">
        <v>69</v>
      </c>
      <c r="G11" t="s">
        <v>70</v>
      </c>
      <c r="I11" t="s">
        <v>63</v>
      </c>
      <c r="M11">
        <v>1</v>
      </c>
      <c r="N11">
        <v>1</v>
      </c>
    </row>
    <row r="12" spans="2:14">
      <c r="B12">
        <v>10</v>
      </c>
      <c r="C12" t="s">
        <v>67</v>
      </c>
      <c r="D12">
        <v>1</v>
      </c>
      <c r="E12" t="s">
        <v>71</v>
      </c>
      <c r="F12" t="s">
        <v>15</v>
      </c>
      <c r="G12" t="s">
        <v>45</v>
      </c>
      <c r="I12" t="inlineStr">
        <is>
          <t>value</t>
        </is>
      </c>
      <c r="M12" s="2" t="n">
        <v>36</v>
      </c>
      <c r="N12" s="2" t="n">
        <v>54</v>
      </c>
    </row>
    <row r="13" spans="2:14">
      <c r="B13">
        <v>11</v>
      </c>
      <c r="C13" t="s">
        <v>67</v>
      </c>
      <c r="D13">
        <v>1</v>
      </c>
      <c r="E13" t="s">
        <v>72</v>
      </c>
      <c r="F13" t="s">
        <v>15</v>
      </c>
      <c r="G13" t="s">
        <v>48</v>
      </c>
      <c r="I13" t="s">
        <v>49</v>
      </c>
      <c r="M13" s="3">
        <f t="shared" ref="M13:M17" si="0">M4*3</f>
        <v>30</v>
      </c>
      <c r="N13" s="3">
        <f t="shared" ref="N13:N17" si="1">M13*1.5</f>
        <v>45</v>
      </c>
    </row>
    <row r="14" spans="2:14">
      <c r="B14">
        <v>12</v>
      </c>
      <c r="C14" t="s">
        <v>67</v>
      </c>
      <c r="D14">
        <v>1</v>
      </c>
      <c r="E14" t="s">
        <v>73</v>
      </c>
      <c r="F14" t="s">
        <v>18</v>
      </c>
      <c r="G14" t="s">
        <v>51</v>
      </c>
      <c r="I14" t="s">
        <v>49</v>
      </c>
      <c r="M14" s="5">
        <f t="shared" si="0"/>
        <v>24</v>
      </c>
      <c r="N14" s="5">
        <f t="shared" si="1"/>
        <v>36</v>
      </c>
    </row>
    <row r="15" spans="2:14">
      <c r="B15">
        <v>13</v>
      </c>
      <c r="C15" t="s">
        <v>67</v>
      </c>
      <c r="D15">
        <v>1</v>
      </c>
      <c r="E15" t="s">
        <v>74</v>
      </c>
      <c r="F15" t="s">
        <v>53</v>
      </c>
      <c r="G15" t="s">
        <v>54</v>
      </c>
      <c r="I15" t="s">
        <v>49</v>
      </c>
      <c r="M15" s="6">
        <f t="shared" si="0"/>
        <v>45</v>
      </c>
      <c r="N15" s="6">
        <f>ROUND(M15*1.5,0)</f>
        <v>68</v>
      </c>
    </row>
    <row r="16" spans="2:14">
      <c r="B16">
        <v>14</v>
      </c>
      <c r="C16" t="s">
        <v>67</v>
      </c>
      <c r="D16">
        <v>1</v>
      </c>
      <c r="E16" t="s">
        <v>75</v>
      </c>
      <c r="F16" t="s">
        <v>22</v>
      </c>
      <c r="G16" t="s">
        <v>56</v>
      </c>
      <c r="I16" t="inlineStr">
        <is>
          <t>value</t>
        </is>
      </c>
      <c r="L16" t="s">
        <v>143</v>
      </c>
      <c r="M16" s="7" t="n">
        <f t="shared" si="0"/>
        <v>36</v>
      </c>
      <c r="N16" s="7" t="n">
        <f t="shared" si="1"/>
        <v>54</v>
      </c>
    </row>
    <row r="17" spans="2:14">
      <c r="B17">
        <v>15</v>
      </c>
      <c r="C17" t="s">
        <v>67</v>
      </c>
      <c r="D17">
        <v>1</v>
      </c>
      <c r="E17" t="s">
        <v>76</v>
      </c>
      <c r="F17" t="s">
        <v>22</v>
      </c>
      <c r="G17" t="s">
        <v>58</v>
      </c>
      <c r="I17" t="s">
        <v>49</v>
      </c>
      <c r="L17" t="s">
        <v>143</v>
      </c>
      <c r="M17" s="8">
        <f t="shared" si="0"/>
        <v>30</v>
      </c>
      <c r="N17" s="8">
        <f t="shared" si="1"/>
        <v>45</v>
      </c>
    </row>
    <row r="23" spans="2:14">
      <c r="G23" s="4"/>
      <c r="J23" s="4"/>
    </row>
  </sheetData>
  <phoneticPr fontId="1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H302"/>
  <sheetViews>
    <sheetView workbookViewId="0"/>
  </sheetViews>
  <sheetFormatPr defaultRowHeight="16.5"/>
  <sheetData>
    <row r="2" spans="2:8">
      <c r="B2" t="s">
        <v>77</v>
      </c>
      <c r="C2" t="s">
        <v>78</v>
      </c>
      <c r="D2" t="s">
        <v>79</v>
      </c>
      <c r="E2" t="s">
        <v>80</v>
      </c>
      <c r="F2" t="s">
        <v>15</v>
      </c>
      <c r="G2" t="s">
        <v>22</v>
      </c>
      <c r="H2" t="s">
        <v>40</v>
      </c>
    </row>
    <row r="3" spans="2:8">
      <c r="B3">
        <v>1</v>
      </c>
      <c r="C3">
        <v>1</v>
      </c>
      <c r="D3">
        <v>1</v>
      </c>
      <c r="E3" t="s">
        <v>43</v>
      </c>
      <c r="F3">
        <v>33</v>
      </c>
      <c r="G3">
        <v>55</v>
      </c>
    </row>
    <row r="4" spans="2:8">
      <c r="B4">
        <v>2</v>
      </c>
      <c r="C4">
        <v>1</v>
      </c>
      <c r="D4">
        <v>1</v>
      </c>
      <c r="E4" t="s">
        <v>81</v>
      </c>
      <c r="F4">
        <v>55</v>
      </c>
      <c r="G4">
        <f>G3*2</f>
        <v>110</v>
      </c>
    </row>
    <row r="5" spans="2:8">
      <c r="B5">
        <v>3</v>
      </c>
      <c r="C5">
        <v>1</v>
      </c>
      <c r="D5">
        <v>1</v>
      </c>
      <c r="E5" t="s">
        <v>82</v>
      </c>
      <c r="F5">
        <v>165</v>
      </c>
      <c r="G5">
        <f>ROUNDUP(G4*1.7,-1)</f>
        <v>190</v>
      </c>
    </row>
    <row r="6" spans="2:8">
      <c r="B6">
        <v>4</v>
      </c>
      <c r="C6">
        <v>1</v>
      </c>
      <c r="D6">
        <v>2</v>
      </c>
      <c r="E6" t="s">
        <v>43</v>
      </c>
      <c r="F6">
        <v>36</v>
      </c>
      <c r="G6">
        <f>G3+5</f>
        <v>60</v>
      </c>
    </row>
    <row r="7" spans="2:8">
      <c r="B7">
        <v>5</v>
      </c>
      <c r="C7">
        <v>1</v>
      </c>
      <c r="D7">
        <v>2</v>
      </c>
      <c r="E7" t="s">
        <v>81</v>
      </c>
      <c r="F7">
        <v>60</v>
      </c>
      <c r="G7">
        <f>G6*2</f>
        <v>120</v>
      </c>
    </row>
    <row r="8" spans="2:8">
      <c r="B8">
        <v>6</v>
      </c>
      <c r="C8">
        <v>1</v>
      </c>
      <c r="D8">
        <v>2</v>
      </c>
      <c r="E8" t="s">
        <v>82</v>
      </c>
      <c r="F8">
        <v>180</v>
      </c>
      <c r="G8">
        <f>ROUNDUP(G7*1.7,-1)</f>
        <v>210</v>
      </c>
    </row>
    <row r="9" spans="2:8">
      <c r="B9">
        <v>7</v>
      </c>
      <c r="C9">
        <v>1</v>
      </c>
      <c r="D9">
        <v>3</v>
      </c>
      <c r="E9" t="s">
        <v>43</v>
      </c>
      <c r="F9">
        <v>39</v>
      </c>
      <c r="G9">
        <f>G6+5</f>
        <v>65</v>
      </c>
    </row>
    <row r="10" spans="2:8">
      <c r="B10">
        <v>8</v>
      </c>
      <c r="C10">
        <v>1</v>
      </c>
      <c r="D10">
        <v>3</v>
      </c>
      <c r="E10" t="s">
        <v>81</v>
      </c>
      <c r="F10">
        <v>65</v>
      </c>
      <c r="G10">
        <f>G9*2</f>
        <v>130</v>
      </c>
    </row>
    <row r="11" spans="2:8">
      <c r="B11">
        <v>9</v>
      </c>
      <c r="C11">
        <v>1</v>
      </c>
      <c r="D11">
        <v>3</v>
      </c>
      <c r="E11" t="s">
        <v>82</v>
      </c>
      <c r="F11">
        <v>195</v>
      </c>
      <c r="G11">
        <f>ROUNDUP(G10*1.7,-1)</f>
        <v>230</v>
      </c>
    </row>
    <row r="12" spans="2:8">
      <c r="B12">
        <v>10</v>
      </c>
      <c r="C12">
        <v>1</v>
      </c>
      <c r="D12">
        <v>4</v>
      </c>
      <c r="E12" t="s">
        <v>43</v>
      </c>
      <c r="F12">
        <v>42</v>
      </c>
      <c r="G12">
        <f>G9+5</f>
        <v>70</v>
      </c>
    </row>
    <row r="13" spans="2:8">
      <c r="B13">
        <v>11</v>
      </c>
      <c r="C13">
        <v>1</v>
      </c>
      <c r="D13">
        <v>4</v>
      </c>
      <c r="E13" t="s">
        <v>81</v>
      </c>
      <c r="F13">
        <v>70</v>
      </c>
      <c r="G13">
        <f>G12*2</f>
        <v>140</v>
      </c>
    </row>
    <row r="14" spans="2:8">
      <c r="B14">
        <v>12</v>
      </c>
      <c r="C14">
        <v>1</v>
      </c>
      <c r="D14">
        <v>4</v>
      </c>
      <c r="E14" t="s">
        <v>82</v>
      </c>
      <c r="F14">
        <v>210</v>
      </c>
      <c r="G14">
        <f>ROUNDUP(G13*1.7,-1)</f>
        <v>240</v>
      </c>
    </row>
    <row r="15" spans="2:8">
      <c r="B15">
        <v>13</v>
      </c>
      <c r="C15">
        <v>1</v>
      </c>
      <c r="D15">
        <v>5</v>
      </c>
      <c r="E15" t="s">
        <v>43</v>
      </c>
      <c r="F15">
        <v>45</v>
      </c>
      <c r="G15">
        <f>G12+5</f>
        <v>75</v>
      </c>
    </row>
    <row r="16" spans="2:8">
      <c r="B16">
        <v>14</v>
      </c>
      <c r="C16">
        <v>1</v>
      </c>
      <c r="D16">
        <v>5</v>
      </c>
      <c r="E16" t="s">
        <v>81</v>
      </c>
      <c r="F16">
        <v>75</v>
      </c>
      <c r="G16">
        <f>G15*2</f>
        <v>150</v>
      </c>
    </row>
    <row r="17" spans="2:7">
      <c r="B17">
        <v>15</v>
      </c>
      <c r="C17">
        <v>1</v>
      </c>
      <c r="D17">
        <v>5</v>
      </c>
      <c r="E17" t="s">
        <v>82</v>
      </c>
      <c r="F17">
        <v>225</v>
      </c>
      <c r="G17">
        <f>ROUNDUP(G16*1.7,-1)</f>
        <v>260</v>
      </c>
    </row>
    <row r="18" spans="2:7">
      <c r="B18">
        <v>16</v>
      </c>
      <c r="C18">
        <v>1</v>
      </c>
      <c r="D18">
        <v>6</v>
      </c>
      <c r="E18" t="s">
        <v>43</v>
      </c>
      <c r="F18">
        <v>48</v>
      </c>
      <c r="G18">
        <f>G15+5</f>
        <v>80</v>
      </c>
    </row>
    <row r="19" spans="2:7">
      <c r="B19">
        <v>17</v>
      </c>
      <c r="C19">
        <v>1</v>
      </c>
      <c r="D19">
        <v>6</v>
      </c>
      <c r="E19" t="s">
        <v>81</v>
      </c>
      <c r="F19">
        <v>80</v>
      </c>
      <c r="G19">
        <f>G18*2</f>
        <v>160</v>
      </c>
    </row>
    <row r="20" spans="2:7">
      <c r="B20">
        <v>18</v>
      </c>
      <c r="C20">
        <v>1</v>
      </c>
      <c r="D20">
        <v>6</v>
      </c>
      <c r="E20" t="s">
        <v>82</v>
      </c>
      <c r="F20">
        <v>240</v>
      </c>
      <c r="G20">
        <f>ROUNDUP(G19*1.7,-1)</f>
        <v>280</v>
      </c>
    </row>
    <row r="21" spans="2:7">
      <c r="B21">
        <v>19</v>
      </c>
      <c r="C21">
        <v>1</v>
      </c>
      <c r="D21">
        <v>7</v>
      </c>
      <c r="E21" t="s">
        <v>43</v>
      </c>
      <c r="F21">
        <v>51</v>
      </c>
      <c r="G21">
        <f>G18+5</f>
        <v>85</v>
      </c>
    </row>
    <row r="22" spans="2:7">
      <c r="B22">
        <v>20</v>
      </c>
      <c r="C22">
        <v>1</v>
      </c>
      <c r="D22">
        <v>7</v>
      </c>
      <c r="E22" t="s">
        <v>81</v>
      </c>
      <c r="F22">
        <v>85</v>
      </c>
      <c r="G22">
        <f>G21*2</f>
        <v>170</v>
      </c>
    </row>
    <row r="23" spans="2:7">
      <c r="B23">
        <v>21</v>
      </c>
      <c r="C23">
        <v>1</v>
      </c>
      <c r="D23">
        <v>7</v>
      </c>
      <c r="E23" t="s">
        <v>82</v>
      </c>
      <c r="F23">
        <v>255</v>
      </c>
      <c r="G23">
        <f>ROUNDUP(G22*1.7,-1)</f>
        <v>290</v>
      </c>
    </row>
    <row r="24" spans="2:7">
      <c r="B24">
        <v>22</v>
      </c>
      <c r="C24">
        <v>1</v>
      </c>
      <c r="D24">
        <v>8</v>
      </c>
      <c r="E24" t="s">
        <v>43</v>
      </c>
      <c r="F24">
        <v>54</v>
      </c>
      <c r="G24">
        <f>G21+5</f>
        <v>90</v>
      </c>
    </row>
    <row r="25" spans="2:7">
      <c r="B25">
        <v>23</v>
      </c>
      <c r="C25">
        <v>1</v>
      </c>
      <c r="D25">
        <v>8</v>
      </c>
      <c r="E25" t="s">
        <v>81</v>
      </c>
      <c r="F25">
        <v>90</v>
      </c>
      <c r="G25">
        <f>G24*2</f>
        <v>180</v>
      </c>
    </row>
    <row r="26" spans="2:7">
      <c r="B26">
        <v>24</v>
      </c>
      <c r="C26">
        <v>1</v>
      </c>
      <c r="D26">
        <v>8</v>
      </c>
      <c r="E26" t="s">
        <v>82</v>
      </c>
      <c r="F26">
        <v>270</v>
      </c>
      <c r="G26">
        <f>ROUNDUP(G25*1.7,-1)</f>
        <v>310</v>
      </c>
    </row>
    <row r="27" spans="2:7">
      <c r="B27">
        <v>25</v>
      </c>
      <c r="C27">
        <v>1</v>
      </c>
      <c r="D27">
        <v>9</v>
      </c>
      <c r="E27" t="s">
        <v>43</v>
      </c>
      <c r="F27">
        <v>57</v>
      </c>
      <c r="G27">
        <f>G24+5</f>
        <v>95</v>
      </c>
    </row>
    <row r="28" spans="2:7">
      <c r="B28">
        <v>26</v>
      </c>
      <c r="C28">
        <v>1</v>
      </c>
      <c r="D28">
        <v>9</v>
      </c>
      <c r="E28" t="s">
        <v>81</v>
      </c>
      <c r="F28">
        <v>95</v>
      </c>
      <c r="G28">
        <f>G27*2</f>
        <v>190</v>
      </c>
    </row>
    <row r="29" spans="2:7">
      <c r="B29">
        <v>27</v>
      </c>
      <c r="C29">
        <v>1</v>
      </c>
      <c r="D29">
        <v>9</v>
      </c>
      <c r="E29" t="s">
        <v>82</v>
      </c>
      <c r="F29">
        <v>285</v>
      </c>
      <c r="G29">
        <f>ROUNDUP(G28*1.7,-1)</f>
        <v>330</v>
      </c>
    </row>
    <row r="30" spans="2:7">
      <c r="B30">
        <v>28</v>
      </c>
      <c r="C30">
        <v>1</v>
      </c>
      <c r="D30">
        <v>10</v>
      </c>
      <c r="E30" t="s">
        <v>43</v>
      </c>
      <c r="F30">
        <v>60</v>
      </c>
      <c r="G30">
        <f>G27+5</f>
        <v>100</v>
      </c>
    </row>
    <row r="31" spans="2:7">
      <c r="B31">
        <v>29</v>
      </c>
      <c r="C31">
        <v>1</v>
      </c>
      <c r="D31">
        <v>10</v>
      </c>
      <c r="E31" t="s">
        <v>81</v>
      </c>
      <c r="F31">
        <v>100</v>
      </c>
      <c r="G31">
        <f>G30*2</f>
        <v>200</v>
      </c>
    </row>
    <row r="32" spans="2:7">
      <c r="B32">
        <v>30</v>
      </c>
      <c r="C32">
        <v>1</v>
      </c>
      <c r="D32">
        <v>10</v>
      </c>
      <c r="E32" t="s">
        <v>82</v>
      </c>
      <c r="F32">
        <v>300</v>
      </c>
      <c r="G32">
        <f>ROUNDUP(G31*1.7,-1)</f>
        <v>340</v>
      </c>
    </row>
    <row r="33" spans="2:7">
      <c r="B33">
        <v>31</v>
      </c>
      <c r="C33">
        <v>2</v>
      </c>
      <c r="D33">
        <v>1</v>
      </c>
      <c r="E33" t="s">
        <v>43</v>
      </c>
      <c r="F33">
        <v>63</v>
      </c>
      <c r="G33">
        <f>G30+5</f>
        <v>105</v>
      </c>
    </row>
    <row r="34" spans="2:7">
      <c r="B34">
        <v>32</v>
      </c>
      <c r="C34">
        <v>2</v>
      </c>
      <c r="D34">
        <v>1</v>
      </c>
      <c r="E34" t="s">
        <v>81</v>
      </c>
      <c r="F34">
        <v>105</v>
      </c>
      <c r="G34">
        <f>G33*2</f>
        <v>210</v>
      </c>
    </row>
    <row r="35" spans="2:7">
      <c r="B35">
        <v>33</v>
      </c>
      <c r="C35">
        <v>2</v>
      </c>
      <c r="D35">
        <v>1</v>
      </c>
      <c r="E35" t="s">
        <v>82</v>
      </c>
      <c r="F35">
        <v>315</v>
      </c>
      <c r="G35">
        <f>ROUNDUP(G34*1.7,-1)</f>
        <v>360</v>
      </c>
    </row>
    <row r="36" spans="2:7">
      <c r="B36">
        <v>34</v>
      </c>
      <c r="C36">
        <v>2</v>
      </c>
      <c r="D36">
        <v>2</v>
      </c>
      <c r="E36" t="s">
        <v>43</v>
      </c>
      <c r="F36">
        <v>66</v>
      </c>
      <c r="G36">
        <f>G33+5</f>
        <v>110</v>
      </c>
    </row>
    <row r="37" spans="2:7">
      <c r="B37">
        <v>35</v>
      </c>
      <c r="C37">
        <v>2</v>
      </c>
      <c r="D37">
        <v>2</v>
      </c>
      <c r="E37" t="s">
        <v>81</v>
      </c>
      <c r="F37">
        <v>110</v>
      </c>
      <c r="G37">
        <f>G36*2</f>
        <v>220</v>
      </c>
    </row>
    <row r="38" spans="2:7">
      <c r="B38">
        <v>36</v>
      </c>
      <c r="C38">
        <v>2</v>
      </c>
      <c r="D38">
        <v>2</v>
      </c>
      <c r="E38" t="s">
        <v>82</v>
      </c>
      <c r="F38">
        <v>330</v>
      </c>
      <c r="G38">
        <f>ROUNDUP(G37*1.7,-1)</f>
        <v>380</v>
      </c>
    </row>
    <row r="39" spans="2:7">
      <c r="B39">
        <v>37</v>
      </c>
      <c r="C39">
        <v>2</v>
      </c>
      <c r="D39">
        <v>3</v>
      </c>
      <c r="E39" t="s">
        <v>43</v>
      </c>
      <c r="F39">
        <v>69</v>
      </c>
      <c r="G39">
        <f>G36+5</f>
        <v>115</v>
      </c>
    </row>
    <row r="40" spans="2:7">
      <c r="B40">
        <v>38</v>
      </c>
      <c r="C40">
        <v>2</v>
      </c>
      <c r="D40">
        <v>3</v>
      </c>
      <c r="E40" t="s">
        <v>81</v>
      </c>
      <c r="F40">
        <v>115</v>
      </c>
      <c r="G40">
        <f>G39*2</f>
        <v>230</v>
      </c>
    </row>
    <row r="41" spans="2:7">
      <c r="B41">
        <v>39</v>
      </c>
      <c r="C41">
        <v>2</v>
      </c>
      <c r="D41">
        <v>3</v>
      </c>
      <c r="E41" t="s">
        <v>82</v>
      </c>
      <c r="F41">
        <v>345</v>
      </c>
      <c r="G41">
        <f>ROUNDUP(G40*1.7,-1)</f>
        <v>400</v>
      </c>
    </row>
    <row r="42" spans="2:7">
      <c r="B42">
        <v>40</v>
      </c>
      <c r="C42">
        <v>2</v>
      </c>
      <c r="D42">
        <v>4</v>
      </c>
      <c r="E42" t="s">
        <v>43</v>
      </c>
      <c r="F42">
        <v>72</v>
      </c>
      <c r="G42">
        <f>G39+5</f>
        <v>120</v>
      </c>
    </row>
    <row r="43" spans="2:7">
      <c r="B43">
        <v>41</v>
      </c>
      <c r="C43">
        <v>2</v>
      </c>
      <c r="D43">
        <v>4</v>
      </c>
      <c r="E43" t="s">
        <v>81</v>
      </c>
      <c r="F43">
        <v>120</v>
      </c>
      <c r="G43">
        <f>G42*2</f>
        <v>240</v>
      </c>
    </row>
    <row r="44" spans="2:7">
      <c r="B44">
        <v>42</v>
      </c>
      <c r="C44">
        <v>2</v>
      </c>
      <c r="D44">
        <v>4</v>
      </c>
      <c r="E44" t="s">
        <v>82</v>
      </c>
      <c r="F44">
        <v>360</v>
      </c>
      <c r="G44">
        <f>ROUNDUP(G43*1.7,-1)</f>
        <v>410</v>
      </c>
    </row>
    <row r="45" spans="2:7">
      <c r="B45">
        <v>43</v>
      </c>
      <c r="C45">
        <v>2</v>
      </c>
      <c r="D45">
        <v>5</v>
      </c>
      <c r="E45" t="s">
        <v>43</v>
      </c>
      <c r="F45">
        <v>75</v>
      </c>
      <c r="G45">
        <f>G42+5</f>
        <v>125</v>
      </c>
    </row>
    <row r="46" spans="2:7">
      <c r="B46">
        <v>44</v>
      </c>
      <c r="C46">
        <v>2</v>
      </c>
      <c r="D46">
        <v>5</v>
      </c>
      <c r="E46" t="s">
        <v>81</v>
      </c>
      <c r="F46">
        <v>125</v>
      </c>
      <c r="G46">
        <f>G45*2</f>
        <v>250</v>
      </c>
    </row>
    <row r="47" spans="2:7">
      <c r="B47">
        <v>45</v>
      </c>
      <c r="C47">
        <v>2</v>
      </c>
      <c r="D47">
        <v>5</v>
      </c>
      <c r="E47" t="s">
        <v>82</v>
      </c>
      <c r="F47">
        <v>375</v>
      </c>
      <c r="G47">
        <f>ROUNDUP(G46*1.7,-1)</f>
        <v>430</v>
      </c>
    </row>
    <row r="48" spans="2:7">
      <c r="B48">
        <v>46</v>
      </c>
      <c r="C48">
        <v>2</v>
      </c>
      <c r="D48">
        <v>6</v>
      </c>
      <c r="E48" t="s">
        <v>43</v>
      </c>
      <c r="F48">
        <v>78</v>
      </c>
      <c r="G48">
        <f>G45+5</f>
        <v>130</v>
      </c>
    </row>
    <row r="49" spans="2:7">
      <c r="B49">
        <v>47</v>
      </c>
      <c r="C49">
        <v>2</v>
      </c>
      <c r="D49">
        <v>6</v>
      </c>
      <c r="E49" t="s">
        <v>81</v>
      </c>
      <c r="F49">
        <v>130</v>
      </c>
      <c r="G49">
        <f>G48*2</f>
        <v>260</v>
      </c>
    </row>
    <row r="50" spans="2:7">
      <c r="B50">
        <v>48</v>
      </c>
      <c r="C50">
        <v>2</v>
      </c>
      <c r="D50">
        <v>6</v>
      </c>
      <c r="E50" t="s">
        <v>82</v>
      </c>
      <c r="F50">
        <v>390</v>
      </c>
      <c r="G50">
        <f>ROUNDUP(G49*1.7,-1)</f>
        <v>450</v>
      </c>
    </row>
    <row r="51" spans="2:7">
      <c r="B51">
        <v>49</v>
      </c>
      <c r="C51">
        <v>2</v>
      </c>
      <c r="D51">
        <v>7</v>
      </c>
      <c r="E51" t="s">
        <v>43</v>
      </c>
      <c r="F51">
        <v>81</v>
      </c>
      <c r="G51">
        <f>G48+5</f>
        <v>135</v>
      </c>
    </row>
    <row r="52" spans="2:7">
      <c r="B52">
        <v>50</v>
      </c>
      <c r="C52">
        <v>2</v>
      </c>
      <c r="D52">
        <v>7</v>
      </c>
      <c r="E52" t="s">
        <v>81</v>
      </c>
      <c r="F52">
        <v>135</v>
      </c>
      <c r="G52">
        <f>G51*2</f>
        <v>270</v>
      </c>
    </row>
    <row r="53" spans="2:7">
      <c r="B53">
        <v>51</v>
      </c>
      <c r="C53">
        <v>2</v>
      </c>
      <c r="D53">
        <v>7</v>
      </c>
      <c r="E53" t="s">
        <v>82</v>
      </c>
      <c r="F53">
        <v>405</v>
      </c>
      <c r="G53">
        <f>ROUNDUP(G52*1.7,-1)</f>
        <v>460</v>
      </c>
    </row>
    <row r="54" spans="2:7">
      <c r="B54">
        <v>52</v>
      </c>
      <c r="C54">
        <v>2</v>
      </c>
      <c r="D54">
        <v>8</v>
      </c>
      <c r="E54" t="s">
        <v>43</v>
      </c>
      <c r="F54">
        <v>84</v>
      </c>
      <c r="G54">
        <f>G51+5</f>
        <v>140</v>
      </c>
    </row>
    <row r="55" spans="2:7">
      <c r="B55">
        <v>53</v>
      </c>
      <c r="C55">
        <v>2</v>
      </c>
      <c r="D55">
        <v>8</v>
      </c>
      <c r="E55" t="s">
        <v>81</v>
      </c>
      <c r="F55">
        <v>140</v>
      </c>
      <c r="G55">
        <f>G54*2</f>
        <v>280</v>
      </c>
    </row>
    <row r="56" spans="2:7">
      <c r="B56">
        <v>54</v>
      </c>
      <c r="C56">
        <v>2</v>
      </c>
      <c r="D56">
        <v>8</v>
      </c>
      <c r="E56" t="s">
        <v>82</v>
      </c>
      <c r="F56">
        <v>420</v>
      </c>
      <c r="G56">
        <f>ROUNDUP(G55*1.7,-1)</f>
        <v>480</v>
      </c>
    </row>
    <row r="57" spans="2:7">
      <c r="B57">
        <v>55</v>
      </c>
      <c r="C57">
        <v>2</v>
      </c>
      <c r="D57">
        <v>9</v>
      </c>
      <c r="E57" t="s">
        <v>43</v>
      </c>
      <c r="F57">
        <v>87</v>
      </c>
      <c r="G57">
        <f>G54+5</f>
        <v>145</v>
      </c>
    </row>
    <row r="58" spans="2:7">
      <c r="B58">
        <v>56</v>
      </c>
      <c r="C58">
        <v>2</v>
      </c>
      <c r="D58">
        <v>9</v>
      </c>
      <c r="E58" t="s">
        <v>81</v>
      </c>
      <c r="F58">
        <v>145</v>
      </c>
      <c r="G58">
        <f>G57*2</f>
        <v>290</v>
      </c>
    </row>
    <row r="59" spans="2:7">
      <c r="B59">
        <v>57</v>
      </c>
      <c r="C59">
        <v>2</v>
      </c>
      <c r="D59">
        <v>9</v>
      </c>
      <c r="E59" t="s">
        <v>82</v>
      </c>
      <c r="F59">
        <v>435</v>
      </c>
      <c r="G59">
        <f>ROUNDUP(G58*1.7,-1)</f>
        <v>500</v>
      </c>
    </row>
    <row r="60" spans="2:7">
      <c r="B60">
        <v>58</v>
      </c>
      <c r="C60">
        <v>2</v>
      </c>
      <c r="D60">
        <v>10</v>
      </c>
      <c r="E60" t="s">
        <v>43</v>
      </c>
      <c r="F60">
        <v>90</v>
      </c>
      <c r="G60">
        <f>G57+5</f>
        <v>150</v>
      </c>
    </row>
    <row r="61" spans="2:7">
      <c r="B61">
        <v>59</v>
      </c>
      <c r="C61">
        <v>2</v>
      </c>
      <c r="D61">
        <v>10</v>
      </c>
      <c r="E61" t="s">
        <v>81</v>
      </c>
      <c r="F61">
        <v>150</v>
      </c>
      <c r="G61">
        <f>G60*2</f>
        <v>300</v>
      </c>
    </row>
    <row r="62" spans="2:7">
      <c r="B62">
        <v>60</v>
      </c>
      <c r="C62">
        <v>2</v>
      </c>
      <c r="D62">
        <v>10</v>
      </c>
      <c r="E62" t="s">
        <v>82</v>
      </c>
      <c r="F62">
        <v>450</v>
      </c>
      <c r="G62">
        <f>ROUNDUP(G61*1.7,-1)</f>
        <v>510</v>
      </c>
    </row>
    <row r="63" spans="2:7">
      <c r="B63">
        <v>61</v>
      </c>
      <c r="C63">
        <v>3</v>
      </c>
      <c r="D63">
        <v>1</v>
      </c>
      <c r="E63" t="s">
        <v>43</v>
      </c>
      <c r="F63">
        <v>93</v>
      </c>
      <c r="G63">
        <f>G60+5</f>
        <v>155</v>
      </c>
    </row>
    <row r="64" spans="2:7">
      <c r="B64">
        <v>62</v>
      </c>
      <c r="C64">
        <v>3</v>
      </c>
      <c r="D64">
        <v>1</v>
      </c>
      <c r="E64" t="s">
        <v>81</v>
      </c>
      <c r="F64">
        <v>155</v>
      </c>
      <c r="G64">
        <f>G63*2</f>
        <v>310</v>
      </c>
    </row>
    <row r="65" spans="2:7">
      <c r="B65">
        <v>63</v>
      </c>
      <c r="C65">
        <v>3</v>
      </c>
      <c r="D65">
        <v>1</v>
      </c>
      <c r="E65" t="s">
        <v>82</v>
      </c>
      <c r="F65">
        <v>465</v>
      </c>
      <c r="G65">
        <f>ROUNDUP(G64*1.7,-1)</f>
        <v>530</v>
      </c>
    </row>
    <row r="66" spans="2:7">
      <c r="B66">
        <v>64</v>
      </c>
      <c r="C66">
        <v>3</v>
      </c>
      <c r="D66">
        <v>2</v>
      </c>
      <c r="E66" t="s">
        <v>43</v>
      </c>
      <c r="F66">
        <v>96</v>
      </c>
      <c r="G66">
        <f>G63+5</f>
        <v>160</v>
      </c>
    </row>
    <row r="67" spans="2:7">
      <c r="B67">
        <v>65</v>
      </c>
      <c r="C67">
        <v>3</v>
      </c>
      <c r="D67">
        <v>2</v>
      </c>
      <c r="E67" t="s">
        <v>81</v>
      </c>
      <c r="F67">
        <v>160</v>
      </c>
      <c r="G67">
        <f>G66*2</f>
        <v>320</v>
      </c>
    </row>
    <row r="68" spans="2:7">
      <c r="B68">
        <v>66</v>
      </c>
      <c r="C68">
        <v>3</v>
      </c>
      <c r="D68">
        <v>2</v>
      </c>
      <c r="E68" t="s">
        <v>82</v>
      </c>
      <c r="F68">
        <v>480</v>
      </c>
      <c r="G68">
        <f>ROUNDUP(G67*1.7,-1)</f>
        <v>550</v>
      </c>
    </row>
    <row r="69" spans="2:7">
      <c r="B69">
        <v>67</v>
      </c>
      <c r="C69">
        <v>3</v>
      </c>
      <c r="D69">
        <v>3</v>
      </c>
      <c r="E69" t="s">
        <v>43</v>
      </c>
      <c r="F69">
        <v>99</v>
      </c>
      <c r="G69">
        <f>G66+5</f>
        <v>165</v>
      </c>
    </row>
    <row r="70" spans="2:7">
      <c r="B70">
        <v>68</v>
      </c>
      <c r="C70">
        <v>3</v>
      </c>
      <c r="D70">
        <v>3</v>
      </c>
      <c r="E70" t="s">
        <v>81</v>
      </c>
      <c r="F70">
        <v>165</v>
      </c>
      <c r="G70">
        <f>G69*2</f>
        <v>330</v>
      </c>
    </row>
    <row r="71" spans="2:7">
      <c r="B71">
        <v>69</v>
      </c>
      <c r="C71">
        <v>3</v>
      </c>
      <c r="D71">
        <v>3</v>
      </c>
      <c r="E71" t="s">
        <v>82</v>
      </c>
      <c r="F71">
        <v>495</v>
      </c>
      <c r="G71">
        <f>ROUNDUP(G70*1.7,-1)</f>
        <v>570</v>
      </c>
    </row>
    <row r="72" spans="2:7">
      <c r="B72">
        <v>70</v>
      </c>
      <c r="C72">
        <v>3</v>
      </c>
      <c r="D72">
        <v>4</v>
      </c>
      <c r="E72" t="s">
        <v>43</v>
      </c>
      <c r="F72">
        <v>102</v>
      </c>
      <c r="G72">
        <f>G69+5</f>
        <v>170</v>
      </c>
    </row>
    <row r="73" spans="2:7">
      <c r="B73">
        <v>71</v>
      </c>
      <c r="C73">
        <v>3</v>
      </c>
      <c r="D73">
        <v>4</v>
      </c>
      <c r="E73" t="s">
        <v>81</v>
      </c>
      <c r="F73">
        <v>170</v>
      </c>
      <c r="G73">
        <f>G72*2</f>
        <v>340</v>
      </c>
    </row>
    <row r="74" spans="2:7">
      <c r="B74">
        <v>72</v>
      </c>
      <c r="C74">
        <v>3</v>
      </c>
      <c r="D74">
        <v>4</v>
      </c>
      <c r="E74" t="s">
        <v>82</v>
      </c>
      <c r="F74">
        <v>510</v>
      </c>
      <c r="G74">
        <f>ROUNDUP(G73*1.7,-1)</f>
        <v>580</v>
      </c>
    </row>
    <row r="75" spans="2:7">
      <c r="B75">
        <v>73</v>
      </c>
      <c r="C75">
        <v>3</v>
      </c>
      <c r="D75">
        <v>5</v>
      </c>
      <c r="E75" t="s">
        <v>43</v>
      </c>
      <c r="F75">
        <v>105</v>
      </c>
      <c r="G75">
        <f>G72+5</f>
        <v>175</v>
      </c>
    </row>
    <row r="76" spans="2:7">
      <c r="B76">
        <v>74</v>
      </c>
      <c r="C76">
        <v>3</v>
      </c>
      <c r="D76">
        <v>5</v>
      </c>
      <c r="E76" t="s">
        <v>81</v>
      </c>
      <c r="F76">
        <v>175</v>
      </c>
      <c r="G76">
        <f>G75*2</f>
        <v>350</v>
      </c>
    </row>
    <row r="77" spans="2:7">
      <c r="B77">
        <v>75</v>
      </c>
      <c r="C77">
        <v>3</v>
      </c>
      <c r="D77">
        <v>5</v>
      </c>
      <c r="E77" t="s">
        <v>82</v>
      </c>
      <c r="F77">
        <v>525</v>
      </c>
      <c r="G77">
        <f>ROUNDUP(G76*1.7,-1)</f>
        <v>600</v>
      </c>
    </row>
    <row r="78" spans="2:7">
      <c r="B78">
        <v>76</v>
      </c>
      <c r="C78">
        <v>3</v>
      </c>
      <c r="D78">
        <v>6</v>
      </c>
      <c r="E78" t="s">
        <v>43</v>
      </c>
      <c r="F78">
        <v>108</v>
      </c>
      <c r="G78">
        <f>G75+5</f>
        <v>180</v>
      </c>
    </row>
    <row r="79" spans="2:7">
      <c r="B79">
        <v>77</v>
      </c>
      <c r="C79">
        <v>3</v>
      </c>
      <c r="D79">
        <v>6</v>
      </c>
      <c r="E79" t="s">
        <v>81</v>
      </c>
      <c r="F79">
        <v>180</v>
      </c>
      <c r="G79">
        <f>G78*2</f>
        <v>360</v>
      </c>
    </row>
    <row r="80" spans="2:7">
      <c r="B80">
        <v>78</v>
      </c>
      <c r="C80">
        <v>3</v>
      </c>
      <c r="D80">
        <v>6</v>
      </c>
      <c r="E80" t="s">
        <v>82</v>
      </c>
      <c r="F80">
        <v>540</v>
      </c>
      <c r="G80">
        <f>ROUNDUP(G79*1.7,-1)</f>
        <v>620</v>
      </c>
    </row>
    <row r="81" spans="2:7">
      <c r="B81">
        <v>79</v>
      </c>
      <c r="C81">
        <v>3</v>
      </c>
      <c r="D81">
        <v>7</v>
      </c>
      <c r="E81" t="s">
        <v>43</v>
      </c>
      <c r="F81">
        <v>111</v>
      </c>
      <c r="G81">
        <f>G78+5</f>
        <v>185</v>
      </c>
    </row>
    <row r="82" spans="2:7">
      <c r="B82">
        <v>80</v>
      </c>
      <c r="C82">
        <v>3</v>
      </c>
      <c r="D82">
        <v>7</v>
      </c>
      <c r="E82" t="s">
        <v>81</v>
      </c>
      <c r="F82">
        <v>185</v>
      </c>
      <c r="G82">
        <f>G81*2</f>
        <v>370</v>
      </c>
    </row>
    <row r="83" spans="2:7">
      <c r="B83">
        <v>81</v>
      </c>
      <c r="C83">
        <v>3</v>
      </c>
      <c r="D83">
        <v>7</v>
      </c>
      <c r="E83" t="s">
        <v>82</v>
      </c>
      <c r="F83">
        <v>555</v>
      </c>
      <c r="G83">
        <f>ROUNDUP(G82*1.7,-1)</f>
        <v>630</v>
      </c>
    </row>
    <row r="84" spans="2:7">
      <c r="B84">
        <v>82</v>
      </c>
      <c r="C84">
        <v>3</v>
      </c>
      <c r="D84">
        <v>8</v>
      </c>
      <c r="E84" t="s">
        <v>43</v>
      </c>
      <c r="F84">
        <v>114</v>
      </c>
      <c r="G84">
        <f>G81+5</f>
        <v>190</v>
      </c>
    </row>
    <row r="85" spans="2:7">
      <c r="B85">
        <v>83</v>
      </c>
      <c r="C85">
        <v>3</v>
      </c>
      <c r="D85">
        <v>8</v>
      </c>
      <c r="E85" t="s">
        <v>81</v>
      </c>
      <c r="F85">
        <v>190</v>
      </c>
      <c r="G85">
        <f>G84*2</f>
        <v>380</v>
      </c>
    </row>
    <row r="86" spans="2:7">
      <c r="B86">
        <v>84</v>
      </c>
      <c r="C86">
        <v>3</v>
      </c>
      <c r="D86">
        <v>8</v>
      </c>
      <c r="E86" t="s">
        <v>82</v>
      </c>
      <c r="F86">
        <v>570</v>
      </c>
      <c r="G86">
        <f>ROUNDUP(G85*1.7,-1)</f>
        <v>650</v>
      </c>
    </row>
    <row r="87" spans="2:7">
      <c r="B87">
        <v>85</v>
      </c>
      <c r="C87">
        <v>3</v>
      </c>
      <c r="D87">
        <v>9</v>
      </c>
      <c r="E87" t="s">
        <v>43</v>
      </c>
      <c r="F87">
        <v>117</v>
      </c>
      <c r="G87">
        <f>G84+5</f>
        <v>195</v>
      </c>
    </row>
    <row r="88" spans="2:7">
      <c r="B88">
        <v>86</v>
      </c>
      <c r="C88">
        <v>3</v>
      </c>
      <c r="D88">
        <v>9</v>
      </c>
      <c r="E88" t="s">
        <v>81</v>
      </c>
      <c r="F88">
        <v>195</v>
      </c>
      <c r="G88">
        <f>G87*2</f>
        <v>390</v>
      </c>
    </row>
    <row r="89" spans="2:7">
      <c r="B89">
        <v>87</v>
      </c>
      <c r="C89">
        <v>3</v>
      </c>
      <c r="D89">
        <v>9</v>
      </c>
      <c r="E89" t="s">
        <v>82</v>
      </c>
      <c r="F89">
        <v>585</v>
      </c>
      <c r="G89">
        <f>ROUNDUP(G88*1.7,-1)</f>
        <v>670</v>
      </c>
    </row>
    <row r="90" spans="2:7">
      <c r="B90">
        <v>88</v>
      </c>
      <c r="C90">
        <v>3</v>
      </c>
      <c r="D90">
        <v>10</v>
      </c>
      <c r="E90" t="s">
        <v>43</v>
      </c>
      <c r="F90">
        <v>120</v>
      </c>
      <c r="G90">
        <f>G87+5</f>
        <v>200</v>
      </c>
    </row>
    <row r="91" spans="2:7">
      <c r="B91">
        <v>89</v>
      </c>
      <c r="C91">
        <v>3</v>
      </c>
      <c r="D91">
        <v>10</v>
      </c>
      <c r="E91" t="s">
        <v>81</v>
      </c>
      <c r="F91">
        <v>200</v>
      </c>
      <c r="G91">
        <f>G90*2</f>
        <v>400</v>
      </c>
    </row>
    <row r="92" spans="2:7">
      <c r="B92">
        <v>90</v>
      </c>
      <c r="C92">
        <v>3</v>
      </c>
      <c r="D92">
        <v>10</v>
      </c>
      <c r="E92" t="s">
        <v>82</v>
      </c>
      <c r="F92">
        <v>600</v>
      </c>
      <c r="G92">
        <f>ROUNDUP(G91*1.7,-1)</f>
        <v>680</v>
      </c>
    </row>
    <row r="93" spans="2:7">
      <c r="B93">
        <v>91</v>
      </c>
      <c r="C93">
        <v>4</v>
      </c>
      <c r="D93">
        <v>1</v>
      </c>
      <c r="E93" t="s">
        <v>43</v>
      </c>
      <c r="F93">
        <v>123</v>
      </c>
      <c r="G93">
        <f>G90+5</f>
        <v>205</v>
      </c>
    </row>
    <row r="94" spans="2:7">
      <c r="B94">
        <v>92</v>
      </c>
      <c r="C94">
        <v>4</v>
      </c>
      <c r="D94">
        <v>1</v>
      </c>
      <c r="E94" t="s">
        <v>81</v>
      </c>
      <c r="F94">
        <v>205</v>
      </c>
      <c r="G94">
        <f>G93*2</f>
        <v>410</v>
      </c>
    </row>
    <row r="95" spans="2:7">
      <c r="B95">
        <v>93</v>
      </c>
      <c r="C95">
        <v>4</v>
      </c>
      <c r="D95">
        <v>1</v>
      </c>
      <c r="E95" t="s">
        <v>82</v>
      </c>
      <c r="F95">
        <v>615</v>
      </c>
      <c r="G95">
        <f>ROUNDUP(G94*1.7,-1)</f>
        <v>700</v>
      </c>
    </row>
    <row r="96" spans="2:7">
      <c r="B96">
        <v>94</v>
      </c>
      <c r="C96">
        <v>4</v>
      </c>
      <c r="D96">
        <v>2</v>
      </c>
      <c r="E96" t="s">
        <v>43</v>
      </c>
      <c r="F96">
        <v>126</v>
      </c>
      <c r="G96">
        <f>G93+5</f>
        <v>210</v>
      </c>
    </row>
    <row r="97" spans="2:7">
      <c r="B97">
        <v>95</v>
      </c>
      <c r="C97">
        <v>4</v>
      </c>
      <c r="D97">
        <v>2</v>
      </c>
      <c r="E97" t="s">
        <v>81</v>
      </c>
      <c r="F97">
        <v>210</v>
      </c>
      <c r="G97">
        <f>G96*2</f>
        <v>420</v>
      </c>
    </row>
    <row r="98" spans="2:7">
      <c r="B98">
        <v>96</v>
      </c>
      <c r="C98">
        <v>4</v>
      </c>
      <c r="D98">
        <v>2</v>
      </c>
      <c r="E98" t="s">
        <v>82</v>
      </c>
      <c r="F98">
        <v>630</v>
      </c>
      <c r="G98">
        <f>ROUNDUP(G97*1.7,-1)</f>
        <v>720</v>
      </c>
    </row>
    <row r="99" spans="2:7">
      <c r="B99">
        <v>97</v>
      </c>
      <c r="C99">
        <v>4</v>
      </c>
      <c r="D99">
        <v>3</v>
      </c>
      <c r="E99" t="s">
        <v>43</v>
      </c>
      <c r="F99">
        <v>129</v>
      </c>
      <c r="G99">
        <f>G96+5</f>
        <v>215</v>
      </c>
    </row>
    <row r="100" spans="2:7">
      <c r="B100">
        <v>98</v>
      </c>
      <c r="C100">
        <v>4</v>
      </c>
      <c r="D100">
        <v>3</v>
      </c>
      <c r="E100" t="s">
        <v>81</v>
      </c>
      <c r="F100">
        <v>215</v>
      </c>
      <c r="G100">
        <f>G99*2</f>
        <v>430</v>
      </c>
    </row>
    <row r="101" spans="2:7">
      <c r="B101">
        <v>99</v>
      </c>
      <c r="C101">
        <v>4</v>
      </c>
      <c r="D101">
        <v>3</v>
      </c>
      <c r="E101" t="s">
        <v>82</v>
      </c>
      <c r="F101">
        <v>645</v>
      </c>
      <c r="G101">
        <f>ROUNDUP(G100*1.7,-1)</f>
        <v>740</v>
      </c>
    </row>
    <row r="102" spans="2:7">
      <c r="B102">
        <v>100</v>
      </c>
      <c r="C102">
        <v>4</v>
      </c>
      <c r="D102">
        <v>4</v>
      </c>
      <c r="E102" t="s">
        <v>43</v>
      </c>
      <c r="F102">
        <v>132</v>
      </c>
      <c r="G102">
        <f>G99+5</f>
        <v>220</v>
      </c>
    </row>
    <row r="103" spans="2:7">
      <c r="B103">
        <v>101</v>
      </c>
      <c r="C103">
        <v>4</v>
      </c>
      <c r="D103">
        <v>4</v>
      </c>
      <c r="E103" t="s">
        <v>81</v>
      </c>
      <c r="F103">
        <v>220</v>
      </c>
      <c r="G103">
        <f>G102*2</f>
        <v>440</v>
      </c>
    </row>
    <row r="104" spans="2:7">
      <c r="B104">
        <v>102</v>
      </c>
      <c r="C104">
        <v>4</v>
      </c>
      <c r="D104">
        <v>4</v>
      </c>
      <c r="E104" t="s">
        <v>82</v>
      </c>
      <c r="F104">
        <v>660</v>
      </c>
      <c r="G104">
        <f>ROUNDUP(G103*1.7,-1)</f>
        <v>750</v>
      </c>
    </row>
    <row r="105" spans="2:7">
      <c r="B105">
        <v>103</v>
      </c>
      <c r="C105">
        <v>4</v>
      </c>
      <c r="D105">
        <v>5</v>
      </c>
      <c r="E105" t="s">
        <v>43</v>
      </c>
      <c r="F105">
        <v>135</v>
      </c>
      <c r="G105">
        <f>G102+5</f>
        <v>225</v>
      </c>
    </row>
    <row r="106" spans="2:7">
      <c r="B106">
        <v>104</v>
      </c>
      <c r="C106">
        <v>4</v>
      </c>
      <c r="D106">
        <v>5</v>
      </c>
      <c r="E106" t="s">
        <v>81</v>
      </c>
      <c r="F106">
        <v>225</v>
      </c>
      <c r="G106">
        <f>G105*2</f>
        <v>450</v>
      </c>
    </row>
    <row r="107" spans="2:7">
      <c r="B107">
        <v>105</v>
      </c>
      <c r="C107">
        <v>4</v>
      </c>
      <c r="D107">
        <v>5</v>
      </c>
      <c r="E107" t="s">
        <v>82</v>
      </c>
      <c r="F107">
        <v>675</v>
      </c>
      <c r="G107">
        <f>ROUNDUP(G106*1.7,-1)</f>
        <v>770</v>
      </c>
    </row>
    <row r="108" spans="2:7">
      <c r="B108">
        <v>106</v>
      </c>
      <c r="C108">
        <v>4</v>
      </c>
      <c r="D108">
        <v>6</v>
      </c>
      <c r="E108" t="s">
        <v>43</v>
      </c>
      <c r="F108">
        <v>138</v>
      </c>
      <c r="G108">
        <f>G105+5</f>
        <v>230</v>
      </c>
    </row>
    <row r="109" spans="2:7">
      <c r="B109">
        <v>107</v>
      </c>
      <c r="C109">
        <v>4</v>
      </c>
      <c r="D109">
        <v>6</v>
      </c>
      <c r="E109" t="s">
        <v>81</v>
      </c>
      <c r="F109">
        <v>230</v>
      </c>
      <c r="G109">
        <f>G108*2</f>
        <v>460</v>
      </c>
    </row>
    <row r="110" spans="2:7">
      <c r="B110">
        <v>108</v>
      </c>
      <c r="C110">
        <v>4</v>
      </c>
      <c r="D110">
        <v>6</v>
      </c>
      <c r="E110" t="s">
        <v>82</v>
      </c>
      <c r="F110">
        <v>690</v>
      </c>
      <c r="G110">
        <f>ROUNDUP(G109*1.7,-1)</f>
        <v>790</v>
      </c>
    </row>
    <row r="111" spans="2:7">
      <c r="B111">
        <v>109</v>
      </c>
      <c r="C111">
        <v>4</v>
      </c>
      <c r="D111">
        <v>7</v>
      </c>
      <c r="E111" t="s">
        <v>43</v>
      </c>
      <c r="F111">
        <v>141</v>
      </c>
      <c r="G111">
        <f>G108+5</f>
        <v>235</v>
      </c>
    </row>
    <row r="112" spans="2:7">
      <c r="B112">
        <v>110</v>
      </c>
      <c r="C112">
        <v>4</v>
      </c>
      <c r="D112">
        <v>7</v>
      </c>
      <c r="E112" t="s">
        <v>81</v>
      </c>
      <c r="F112">
        <v>235</v>
      </c>
      <c r="G112">
        <f>G111*2</f>
        <v>470</v>
      </c>
    </row>
    <row r="113" spans="2:7">
      <c r="B113">
        <v>111</v>
      </c>
      <c r="C113">
        <v>4</v>
      </c>
      <c r="D113">
        <v>7</v>
      </c>
      <c r="E113" t="s">
        <v>82</v>
      </c>
      <c r="F113">
        <v>705</v>
      </c>
      <c r="G113">
        <f>ROUNDUP(G112*1.7,-1)</f>
        <v>800</v>
      </c>
    </row>
    <row r="114" spans="2:7">
      <c r="B114">
        <v>112</v>
      </c>
      <c r="C114">
        <v>4</v>
      </c>
      <c r="D114">
        <v>8</v>
      </c>
      <c r="E114" t="s">
        <v>43</v>
      </c>
      <c r="F114">
        <v>144</v>
      </c>
      <c r="G114">
        <f>G111+5</f>
        <v>240</v>
      </c>
    </row>
    <row r="115" spans="2:7">
      <c r="B115">
        <v>113</v>
      </c>
      <c r="C115">
        <v>4</v>
      </c>
      <c r="D115">
        <v>8</v>
      </c>
      <c r="E115" t="s">
        <v>81</v>
      </c>
      <c r="F115">
        <v>240</v>
      </c>
      <c r="G115">
        <f>G114*2</f>
        <v>480</v>
      </c>
    </row>
    <row r="116" spans="2:7">
      <c r="B116">
        <v>114</v>
      </c>
      <c r="C116">
        <v>4</v>
      </c>
      <c r="D116">
        <v>8</v>
      </c>
      <c r="E116" t="s">
        <v>82</v>
      </c>
      <c r="F116">
        <v>720</v>
      </c>
      <c r="G116">
        <f>ROUNDUP(G115*1.7,-1)</f>
        <v>820</v>
      </c>
    </row>
    <row r="117" spans="2:7">
      <c r="B117">
        <v>115</v>
      </c>
      <c r="C117">
        <v>4</v>
      </c>
      <c r="D117">
        <v>9</v>
      </c>
      <c r="E117" t="s">
        <v>43</v>
      </c>
      <c r="F117">
        <v>147</v>
      </c>
      <c r="G117">
        <f>G114+5</f>
        <v>245</v>
      </c>
    </row>
    <row r="118" spans="2:7">
      <c r="B118">
        <v>116</v>
      </c>
      <c r="C118">
        <v>4</v>
      </c>
      <c r="D118">
        <v>9</v>
      </c>
      <c r="E118" t="s">
        <v>81</v>
      </c>
      <c r="F118">
        <v>245</v>
      </c>
      <c r="G118">
        <f>G117*2</f>
        <v>490</v>
      </c>
    </row>
    <row r="119" spans="2:7">
      <c r="B119">
        <v>117</v>
      </c>
      <c r="C119">
        <v>4</v>
      </c>
      <c r="D119">
        <v>9</v>
      </c>
      <c r="E119" t="s">
        <v>82</v>
      </c>
      <c r="F119">
        <v>735</v>
      </c>
      <c r="G119">
        <f>ROUNDUP(G118*1.7,-1)</f>
        <v>840</v>
      </c>
    </row>
    <row r="120" spans="2:7">
      <c r="B120">
        <v>118</v>
      </c>
      <c r="C120">
        <v>4</v>
      </c>
      <c r="D120">
        <v>10</v>
      </c>
      <c r="E120" t="s">
        <v>43</v>
      </c>
      <c r="F120">
        <v>150</v>
      </c>
      <c r="G120">
        <f>G117+5</f>
        <v>250</v>
      </c>
    </row>
    <row r="121" spans="2:7">
      <c r="B121">
        <v>119</v>
      </c>
      <c r="C121">
        <v>4</v>
      </c>
      <c r="D121">
        <v>10</v>
      </c>
      <c r="E121" t="s">
        <v>81</v>
      </c>
      <c r="F121">
        <v>250</v>
      </c>
      <c r="G121">
        <f>G120*2</f>
        <v>500</v>
      </c>
    </row>
    <row r="122" spans="2:7">
      <c r="B122">
        <v>120</v>
      </c>
      <c r="C122">
        <v>4</v>
      </c>
      <c r="D122">
        <v>10</v>
      </c>
      <c r="E122" t="s">
        <v>82</v>
      </c>
      <c r="F122">
        <v>750</v>
      </c>
      <c r="G122">
        <f>ROUNDUP(G121*1.7,-1)</f>
        <v>850</v>
      </c>
    </row>
    <row r="123" spans="2:7">
      <c r="B123">
        <v>121</v>
      </c>
      <c r="C123">
        <v>5</v>
      </c>
      <c r="D123">
        <v>1</v>
      </c>
      <c r="E123" t="s">
        <v>43</v>
      </c>
      <c r="F123">
        <v>153</v>
      </c>
      <c r="G123">
        <f>G120+5</f>
        <v>255</v>
      </c>
    </row>
    <row r="124" spans="2:7">
      <c r="B124">
        <v>122</v>
      </c>
      <c r="C124">
        <v>5</v>
      </c>
      <c r="D124">
        <v>1</v>
      </c>
      <c r="E124" t="s">
        <v>81</v>
      </c>
      <c r="F124">
        <v>255</v>
      </c>
      <c r="G124">
        <f>G123*2</f>
        <v>510</v>
      </c>
    </row>
    <row r="125" spans="2:7">
      <c r="B125">
        <v>123</v>
      </c>
      <c r="C125">
        <v>5</v>
      </c>
      <c r="D125">
        <v>1</v>
      </c>
      <c r="E125" t="s">
        <v>82</v>
      </c>
      <c r="F125">
        <v>765</v>
      </c>
      <c r="G125">
        <f>ROUNDUP(G124*1.7,-1)</f>
        <v>870</v>
      </c>
    </row>
    <row r="126" spans="2:7">
      <c r="B126">
        <v>124</v>
      </c>
      <c r="C126">
        <v>5</v>
      </c>
      <c r="D126">
        <v>2</v>
      </c>
      <c r="E126" t="s">
        <v>43</v>
      </c>
      <c r="F126">
        <v>156</v>
      </c>
      <c r="G126">
        <f>G123+5</f>
        <v>260</v>
      </c>
    </row>
    <row r="127" spans="2:7">
      <c r="B127">
        <v>125</v>
      </c>
      <c r="C127">
        <v>5</v>
      </c>
      <c r="D127">
        <v>2</v>
      </c>
      <c r="E127" t="s">
        <v>81</v>
      </c>
      <c r="F127">
        <v>260</v>
      </c>
      <c r="G127">
        <f>G126*2</f>
        <v>520</v>
      </c>
    </row>
    <row r="128" spans="2:7">
      <c r="B128">
        <v>126</v>
      </c>
      <c r="C128">
        <v>5</v>
      </c>
      <c r="D128">
        <v>2</v>
      </c>
      <c r="E128" t="s">
        <v>82</v>
      </c>
      <c r="F128">
        <v>780</v>
      </c>
      <c r="G128">
        <f>ROUNDUP(G127*1.7,-1)</f>
        <v>890</v>
      </c>
    </row>
    <row r="129" spans="2:7">
      <c r="B129">
        <v>127</v>
      </c>
      <c r="C129">
        <v>5</v>
      </c>
      <c r="D129">
        <v>3</v>
      </c>
      <c r="E129" t="s">
        <v>43</v>
      </c>
      <c r="F129">
        <v>159</v>
      </c>
      <c r="G129">
        <f>G126+5</f>
        <v>265</v>
      </c>
    </row>
    <row r="130" spans="2:7">
      <c r="B130">
        <v>128</v>
      </c>
      <c r="C130">
        <v>5</v>
      </c>
      <c r="D130">
        <v>3</v>
      </c>
      <c r="E130" t="s">
        <v>81</v>
      </c>
      <c r="F130">
        <v>265</v>
      </c>
      <c r="G130">
        <f>G129*2</f>
        <v>530</v>
      </c>
    </row>
    <row r="131" spans="2:7">
      <c r="B131">
        <v>129</v>
      </c>
      <c r="C131">
        <v>5</v>
      </c>
      <c r="D131">
        <v>3</v>
      </c>
      <c r="E131" t="s">
        <v>82</v>
      </c>
      <c r="F131">
        <v>795</v>
      </c>
      <c r="G131">
        <f>ROUNDUP(G130*1.7,-1)</f>
        <v>910</v>
      </c>
    </row>
    <row r="132" spans="2:7">
      <c r="B132">
        <v>130</v>
      </c>
      <c r="C132">
        <v>5</v>
      </c>
      <c r="D132">
        <v>4</v>
      </c>
      <c r="E132" t="s">
        <v>43</v>
      </c>
      <c r="F132">
        <v>162</v>
      </c>
      <c r="G132">
        <f>G129+5</f>
        <v>270</v>
      </c>
    </row>
    <row r="133" spans="2:7">
      <c r="B133">
        <v>131</v>
      </c>
      <c r="C133">
        <v>5</v>
      </c>
      <c r="D133">
        <v>4</v>
      </c>
      <c r="E133" t="s">
        <v>81</v>
      </c>
      <c r="F133">
        <v>270</v>
      </c>
      <c r="G133">
        <f>G132*2</f>
        <v>540</v>
      </c>
    </row>
    <row r="134" spans="2:7">
      <c r="B134">
        <v>132</v>
      </c>
      <c r="C134">
        <v>5</v>
      </c>
      <c r="D134">
        <v>4</v>
      </c>
      <c r="E134" t="s">
        <v>82</v>
      </c>
      <c r="F134">
        <v>810</v>
      </c>
      <c r="G134">
        <f>ROUNDUP(G133*1.7,-1)</f>
        <v>920</v>
      </c>
    </row>
    <row r="135" spans="2:7">
      <c r="B135">
        <v>133</v>
      </c>
      <c r="C135">
        <v>5</v>
      </c>
      <c r="D135">
        <v>5</v>
      </c>
      <c r="E135" t="s">
        <v>43</v>
      </c>
      <c r="F135">
        <v>165</v>
      </c>
      <c r="G135">
        <f>G132+5</f>
        <v>275</v>
      </c>
    </row>
    <row r="136" spans="2:7">
      <c r="B136">
        <v>134</v>
      </c>
      <c r="C136">
        <v>5</v>
      </c>
      <c r="D136">
        <v>5</v>
      </c>
      <c r="E136" t="s">
        <v>81</v>
      </c>
      <c r="F136">
        <v>275</v>
      </c>
      <c r="G136">
        <f>G135*2</f>
        <v>550</v>
      </c>
    </row>
    <row r="137" spans="2:7">
      <c r="B137">
        <v>135</v>
      </c>
      <c r="C137">
        <v>5</v>
      </c>
      <c r="D137">
        <v>5</v>
      </c>
      <c r="E137" t="s">
        <v>82</v>
      </c>
      <c r="F137">
        <v>825</v>
      </c>
      <c r="G137">
        <f>ROUNDUP(G136*1.7,-1)</f>
        <v>940</v>
      </c>
    </row>
    <row r="138" spans="2:7">
      <c r="B138">
        <v>136</v>
      </c>
      <c r="C138">
        <v>5</v>
      </c>
      <c r="D138">
        <v>6</v>
      </c>
      <c r="E138" t="s">
        <v>43</v>
      </c>
      <c r="F138">
        <v>168</v>
      </c>
      <c r="G138">
        <f>G135+5</f>
        <v>280</v>
      </c>
    </row>
    <row r="139" spans="2:7">
      <c r="B139">
        <v>137</v>
      </c>
      <c r="C139">
        <v>5</v>
      </c>
      <c r="D139">
        <v>6</v>
      </c>
      <c r="E139" t="s">
        <v>81</v>
      </c>
      <c r="F139">
        <v>280</v>
      </c>
      <c r="G139">
        <f>G138*2</f>
        <v>560</v>
      </c>
    </row>
    <row r="140" spans="2:7">
      <c r="B140">
        <v>138</v>
      </c>
      <c r="C140">
        <v>5</v>
      </c>
      <c r="D140">
        <v>6</v>
      </c>
      <c r="E140" t="s">
        <v>82</v>
      </c>
      <c r="F140">
        <v>840</v>
      </c>
      <c r="G140">
        <f>ROUNDUP(G139*1.7,-1)</f>
        <v>960</v>
      </c>
    </row>
    <row r="141" spans="2:7">
      <c r="B141">
        <v>139</v>
      </c>
      <c r="C141">
        <v>5</v>
      </c>
      <c r="D141">
        <v>7</v>
      </c>
      <c r="E141" t="s">
        <v>43</v>
      </c>
      <c r="F141">
        <v>171</v>
      </c>
      <c r="G141">
        <f>G138+5</f>
        <v>285</v>
      </c>
    </row>
    <row r="142" spans="2:7">
      <c r="B142">
        <v>140</v>
      </c>
      <c r="C142">
        <v>5</v>
      </c>
      <c r="D142">
        <v>7</v>
      </c>
      <c r="E142" t="s">
        <v>81</v>
      </c>
      <c r="F142">
        <v>285</v>
      </c>
      <c r="G142">
        <f>G141*2</f>
        <v>570</v>
      </c>
    </row>
    <row r="143" spans="2:7">
      <c r="B143">
        <v>141</v>
      </c>
      <c r="C143">
        <v>5</v>
      </c>
      <c r="D143">
        <v>7</v>
      </c>
      <c r="E143" t="s">
        <v>82</v>
      </c>
      <c r="F143">
        <v>855</v>
      </c>
      <c r="G143">
        <f>ROUNDUP(G142*1.7,-1)</f>
        <v>970</v>
      </c>
    </row>
    <row r="144" spans="2:7">
      <c r="B144">
        <v>142</v>
      </c>
      <c r="C144">
        <v>5</v>
      </c>
      <c r="D144">
        <v>8</v>
      </c>
      <c r="E144" t="s">
        <v>43</v>
      </c>
      <c r="F144">
        <v>174</v>
      </c>
      <c r="G144">
        <f>G141+5</f>
        <v>290</v>
      </c>
    </row>
    <row r="145" spans="2:7">
      <c r="B145">
        <v>143</v>
      </c>
      <c r="C145">
        <v>5</v>
      </c>
      <c r="D145">
        <v>8</v>
      </c>
      <c r="E145" t="s">
        <v>81</v>
      </c>
      <c r="F145">
        <v>290</v>
      </c>
      <c r="G145">
        <f>G144*2</f>
        <v>580</v>
      </c>
    </row>
    <row r="146" spans="2:7">
      <c r="B146">
        <v>144</v>
      </c>
      <c r="C146">
        <v>5</v>
      </c>
      <c r="D146">
        <v>8</v>
      </c>
      <c r="E146" t="s">
        <v>82</v>
      </c>
      <c r="F146">
        <v>870</v>
      </c>
      <c r="G146">
        <f>ROUNDUP(G145*1.7,-1)</f>
        <v>990</v>
      </c>
    </row>
    <row r="147" spans="2:7">
      <c r="B147">
        <v>145</v>
      </c>
      <c r="C147">
        <v>5</v>
      </c>
      <c r="D147">
        <v>9</v>
      </c>
      <c r="E147" t="s">
        <v>43</v>
      </c>
      <c r="F147">
        <v>177</v>
      </c>
      <c r="G147">
        <f>G144+5</f>
        <v>295</v>
      </c>
    </row>
    <row r="148" spans="2:7">
      <c r="B148">
        <v>146</v>
      </c>
      <c r="C148">
        <v>5</v>
      </c>
      <c r="D148">
        <v>9</v>
      </c>
      <c r="E148" t="s">
        <v>81</v>
      </c>
      <c r="F148">
        <v>295</v>
      </c>
      <c r="G148">
        <f>G147*2</f>
        <v>590</v>
      </c>
    </row>
    <row r="149" spans="2:7">
      <c r="B149">
        <v>147</v>
      </c>
      <c r="C149">
        <v>5</v>
      </c>
      <c r="D149">
        <v>9</v>
      </c>
      <c r="E149" t="s">
        <v>82</v>
      </c>
      <c r="F149">
        <v>885</v>
      </c>
      <c r="G149">
        <f>ROUNDUP(G148*1.7,-1)</f>
        <v>1010</v>
      </c>
    </row>
    <row r="150" spans="2:7">
      <c r="B150">
        <v>148</v>
      </c>
      <c r="C150">
        <v>5</v>
      </c>
      <c r="D150">
        <v>10</v>
      </c>
      <c r="E150" t="s">
        <v>43</v>
      </c>
      <c r="F150">
        <v>180</v>
      </c>
      <c r="G150">
        <f>G147+5</f>
        <v>300</v>
      </c>
    </row>
    <row r="151" spans="2:7">
      <c r="B151">
        <v>149</v>
      </c>
      <c r="C151">
        <v>5</v>
      </c>
      <c r="D151">
        <v>10</v>
      </c>
      <c r="E151" t="s">
        <v>81</v>
      </c>
      <c r="F151">
        <v>300</v>
      </c>
      <c r="G151">
        <f>G150*2</f>
        <v>600</v>
      </c>
    </row>
    <row r="152" spans="2:7">
      <c r="B152">
        <v>150</v>
      </c>
      <c r="C152">
        <v>5</v>
      </c>
      <c r="D152">
        <v>10</v>
      </c>
      <c r="E152" t="s">
        <v>82</v>
      </c>
      <c r="F152">
        <v>900</v>
      </c>
      <c r="G152">
        <f>ROUNDUP(G151*1.7,-1)</f>
        <v>1020</v>
      </c>
    </row>
    <row r="153" spans="2:7">
      <c r="B153">
        <v>151</v>
      </c>
      <c r="C153">
        <v>6</v>
      </c>
      <c r="D153">
        <v>1</v>
      </c>
      <c r="E153" t="s">
        <v>43</v>
      </c>
      <c r="F153">
        <v>183</v>
      </c>
      <c r="G153">
        <f>G150+5</f>
        <v>305</v>
      </c>
    </row>
    <row r="154" spans="2:7">
      <c r="B154">
        <v>152</v>
      </c>
      <c r="C154">
        <v>6</v>
      </c>
      <c r="D154">
        <v>1</v>
      </c>
      <c r="E154" t="s">
        <v>81</v>
      </c>
      <c r="F154">
        <v>305</v>
      </c>
      <c r="G154">
        <f>G153*2</f>
        <v>610</v>
      </c>
    </row>
    <row r="155" spans="2:7">
      <c r="B155">
        <v>153</v>
      </c>
      <c r="C155">
        <v>6</v>
      </c>
      <c r="D155">
        <v>1</v>
      </c>
      <c r="E155" t="s">
        <v>82</v>
      </c>
      <c r="F155">
        <v>915</v>
      </c>
      <c r="G155">
        <f>ROUNDUP(G154*1.7,-1)</f>
        <v>1040</v>
      </c>
    </row>
    <row r="156" spans="2:7">
      <c r="B156">
        <v>154</v>
      </c>
      <c r="C156">
        <v>6</v>
      </c>
      <c r="D156">
        <v>2</v>
      </c>
      <c r="E156" t="s">
        <v>43</v>
      </c>
      <c r="F156">
        <v>186</v>
      </c>
      <c r="G156">
        <f>G153+5</f>
        <v>310</v>
      </c>
    </row>
    <row r="157" spans="2:7">
      <c r="B157">
        <v>155</v>
      </c>
      <c r="C157">
        <v>6</v>
      </c>
      <c r="D157">
        <v>2</v>
      </c>
      <c r="E157" t="s">
        <v>81</v>
      </c>
      <c r="F157">
        <v>310</v>
      </c>
      <c r="G157">
        <f>G156*2</f>
        <v>620</v>
      </c>
    </row>
    <row r="158" spans="2:7">
      <c r="B158">
        <v>156</v>
      </c>
      <c r="C158">
        <v>6</v>
      </c>
      <c r="D158">
        <v>2</v>
      </c>
      <c r="E158" t="s">
        <v>82</v>
      </c>
      <c r="F158">
        <v>930</v>
      </c>
      <c r="G158">
        <f>ROUNDUP(G157*1.7,-1)</f>
        <v>1060</v>
      </c>
    </row>
    <row r="159" spans="2:7">
      <c r="B159">
        <v>157</v>
      </c>
      <c r="C159">
        <v>6</v>
      </c>
      <c r="D159">
        <v>3</v>
      </c>
      <c r="E159" t="s">
        <v>43</v>
      </c>
      <c r="F159">
        <v>189</v>
      </c>
      <c r="G159">
        <f>G156+5</f>
        <v>315</v>
      </c>
    </row>
    <row r="160" spans="2:7">
      <c r="B160">
        <v>158</v>
      </c>
      <c r="C160">
        <v>6</v>
      </c>
      <c r="D160">
        <v>3</v>
      </c>
      <c r="E160" t="s">
        <v>81</v>
      </c>
      <c r="F160">
        <v>315</v>
      </c>
      <c r="G160">
        <f>G159*2</f>
        <v>630</v>
      </c>
    </row>
    <row r="161" spans="2:7">
      <c r="B161">
        <v>159</v>
      </c>
      <c r="C161">
        <v>6</v>
      </c>
      <c r="D161">
        <v>3</v>
      </c>
      <c r="E161" t="s">
        <v>82</v>
      </c>
      <c r="F161">
        <v>945</v>
      </c>
      <c r="G161">
        <f>ROUNDUP(G160*1.7,-1)</f>
        <v>1080</v>
      </c>
    </row>
    <row r="162" spans="2:7">
      <c r="B162">
        <v>160</v>
      </c>
      <c r="C162">
        <v>6</v>
      </c>
      <c r="D162">
        <v>4</v>
      </c>
      <c r="E162" t="s">
        <v>43</v>
      </c>
      <c r="F162">
        <v>192</v>
      </c>
      <c r="G162">
        <f>G159+5</f>
        <v>320</v>
      </c>
    </row>
    <row r="163" spans="2:7">
      <c r="B163">
        <v>161</v>
      </c>
      <c r="C163">
        <v>6</v>
      </c>
      <c r="D163">
        <v>4</v>
      </c>
      <c r="E163" t="s">
        <v>81</v>
      </c>
      <c r="F163">
        <v>320</v>
      </c>
      <c r="G163">
        <f>G162*2</f>
        <v>640</v>
      </c>
    </row>
    <row r="164" spans="2:7">
      <c r="B164">
        <v>162</v>
      </c>
      <c r="C164">
        <v>6</v>
      </c>
      <c r="D164">
        <v>4</v>
      </c>
      <c r="E164" t="s">
        <v>82</v>
      </c>
      <c r="F164">
        <v>960</v>
      </c>
      <c r="G164">
        <f>ROUNDUP(G163*1.7,-1)</f>
        <v>1090</v>
      </c>
    </row>
    <row r="165" spans="2:7">
      <c r="B165">
        <v>163</v>
      </c>
      <c r="C165">
        <v>6</v>
      </c>
      <c r="D165">
        <v>5</v>
      </c>
      <c r="E165" t="s">
        <v>43</v>
      </c>
      <c r="F165">
        <v>195</v>
      </c>
      <c r="G165">
        <f>G162+5</f>
        <v>325</v>
      </c>
    </row>
    <row r="166" spans="2:7">
      <c r="B166">
        <v>164</v>
      </c>
      <c r="C166">
        <v>6</v>
      </c>
      <c r="D166">
        <v>5</v>
      </c>
      <c r="E166" t="s">
        <v>81</v>
      </c>
      <c r="F166">
        <v>325</v>
      </c>
      <c r="G166">
        <f>G165*2</f>
        <v>650</v>
      </c>
    </row>
    <row r="167" spans="2:7">
      <c r="B167">
        <v>165</v>
      </c>
      <c r="C167">
        <v>6</v>
      </c>
      <c r="D167">
        <v>5</v>
      </c>
      <c r="E167" t="s">
        <v>82</v>
      </c>
      <c r="F167">
        <v>975</v>
      </c>
      <c r="G167">
        <f>ROUNDUP(G166*1.7,-1)</f>
        <v>1110</v>
      </c>
    </row>
    <row r="168" spans="2:7">
      <c r="B168">
        <v>166</v>
      </c>
      <c r="C168">
        <v>6</v>
      </c>
      <c r="D168">
        <v>6</v>
      </c>
      <c r="E168" t="s">
        <v>43</v>
      </c>
      <c r="F168">
        <v>198</v>
      </c>
      <c r="G168">
        <f>G165+5</f>
        <v>330</v>
      </c>
    </row>
    <row r="169" spans="2:7">
      <c r="B169">
        <v>167</v>
      </c>
      <c r="C169">
        <v>6</v>
      </c>
      <c r="D169">
        <v>6</v>
      </c>
      <c r="E169" t="s">
        <v>81</v>
      </c>
      <c r="F169">
        <v>330</v>
      </c>
      <c r="G169">
        <f>G168*2</f>
        <v>660</v>
      </c>
    </row>
    <row r="170" spans="2:7">
      <c r="B170">
        <v>168</v>
      </c>
      <c r="C170">
        <v>6</v>
      </c>
      <c r="D170">
        <v>6</v>
      </c>
      <c r="E170" t="s">
        <v>82</v>
      </c>
      <c r="F170">
        <v>990</v>
      </c>
      <c r="G170">
        <f>ROUNDUP(G169*1.7,-1)</f>
        <v>1130</v>
      </c>
    </row>
    <row r="171" spans="2:7">
      <c r="B171">
        <v>169</v>
      </c>
      <c r="C171">
        <v>6</v>
      </c>
      <c r="D171">
        <v>7</v>
      </c>
      <c r="E171" t="s">
        <v>43</v>
      </c>
      <c r="F171">
        <v>201</v>
      </c>
      <c r="G171">
        <f>G168+5</f>
        <v>335</v>
      </c>
    </row>
    <row r="172" spans="2:7">
      <c r="B172">
        <v>170</v>
      </c>
      <c r="C172">
        <v>6</v>
      </c>
      <c r="D172">
        <v>7</v>
      </c>
      <c r="E172" t="s">
        <v>81</v>
      </c>
      <c r="F172">
        <v>335</v>
      </c>
      <c r="G172">
        <f>G171*2</f>
        <v>670</v>
      </c>
    </row>
    <row r="173" spans="2:7">
      <c r="B173">
        <v>171</v>
      </c>
      <c r="C173">
        <v>6</v>
      </c>
      <c r="D173">
        <v>7</v>
      </c>
      <c r="E173" t="s">
        <v>82</v>
      </c>
      <c r="F173">
        <v>1005</v>
      </c>
      <c r="G173">
        <f>ROUNDUP(G172*1.7,-1)</f>
        <v>1140</v>
      </c>
    </row>
    <row r="174" spans="2:7">
      <c r="B174">
        <v>172</v>
      </c>
      <c r="C174">
        <v>6</v>
      </c>
      <c r="D174">
        <v>8</v>
      </c>
      <c r="E174" t="s">
        <v>43</v>
      </c>
      <c r="F174">
        <v>204</v>
      </c>
      <c r="G174">
        <f>G171+5</f>
        <v>340</v>
      </c>
    </row>
    <row r="175" spans="2:7">
      <c r="B175">
        <v>173</v>
      </c>
      <c r="C175">
        <v>6</v>
      </c>
      <c r="D175">
        <v>8</v>
      </c>
      <c r="E175" t="s">
        <v>81</v>
      </c>
      <c r="F175">
        <v>340</v>
      </c>
      <c r="G175">
        <f>G174*2</f>
        <v>680</v>
      </c>
    </row>
    <row r="176" spans="2:7">
      <c r="B176">
        <v>174</v>
      </c>
      <c r="C176">
        <v>6</v>
      </c>
      <c r="D176">
        <v>8</v>
      </c>
      <c r="E176" t="s">
        <v>82</v>
      </c>
      <c r="F176">
        <v>1020</v>
      </c>
      <c r="G176">
        <f>ROUNDUP(G175*1.7,-1)</f>
        <v>1160</v>
      </c>
    </row>
    <row r="177" spans="2:7">
      <c r="B177">
        <v>175</v>
      </c>
      <c r="C177">
        <v>6</v>
      </c>
      <c r="D177">
        <v>9</v>
      </c>
      <c r="E177" t="s">
        <v>43</v>
      </c>
      <c r="F177">
        <v>207</v>
      </c>
      <c r="G177">
        <f>G174+5</f>
        <v>345</v>
      </c>
    </row>
    <row r="178" spans="2:7">
      <c r="B178">
        <v>176</v>
      </c>
      <c r="C178">
        <v>6</v>
      </c>
      <c r="D178">
        <v>9</v>
      </c>
      <c r="E178" t="s">
        <v>81</v>
      </c>
      <c r="F178">
        <v>345</v>
      </c>
      <c r="G178">
        <f>G177*2</f>
        <v>690</v>
      </c>
    </row>
    <row r="179" spans="2:7">
      <c r="B179">
        <v>177</v>
      </c>
      <c r="C179">
        <v>6</v>
      </c>
      <c r="D179">
        <v>9</v>
      </c>
      <c r="E179" t="s">
        <v>82</v>
      </c>
      <c r="F179">
        <v>1035</v>
      </c>
      <c r="G179">
        <f>ROUNDUP(G178*1.7,-1)</f>
        <v>1180</v>
      </c>
    </row>
    <row r="180" spans="2:7">
      <c r="B180">
        <v>178</v>
      </c>
      <c r="C180">
        <v>6</v>
      </c>
      <c r="D180">
        <v>10</v>
      </c>
      <c r="E180" t="s">
        <v>43</v>
      </c>
      <c r="F180">
        <v>210</v>
      </c>
      <c r="G180">
        <f>G177+5</f>
        <v>350</v>
      </c>
    </row>
    <row r="181" spans="2:7">
      <c r="B181">
        <v>179</v>
      </c>
      <c r="C181">
        <v>6</v>
      </c>
      <c r="D181">
        <v>10</v>
      </c>
      <c r="E181" t="s">
        <v>81</v>
      </c>
      <c r="F181">
        <v>350</v>
      </c>
      <c r="G181">
        <f>G180*2</f>
        <v>700</v>
      </c>
    </row>
    <row r="182" spans="2:7">
      <c r="B182">
        <v>180</v>
      </c>
      <c r="C182">
        <v>6</v>
      </c>
      <c r="D182">
        <v>10</v>
      </c>
      <c r="E182" t="s">
        <v>82</v>
      </c>
      <c r="F182">
        <v>1050</v>
      </c>
      <c r="G182">
        <f>ROUNDUP(G181*1.7,-1)</f>
        <v>1190</v>
      </c>
    </row>
    <row r="183" spans="2:7">
      <c r="B183">
        <v>181</v>
      </c>
      <c r="C183">
        <v>7</v>
      </c>
      <c r="D183">
        <v>1</v>
      </c>
      <c r="E183" t="s">
        <v>43</v>
      </c>
      <c r="F183">
        <v>213</v>
      </c>
      <c r="G183">
        <f>G180+5</f>
        <v>355</v>
      </c>
    </row>
    <row r="184" spans="2:7">
      <c r="B184">
        <v>182</v>
      </c>
      <c r="C184">
        <v>7</v>
      </c>
      <c r="D184">
        <v>1</v>
      </c>
      <c r="E184" t="s">
        <v>81</v>
      </c>
      <c r="F184">
        <v>355</v>
      </c>
      <c r="G184">
        <f>G183*2</f>
        <v>710</v>
      </c>
    </row>
    <row r="185" spans="2:7">
      <c r="B185">
        <v>183</v>
      </c>
      <c r="C185">
        <v>7</v>
      </c>
      <c r="D185">
        <v>1</v>
      </c>
      <c r="E185" t="s">
        <v>82</v>
      </c>
      <c r="F185">
        <v>1065</v>
      </c>
      <c r="G185">
        <f>ROUNDUP(G184*1.7,-1)</f>
        <v>1210</v>
      </c>
    </row>
    <row r="186" spans="2:7">
      <c r="B186">
        <v>184</v>
      </c>
      <c r="C186">
        <v>7</v>
      </c>
      <c r="D186">
        <v>2</v>
      </c>
      <c r="E186" t="s">
        <v>43</v>
      </c>
      <c r="F186">
        <v>216</v>
      </c>
      <c r="G186">
        <f>G183+5</f>
        <v>360</v>
      </c>
    </row>
    <row r="187" spans="2:7">
      <c r="B187">
        <v>185</v>
      </c>
      <c r="C187">
        <v>7</v>
      </c>
      <c r="D187">
        <v>2</v>
      </c>
      <c r="E187" t="s">
        <v>81</v>
      </c>
      <c r="F187">
        <v>360</v>
      </c>
      <c r="G187">
        <f>G186*2</f>
        <v>720</v>
      </c>
    </row>
    <row r="188" spans="2:7">
      <c r="B188">
        <v>186</v>
      </c>
      <c r="C188">
        <v>7</v>
      </c>
      <c r="D188">
        <v>2</v>
      </c>
      <c r="E188" t="s">
        <v>82</v>
      </c>
      <c r="F188">
        <v>1080</v>
      </c>
      <c r="G188">
        <f>ROUNDUP(G187*1.7,-1)</f>
        <v>1230</v>
      </c>
    </row>
    <row r="189" spans="2:7">
      <c r="B189">
        <v>187</v>
      </c>
      <c r="C189">
        <v>7</v>
      </c>
      <c r="D189">
        <v>3</v>
      </c>
      <c r="E189" t="s">
        <v>43</v>
      </c>
      <c r="F189">
        <v>219</v>
      </c>
      <c r="G189">
        <f>G186+5</f>
        <v>365</v>
      </c>
    </row>
    <row r="190" spans="2:7">
      <c r="B190">
        <v>188</v>
      </c>
      <c r="C190">
        <v>7</v>
      </c>
      <c r="D190">
        <v>3</v>
      </c>
      <c r="E190" t="s">
        <v>81</v>
      </c>
      <c r="F190">
        <v>365</v>
      </c>
      <c r="G190">
        <f>G189*2</f>
        <v>730</v>
      </c>
    </row>
    <row r="191" spans="2:7">
      <c r="B191">
        <v>189</v>
      </c>
      <c r="C191">
        <v>7</v>
      </c>
      <c r="D191">
        <v>3</v>
      </c>
      <c r="E191" t="s">
        <v>82</v>
      </c>
      <c r="F191">
        <v>1095</v>
      </c>
      <c r="G191">
        <f>ROUNDUP(G190*1.7,-1)</f>
        <v>1250</v>
      </c>
    </row>
    <row r="192" spans="2:7">
      <c r="B192">
        <v>190</v>
      </c>
      <c r="C192">
        <v>7</v>
      </c>
      <c r="D192">
        <v>4</v>
      </c>
      <c r="E192" t="s">
        <v>43</v>
      </c>
      <c r="F192">
        <v>222</v>
      </c>
      <c r="G192">
        <f>G189+5</f>
        <v>370</v>
      </c>
    </row>
    <row r="193" spans="2:7">
      <c r="B193">
        <v>191</v>
      </c>
      <c r="C193">
        <v>7</v>
      </c>
      <c r="D193">
        <v>4</v>
      </c>
      <c r="E193" t="s">
        <v>81</v>
      </c>
      <c r="F193">
        <v>370</v>
      </c>
      <c r="G193">
        <f>G192*2</f>
        <v>740</v>
      </c>
    </row>
    <row r="194" spans="2:7">
      <c r="B194">
        <v>192</v>
      </c>
      <c r="C194">
        <v>7</v>
      </c>
      <c r="D194">
        <v>4</v>
      </c>
      <c r="E194" t="s">
        <v>82</v>
      </c>
      <c r="F194">
        <v>1110</v>
      </c>
      <c r="G194">
        <f>ROUNDUP(G193*1.7,-1)</f>
        <v>1260</v>
      </c>
    </row>
    <row r="195" spans="2:7">
      <c r="B195">
        <v>193</v>
      </c>
      <c r="C195">
        <v>7</v>
      </c>
      <c r="D195">
        <v>5</v>
      </c>
      <c r="E195" t="s">
        <v>43</v>
      </c>
      <c r="F195">
        <v>225</v>
      </c>
      <c r="G195">
        <f>G192+5</f>
        <v>375</v>
      </c>
    </row>
    <row r="196" spans="2:7">
      <c r="B196">
        <v>194</v>
      </c>
      <c r="C196">
        <v>7</v>
      </c>
      <c r="D196">
        <v>5</v>
      </c>
      <c r="E196" t="s">
        <v>81</v>
      </c>
      <c r="F196">
        <v>375</v>
      </c>
      <c r="G196">
        <f>G195*2</f>
        <v>750</v>
      </c>
    </row>
    <row r="197" spans="2:7">
      <c r="B197">
        <v>195</v>
      </c>
      <c r="C197">
        <v>7</v>
      </c>
      <c r="D197">
        <v>5</v>
      </c>
      <c r="E197" t="s">
        <v>82</v>
      </c>
      <c r="F197">
        <v>1125</v>
      </c>
      <c r="G197">
        <f>ROUNDUP(G196*1.7,-1)</f>
        <v>1280</v>
      </c>
    </row>
    <row r="198" spans="2:7">
      <c r="B198">
        <v>196</v>
      </c>
      <c r="C198">
        <v>7</v>
      </c>
      <c r="D198">
        <v>6</v>
      </c>
      <c r="E198" t="s">
        <v>43</v>
      </c>
      <c r="F198">
        <v>228</v>
      </c>
      <c r="G198">
        <f>G195+5</f>
        <v>380</v>
      </c>
    </row>
    <row r="199" spans="2:7">
      <c r="B199">
        <v>197</v>
      </c>
      <c r="C199">
        <v>7</v>
      </c>
      <c r="D199">
        <v>6</v>
      </c>
      <c r="E199" t="s">
        <v>81</v>
      </c>
      <c r="F199">
        <v>380</v>
      </c>
      <c r="G199">
        <f>G198*2</f>
        <v>760</v>
      </c>
    </row>
    <row r="200" spans="2:7">
      <c r="B200">
        <v>198</v>
      </c>
      <c r="C200">
        <v>7</v>
      </c>
      <c r="D200">
        <v>6</v>
      </c>
      <c r="E200" t="s">
        <v>82</v>
      </c>
      <c r="F200">
        <v>1140</v>
      </c>
      <c r="G200">
        <f>ROUNDUP(G199*1.7,-1)</f>
        <v>1300</v>
      </c>
    </row>
    <row r="201" spans="2:7">
      <c r="B201">
        <v>199</v>
      </c>
      <c r="C201">
        <v>7</v>
      </c>
      <c r="D201">
        <v>7</v>
      </c>
      <c r="E201" t="s">
        <v>43</v>
      </c>
      <c r="F201">
        <v>231</v>
      </c>
      <c r="G201">
        <f>G198+5</f>
        <v>385</v>
      </c>
    </row>
    <row r="202" spans="2:7">
      <c r="B202">
        <v>200</v>
      </c>
      <c r="C202">
        <v>7</v>
      </c>
      <c r="D202">
        <v>7</v>
      </c>
      <c r="E202" t="s">
        <v>81</v>
      </c>
      <c r="F202">
        <v>385</v>
      </c>
      <c r="G202">
        <f>G201*2</f>
        <v>770</v>
      </c>
    </row>
    <row r="203" spans="2:7">
      <c r="B203">
        <v>201</v>
      </c>
      <c r="C203">
        <v>7</v>
      </c>
      <c r="D203">
        <v>7</v>
      </c>
      <c r="E203" t="s">
        <v>82</v>
      </c>
      <c r="F203">
        <v>1155</v>
      </c>
      <c r="G203">
        <f>ROUNDUP(G202*1.7,-1)</f>
        <v>1310</v>
      </c>
    </row>
    <row r="204" spans="2:7">
      <c r="B204">
        <v>202</v>
      </c>
      <c r="C204">
        <v>7</v>
      </c>
      <c r="D204">
        <v>8</v>
      </c>
      <c r="E204" t="s">
        <v>43</v>
      </c>
      <c r="F204">
        <v>234</v>
      </c>
      <c r="G204">
        <f>G201+5</f>
        <v>390</v>
      </c>
    </row>
    <row r="205" spans="2:7">
      <c r="B205">
        <v>203</v>
      </c>
      <c r="C205">
        <v>7</v>
      </c>
      <c r="D205">
        <v>8</v>
      </c>
      <c r="E205" t="s">
        <v>81</v>
      </c>
      <c r="F205">
        <v>390</v>
      </c>
      <c r="G205">
        <f>G204*2</f>
        <v>780</v>
      </c>
    </row>
    <row r="206" spans="2:7">
      <c r="B206">
        <v>204</v>
      </c>
      <c r="C206">
        <v>7</v>
      </c>
      <c r="D206">
        <v>8</v>
      </c>
      <c r="E206" t="s">
        <v>82</v>
      </c>
      <c r="F206">
        <v>1170</v>
      </c>
      <c r="G206">
        <f>ROUNDUP(G205*1.7,-1)</f>
        <v>1330</v>
      </c>
    </row>
    <row r="207" spans="2:7">
      <c r="B207">
        <v>205</v>
      </c>
      <c r="C207">
        <v>7</v>
      </c>
      <c r="D207">
        <v>9</v>
      </c>
      <c r="E207" t="s">
        <v>43</v>
      </c>
      <c r="F207">
        <v>237</v>
      </c>
      <c r="G207">
        <f>G204+5</f>
        <v>395</v>
      </c>
    </row>
    <row r="208" spans="2:7">
      <c r="B208">
        <v>206</v>
      </c>
      <c r="C208">
        <v>7</v>
      </c>
      <c r="D208">
        <v>9</v>
      </c>
      <c r="E208" t="s">
        <v>81</v>
      </c>
      <c r="F208">
        <v>395</v>
      </c>
      <c r="G208">
        <f>G207*2</f>
        <v>790</v>
      </c>
    </row>
    <row r="209" spans="2:7">
      <c r="B209">
        <v>207</v>
      </c>
      <c r="C209">
        <v>7</v>
      </c>
      <c r="D209">
        <v>9</v>
      </c>
      <c r="E209" t="s">
        <v>82</v>
      </c>
      <c r="F209">
        <v>1185</v>
      </c>
      <c r="G209">
        <f>ROUNDUP(G208*1.7,-1)</f>
        <v>1350</v>
      </c>
    </row>
    <row r="210" spans="2:7">
      <c r="B210">
        <v>208</v>
      </c>
      <c r="C210">
        <v>7</v>
      </c>
      <c r="D210">
        <v>10</v>
      </c>
      <c r="E210" t="s">
        <v>43</v>
      </c>
      <c r="F210">
        <v>240</v>
      </c>
      <c r="G210">
        <f>G207+5</f>
        <v>400</v>
      </c>
    </row>
    <row r="211" spans="2:7">
      <c r="B211">
        <v>209</v>
      </c>
      <c r="C211">
        <v>7</v>
      </c>
      <c r="D211">
        <v>10</v>
      </c>
      <c r="E211" t="s">
        <v>81</v>
      </c>
      <c r="F211">
        <v>400</v>
      </c>
      <c r="G211">
        <f>G210*2</f>
        <v>800</v>
      </c>
    </row>
    <row r="212" spans="2:7">
      <c r="B212">
        <v>210</v>
      </c>
      <c r="C212">
        <v>7</v>
      </c>
      <c r="D212">
        <v>10</v>
      </c>
      <c r="E212" t="s">
        <v>82</v>
      </c>
      <c r="F212">
        <v>1200</v>
      </c>
      <c r="G212">
        <f>ROUNDUP(G211*1.7,-1)</f>
        <v>1360</v>
      </c>
    </row>
    <row r="213" spans="2:7">
      <c r="B213">
        <v>211</v>
      </c>
      <c r="C213">
        <v>8</v>
      </c>
      <c r="D213">
        <v>1</v>
      </c>
      <c r="E213" t="s">
        <v>43</v>
      </c>
      <c r="F213">
        <v>243</v>
      </c>
      <c r="G213">
        <f>G210+5</f>
        <v>405</v>
      </c>
    </row>
    <row r="214" spans="2:7">
      <c r="B214">
        <v>212</v>
      </c>
      <c r="C214">
        <v>8</v>
      </c>
      <c r="D214">
        <v>1</v>
      </c>
      <c r="E214" t="s">
        <v>81</v>
      </c>
      <c r="F214">
        <v>405</v>
      </c>
      <c r="G214">
        <f>G213*2</f>
        <v>810</v>
      </c>
    </row>
    <row r="215" spans="2:7">
      <c r="B215">
        <v>213</v>
      </c>
      <c r="C215">
        <v>8</v>
      </c>
      <c r="D215">
        <v>1</v>
      </c>
      <c r="E215" t="s">
        <v>82</v>
      </c>
      <c r="F215">
        <v>1215</v>
      </c>
      <c r="G215">
        <f>ROUNDUP(G214*1.7,-1)</f>
        <v>1380</v>
      </c>
    </row>
    <row r="216" spans="2:7">
      <c r="B216">
        <v>214</v>
      </c>
      <c r="C216">
        <v>8</v>
      </c>
      <c r="D216">
        <v>2</v>
      </c>
      <c r="E216" t="s">
        <v>43</v>
      </c>
      <c r="F216">
        <v>246</v>
      </c>
      <c r="G216">
        <f>G213+5</f>
        <v>410</v>
      </c>
    </row>
    <row r="217" spans="2:7">
      <c r="B217">
        <v>215</v>
      </c>
      <c r="C217">
        <v>8</v>
      </c>
      <c r="D217">
        <v>2</v>
      </c>
      <c r="E217" t="s">
        <v>81</v>
      </c>
      <c r="F217">
        <v>410</v>
      </c>
      <c r="G217">
        <f>G216*2</f>
        <v>820</v>
      </c>
    </row>
    <row r="218" spans="2:7">
      <c r="B218">
        <v>216</v>
      </c>
      <c r="C218">
        <v>8</v>
      </c>
      <c r="D218">
        <v>2</v>
      </c>
      <c r="E218" t="s">
        <v>82</v>
      </c>
      <c r="F218">
        <v>1230</v>
      </c>
      <c r="G218">
        <f>ROUNDUP(G217*1.7,-1)</f>
        <v>1400</v>
      </c>
    </row>
    <row r="219" spans="2:7">
      <c r="B219">
        <v>217</v>
      </c>
      <c r="C219">
        <v>8</v>
      </c>
      <c r="D219">
        <v>3</v>
      </c>
      <c r="E219" t="s">
        <v>43</v>
      </c>
      <c r="F219">
        <v>249</v>
      </c>
      <c r="G219">
        <f>G216+5</f>
        <v>415</v>
      </c>
    </row>
    <row r="220" spans="2:7">
      <c r="B220">
        <v>218</v>
      </c>
      <c r="C220">
        <v>8</v>
      </c>
      <c r="D220">
        <v>3</v>
      </c>
      <c r="E220" t="s">
        <v>81</v>
      </c>
      <c r="F220">
        <v>415</v>
      </c>
      <c r="G220">
        <f>G219*2</f>
        <v>830</v>
      </c>
    </row>
    <row r="221" spans="2:7">
      <c r="B221">
        <v>219</v>
      </c>
      <c r="C221">
        <v>8</v>
      </c>
      <c r="D221">
        <v>3</v>
      </c>
      <c r="E221" t="s">
        <v>82</v>
      </c>
      <c r="F221">
        <v>1245</v>
      </c>
      <c r="G221">
        <f>ROUNDUP(G220*1.7,-1)</f>
        <v>1420</v>
      </c>
    </row>
    <row r="222" spans="2:7">
      <c r="B222">
        <v>220</v>
      </c>
      <c r="C222">
        <v>8</v>
      </c>
      <c r="D222">
        <v>4</v>
      </c>
      <c r="E222" t="s">
        <v>43</v>
      </c>
      <c r="F222">
        <v>252</v>
      </c>
      <c r="G222">
        <f>G219+5</f>
        <v>420</v>
      </c>
    </row>
    <row r="223" spans="2:7">
      <c r="B223">
        <v>221</v>
      </c>
      <c r="C223">
        <v>8</v>
      </c>
      <c r="D223">
        <v>4</v>
      </c>
      <c r="E223" t="s">
        <v>81</v>
      </c>
      <c r="F223">
        <v>420</v>
      </c>
      <c r="G223">
        <f>G222*2</f>
        <v>840</v>
      </c>
    </row>
    <row r="224" spans="2:7">
      <c r="B224">
        <v>222</v>
      </c>
      <c r="C224">
        <v>8</v>
      </c>
      <c r="D224">
        <v>4</v>
      </c>
      <c r="E224" t="s">
        <v>82</v>
      </c>
      <c r="F224">
        <v>1260</v>
      </c>
      <c r="G224">
        <f>ROUNDUP(G223*1.7,-1)</f>
        <v>1430</v>
      </c>
    </row>
    <row r="225" spans="2:7">
      <c r="B225">
        <v>223</v>
      </c>
      <c r="C225">
        <v>8</v>
      </c>
      <c r="D225">
        <v>5</v>
      </c>
      <c r="E225" t="s">
        <v>43</v>
      </c>
      <c r="F225">
        <v>255</v>
      </c>
      <c r="G225">
        <f>G222+5</f>
        <v>425</v>
      </c>
    </row>
    <row r="226" spans="2:7">
      <c r="B226">
        <v>224</v>
      </c>
      <c r="C226">
        <v>8</v>
      </c>
      <c r="D226">
        <v>5</v>
      </c>
      <c r="E226" t="s">
        <v>81</v>
      </c>
      <c r="F226">
        <v>425</v>
      </c>
      <c r="G226">
        <f>G225*2</f>
        <v>850</v>
      </c>
    </row>
    <row r="227" spans="2:7">
      <c r="B227">
        <v>225</v>
      </c>
      <c r="C227">
        <v>8</v>
      </c>
      <c r="D227">
        <v>5</v>
      </c>
      <c r="E227" t="s">
        <v>82</v>
      </c>
      <c r="F227">
        <v>1275</v>
      </c>
      <c r="G227">
        <f>ROUNDUP(G226*1.7,-1)</f>
        <v>1450</v>
      </c>
    </row>
    <row r="228" spans="2:7">
      <c r="B228">
        <v>226</v>
      </c>
      <c r="C228">
        <v>8</v>
      </c>
      <c r="D228">
        <v>6</v>
      </c>
      <c r="E228" t="s">
        <v>43</v>
      </c>
      <c r="F228">
        <v>258</v>
      </c>
      <c r="G228">
        <f>G225+5</f>
        <v>430</v>
      </c>
    </row>
    <row r="229" spans="2:7">
      <c r="B229">
        <v>227</v>
      </c>
      <c r="C229">
        <v>8</v>
      </c>
      <c r="D229">
        <v>6</v>
      </c>
      <c r="E229" t="s">
        <v>81</v>
      </c>
      <c r="F229">
        <v>430</v>
      </c>
      <c r="G229">
        <f>G228*2</f>
        <v>860</v>
      </c>
    </row>
    <row r="230" spans="2:7">
      <c r="B230">
        <v>228</v>
      </c>
      <c r="C230">
        <v>8</v>
      </c>
      <c r="D230">
        <v>6</v>
      </c>
      <c r="E230" t="s">
        <v>82</v>
      </c>
      <c r="F230">
        <v>1290</v>
      </c>
      <c r="G230">
        <f>ROUNDUP(G229*1.7,-1)</f>
        <v>1470</v>
      </c>
    </row>
    <row r="231" spans="2:7">
      <c r="B231">
        <v>229</v>
      </c>
      <c r="C231">
        <v>8</v>
      </c>
      <c r="D231">
        <v>7</v>
      </c>
      <c r="E231" t="s">
        <v>43</v>
      </c>
      <c r="F231">
        <v>261</v>
      </c>
      <c r="G231">
        <f>G228+5</f>
        <v>435</v>
      </c>
    </row>
    <row r="232" spans="2:7">
      <c r="B232">
        <v>230</v>
      </c>
      <c r="C232">
        <v>8</v>
      </c>
      <c r="D232">
        <v>7</v>
      </c>
      <c r="E232" t="s">
        <v>81</v>
      </c>
      <c r="F232">
        <v>435</v>
      </c>
      <c r="G232">
        <f>G231*2</f>
        <v>870</v>
      </c>
    </row>
    <row r="233" spans="2:7">
      <c r="B233">
        <v>231</v>
      </c>
      <c r="C233">
        <v>8</v>
      </c>
      <c r="D233">
        <v>7</v>
      </c>
      <c r="E233" t="s">
        <v>82</v>
      </c>
      <c r="F233">
        <v>1305</v>
      </c>
      <c r="G233">
        <f>ROUNDUP(G232*1.7,-1)</f>
        <v>1480</v>
      </c>
    </row>
    <row r="234" spans="2:7">
      <c r="B234">
        <v>232</v>
      </c>
      <c r="C234">
        <v>8</v>
      </c>
      <c r="D234">
        <v>8</v>
      </c>
      <c r="E234" t="s">
        <v>43</v>
      </c>
      <c r="F234">
        <v>264</v>
      </c>
      <c r="G234">
        <f>G231+5</f>
        <v>440</v>
      </c>
    </row>
    <row r="235" spans="2:7">
      <c r="B235">
        <v>233</v>
      </c>
      <c r="C235">
        <v>8</v>
      </c>
      <c r="D235">
        <v>8</v>
      </c>
      <c r="E235" t="s">
        <v>81</v>
      </c>
      <c r="F235">
        <v>440</v>
      </c>
      <c r="G235">
        <f>G234*2</f>
        <v>880</v>
      </c>
    </row>
    <row r="236" spans="2:7">
      <c r="B236">
        <v>234</v>
      </c>
      <c r="C236">
        <v>8</v>
      </c>
      <c r="D236">
        <v>8</v>
      </c>
      <c r="E236" t="s">
        <v>82</v>
      </c>
      <c r="F236">
        <v>1320</v>
      </c>
      <c r="G236">
        <f>ROUNDUP(G235*1.7,-1)</f>
        <v>1500</v>
      </c>
    </row>
    <row r="237" spans="2:7">
      <c r="B237">
        <v>235</v>
      </c>
      <c r="C237">
        <v>8</v>
      </c>
      <c r="D237">
        <v>9</v>
      </c>
      <c r="E237" t="s">
        <v>43</v>
      </c>
      <c r="F237">
        <v>267</v>
      </c>
      <c r="G237">
        <f>G234+5</f>
        <v>445</v>
      </c>
    </row>
    <row r="238" spans="2:7">
      <c r="B238">
        <v>236</v>
      </c>
      <c r="C238">
        <v>8</v>
      </c>
      <c r="D238">
        <v>9</v>
      </c>
      <c r="E238" t="s">
        <v>81</v>
      </c>
      <c r="F238">
        <v>445</v>
      </c>
      <c r="G238">
        <f>G237*2</f>
        <v>890</v>
      </c>
    </row>
    <row r="239" spans="2:7">
      <c r="B239">
        <v>237</v>
      </c>
      <c r="C239">
        <v>8</v>
      </c>
      <c r="D239">
        <v>9</v>
      </c>
      <c r="E239" t="s">
        <v>82</v>
      </c>
      <c r="F239">
        <v>1335</v>
      </c>
      <c r="G239">
        <f>ROUNDUP(G238*1.7,-1)</f>
        <v>1520</v>
      </c>
    </row>
    <row r="240" spans="2:7">
      <c r="B240">
        <v>238</v>
      </c>
      <c r="C240">
        <v>8</v>
      </c>
      <c r="D240">
        <v>10</v>
      </c>
      <c r="E240" t="s">
        <v>43</v>
      </c>
      <c r="F240">
        <v>270</v>
      </c>
      <c r="G240">
        <f>G237+5</f>
        <v>450</v>
      </c>
    </row>
    <row r="241" spans="2:7">
      <c r="B241">
        <v>239</v>
      </c>
      <c r="C241">
        <v>8</v>
      </c>
      <c r="D241">
        <v>10</v>
      </c>
      <c r="E241" t="s">
        <v>81</v>
      </c>
      <c r="F241">
        <v>450</v>
      </c>
      <c r="G241">
        <f>G240*2</f>
        <v>900</v>
      </c>
    </row>
    <row r="242" spans="2:7">
      <c r="B242">
        <v>240</v>
      </c>
      <c r="C242">
        <v>8</v>
      </c>
      <c r="D242">
        <v>10</v>
      </c>
      <c r="E242" t="s">
        <v>82</v>
      </c>
      <c r="F242">
        <v>1350</v>
      </c>
      <c r="G242">
        <f>ROUNDUP(G241*1.7,-1)</f>
        <v>1530</v>
      </c>
    </row>
    <row r="243" spans="2:7">
      <c r="B243">
        <v>241</v>
      </c>
      <c r="C243">
        <v>9</v>
      </c>
      <c r="D243">
        <v>1</v>
      </c>
      <c r="E243" t="s">
        <v>43</v>
      </c>
      <c r="F243">
        <v>273</v>
      </c>
      <c r="G243">
        <f>G240+5</f>
        <v>455</v>
      </c>
    </row>
    <row r="244" spans="2:7">
      <c r="B244">
        <v>242</v>
      </c>
      <c r="C244">
        <v>9</v>
      </c>
      <c r="D244">
        <v>1</v>
      </c>
      <c r="E244" t="s">
        <v>81</v>
      </c>
      <c r="F244">
        <v>455</v>
      </c>
      <c r="G244">
        <f>G243*2</f>
        <v>910</v>
      </c>
    </row>
    <row r="245" spans="2:7">
      <c r="B245">
        <v>243</v>
      </c>
      <c r="C245">
        <v>9</v>
      </c>
      <c r="D245">
        <v>1</v>
      </c>
      <c r="E245" t="s">
        <v>82</v>
      </c>
      <c r="F245">
        <v>1365</v>
      </c>
      <c r="G245">
        <f>ROUNDUP(G244*1.7,-1)</f>
        <v>1550</v>
      </c>
    </row>
    <row r="246" spans="2:7">
      <c r="B246">
        <v>244</v>
      </c>
      <c r="C246">
        <v>9</v>
      </c>
      <c r="D246">
        <v>2</v>
      </c>
      <c r="E246" t="s">
        <v>43</v>
      </c>
      <c r="F246">
        <v>276</v>
      </c>
      <c r="G246">
        <f>G243+5</f>
        <v>460</v>
      </c>
    </row>
    <row r="247" spans="2:7">
      <c r="B247">
        <v>245</v>
      </c>
      <c r="C247">
        <v>9</v>
      </c>
      <c r="D247">
        <v>2</v>
      </c>
      <c r="E247" t="s">
        <v>81</v>
      </c>
      <c r="F247">
        <v>460</v>
      </c>
      <c r="G247">
        <f>G246*2</f>
        <v>920</v>
      </c>
    </row>
    <row r="248" spans="2:7">
      <c r="B248">
        <v>246</v>
      </c>
      <c r="C248">
        <v>9</v>
      </c>
      <c r="D248">
        <v>2</v>
      </c>
      <c r="E248" t="s">
        <v>82</v>
      </c>
      <c r="F248">
        <v>1380</v>
      </c>
      <c r="G248">
        <f>ROUNDUP(G247*1.7,-1)</f>
        <v>1570</v>
      </c>
    </row>
    <row r="249" spans="2:7">
      <c r="B249">
        <v>247</v>
      </c>
      <c r="C249">
        <v>9</v>
      </c>
      <c r="D249">
        <v>3</v>
      </c>
      <c r="E249" t="s">
        <v>43</v>
      </c>
      <c r="F249">
        <v>279</v>
      </c>
      <c r="G249">
        <f>G246+5</f>
        <v>465</v>
      </c>
    </row>
    <row r="250" spans="2:7">
      <c r="B250">
        <v>248</v>
      </c>
      <c r="C250">
        <v>9</v>
      </c>
      <c r="D250">
        <v>3</v>
      </c>
      <c r="E250" t="s">
        <v>81</v>
      </c>
      <c r="F250">
        <v>465</v>
      </c>
      <c r="G250">
        <f>G249*2</f>
        <v>930</v>
      </c>
    </row>
    <row r="251" spans="2:7">
      <c r="B251">
        <v>249</v>
      </c>
      <c r="C251">
        <v>9</v>
      </c>
      <c r="D251">
        <v>3</v>
      </c>
      <c r="E251" t="s">
        <v>82</v>
      </c>
      <c r="F251">
        <v>1395</v>
      </c>
      <c r="G251">
        <f>ROUNDUP(G250*1.7,-1)</f>
        <v>1590</v>
      </c>
    </row>
    <row r="252" spans="2:7">
      <c r="B252">
        <v>250</v>
      </c>
      <c r="C252">
        <v>9</v>
      </c>
      <c r="D252">
        <v>4</v>
      </c>
      <c r="E252" t="s">
        <v>43</v>
      </c>
      <c r="F252">
        <v>282</v>
      </c>
      <c r="G252">
        <f>G249+5</f>
        <v>470</v>
      </c>
    </row>
    <row r="253" spans="2:7">
      <c r="B253">
        <v>251</v>
      </c>
      <c r="C253">
        <v>9</v>
      </c>
      <c r="D253">
        <v>4</v>
      </c>
      <c r="E253" t="s">
        <v>81</v>
      </c>
      <c r="F253">
        <v>470</v>
      </c>
      <c r="G253">
        <f>G252*2</f>
        <v>940</v>
      </c>
    </row>
    <row r="254" spans="2:7">
      <c r="B254">
        <v>252</v>
      </c>
      <c r="C254">
        <v>9</v>
      </c>
      <c r="D254">
        <v>4</v>
      </c>
      <c r="E254" t="s">
        <v>82</v>
      </c>
      <c r="F254">
        <v>1410</v>
      </c>
      <c r="G254">
        <f>ROUNDUP(G253*1.7,-1)</f>
        <v>1600</v>
      </c>
    </row>
    <row r="255" spans="2:7">
      <c r="B255">
        <v>253</v>
      </c>
      <c r="C255">
        <v>9</v>
      </c>
      <c r="D255">
        <v>5</v>
      </c>
      <c r="E255" t="s">
        <v>43</v>
      </c>
      <c r="F255">
        <v>285</v>
      </c>
      <c r="G255">
        <f>G252+5</f>
        <v>475</v>
      </c>
    </row>
    <row r="256" spans="2:7">
      <c r="B256">
        <v>254</v>
      </c>
      <c r="C256">
        <v>9</v>
      </c>
      <c r="D256">
        <v>5</v>
      </c>
      <c r="E256" t="s">
        <v>81</v>
      </c>
      <c r="F256">
        <v>475</v>
      </c>
      <c r="G256">
        <f>G255*2</f>
        <v>950</v>
      </c>
    </row>
    <row r="257" spans="2:7">
      <c r="B257">
        <v>255</v>
      </c>
      <c r="C257">
        <v>9</v>
      </c>
      <c r="D257">
        <v>5</v>
      </c>
      <c r="E257" t="s">
        <v>82</v>
      </c>
      <c r="F257">
        <v>1425</v>
      </c>
      <c r="G257">
        <f>ROUNDUP(G256*1.7,-1)</f>
        <v>1620</v>
      </c>
    </row>
    <row r="258" spans="2:7">
      <c r="B258">
        <v>256</v>
      </c>
      <c r="C258">
        <v>9</v>
      </c>
      <c r="D258">
        <v>6</v>
      </c>
      <c r="E258" t="s">
        <v>43</v>
      </c>
      <c r="F258">
        <v>288</v>
      </c>
      <c r="G258">
        <f>G255+5</f>
        <v>480</v>
      </c>
    </row>
    <row r="259" spans="2:7">
      <c r="B259">
        <v>257</v>
      </c>
      <c r="C259">
        <v>9</v>
      </c>
      <c r="D259">
        <v>6</v>
      </c>
      <c r="E259" t="s">
        <v>81</v>
      </c>
      <c r="F259">
        <v>480</v>
      </c>
      <c r="G259">
        <f>G258*2</f>
        <v>960</v>
      </c>
    </row>
    <row r="260" spans="2:7">
      <c r="B260">
        <v>258</v>
      </c>
      <c r="C260">
        <v>9</v>
      </c>
      <c r="D260">
        <v>6</v>
      </c>
      <c r="E260" t="s">
        <v>82</v>
      </c>
      <c r="F260">
        <v>1440</v>
      </c>
      <c r="G260">
        <f>ROUNDUP(G259*1.7,-1)</f>
        <v>1640</v>
      </c>
    </row>
    <row r="261" spans="2:7">
      <c r="B261">
        <v>259</v>
      </c>
      <c r="C261">
        <v>9</v>
      </c>
      <c r="D261">
        <v>7</v>
      </c>
      <c r="E261" t="s">
        <v>43</v>
      </c>
      <c r="F261">
        <v>291</v>
      </c>
      <c r="G261">
        <f>G258+5</f>
        <v>485</v>
      </c>
    </row>
    <row r="262" spans="2:7">
      <c r="B262">
        <v>260</v>
      </c>
      <c r="C262">
        <v>9</v>
      </c>
      <c r="D262">
        <v>7</v>
      </c>
      <c r="E262" t="s">
        <v>81</v>
      </c>
      <c r="F262">
        <v>485</v>
      </c>
      <c r="G262">
        <f>G261*2</f>
        <v>970</v>
      </c>
    </row>
    <row r="263" spans="2:7">
      <c r="B263">
        <v>261</v>
      </c>
      <c r="C263">
        <v>9</v>
      </c>
      <c r="D263">
        <v>7</v>
      </c>
      <c r="E263" t="s">
        <v>82</v>
      </c>
      <c r="F263">
        <v>1455</v>
      </c>
      <c r="G263">
        <f>ROUNDUP(G262*1.7,-1)</f>
        <v>1650</v>
      </c>
    </row>
    <row r="264" spans="2:7">
      <c r="B264">
        <v>262</v>
      </c>
      <c r="C264">
        <v>9</v>
      </c>
      <c r="D264">
        <v>8</v>
      </c>
      <c r="E264" t="s">
        <v>43</v>
      </c>
      <c r="F264">
        <v>294</v>
      </c>
      <c r="G264">
        <f>G261+5</f>
        <v>490</v>
      </c>
    </row>
    <row r="265" spans="2:7">
      <c r="B265">
        <v>263</v>
      </c>
      <c r="C265">
        <v>9</v>
      </c>
      <c r="D265">
        <v>8</v>
      </c>
      <c r="E265" t="s">
        <v>81</v>
      </c>
      <c r="F265">
        <v>490</v>
      </c>
      <c r="G265">
        <f>G264*2</f>
        <v>980</v>
      </c>
    </row>
    <row r="266" spans="2:7">
      <c r="B266">
        <v>264</v>
      </c>
      <c r="C266">
        <v>9</v>
      </c>
      <c r="D266">
        <v>8</v>
      </c>
      <c r="E266" t="s">
        <v>82</v>
      </c>
      <c r="F266">
        <v>1470</v>
      </c>
      <c r="G266">
        <f>ROUNDUP(G265*1.7,-1)</f>
        <v>1670</v>
      </c>
    </row>
    <row r="267" spans="2:7">
      <c r="B267">
        <v>265</v>
      </c>
      <c r="C267">
        <v>9</v>
      </c>
      <c r="D267">
        <v>9</v>
      </c>
      <c r="E267" t="s">
        <v>43</v>
      </c>
      <c r="F267">
        <v>297</v>
      </c>
      <c r="G267">
        <f>G264+5</f>
        <v>495</v>
      </c>
    </row>
    <row r="268" spans="2:7">
      <c r="B268">
        <v>266</v>
      </c>
      <c r="C268">
        <v>9</v>
      </c>
      <c r="D268">
        <v>9</v>
      </c>
      <c r="E268" t="s">
        <v>81</v>
      </c>
      <c r="F268">
        <v>495</v>
      </c>
      <c r="G268">
        <f>G267*2</f>
        <v>990</v>
      </c>
    </row>
    <row r="269" spans="2:7">
      <c r="B269">
        <v>267</v>
      </c>
      <c r="C269">
        <v>9</v>
      </c>
      <c r="D269">
        <v>9</v>
      </c>
      <c r="E269" t="s">
        <v>82</v>
      </c>
      <c r="F269">
        <v>1485</v>
      </c>
      <c r="G269">
        <f>ROUNDUP(G268*1.7,-1)</f>
        <v>1690</v>
      </c>
    </row>
    <row r="270" spans="2:7">
      <c r="B270">
        <v>268</v>
      </c>
      <c r="C270">
        <v>9</v>
      </c>
      <c r="D270">
        <v>10</v>
      </c>
      <c r="E270" t="s">
        <v>43</v>
      </c>
      <c r="F270">
        <v>300</v>
      </c>
      <c r="G270">
        <f>G267+5</f>
        <v>500</v>
      </c>
    </row>
    <row r="271" spans="2:7">
      <c r="B271">
        <v>269</v>
      </c>
      <c r="C271">
        <v>9</v>
      </c>
      <c r="D271">
        <v>10</v>
      </c>
      <c r="E271" t="s">
        <v>81</v>
      </c>
      <c r="F271">
        <v>500</v>
      </c>
      <c r="G271">
        <f>G270*2</f>
        <v>1000</v>
      </c>
    </row>
    <row r="272" spans="2:7">
      <c r="B272">
        <v>270</v>
      </c>
      <c r="C272">
        <v>9</v>
      </c>
      <c r="D272">
        <v>10</v>
      </c>
      <c r="E272" t="s">
        <v>82</v>
      </c>
      <c r="F272">
        <v>1500</v>
      </c>
      <c r="G272">
        <f>ROUNDUP(G271*1.7,-1)</f>
        <v>1700</v>
      </c>
    </row>
    <row r="273" spans="2:7">
      <c r="B273">
        <v>271</v>
      </c>
      <c r="C273">
        <v>10</v>
      </c>
      <c r="D273">
        <v>1</v>
      </c>
      <c r="E273" t="s">
        <v>43</v>
      </c>
      <c r="F273">
        <v>303</v>
      </c>
      <c r="G273">
        <f>G270+5</f>
        <v>505</v>
      </c>
    </row>
    <row r="274" spans="2:7">
      <c r="B274">
        <v>272</v>
      </c>
      <c r="C274">
        <v>10</v>
      </c>
      <c r="D274">
        <v>1</v>
      </c>
      <c r="E274" t="s">
        <v>81</v>
      </c>
      <c r="F274">
        <v>505</v>
      </c>
      <c r="G274">
        <f>G273*2</f>
        <v>1010</v>
      </c>
    </row>
    <row r="275" spans="2:7">
      <c r="B275">
        <v>273</v>
      </c>
      <c r="C275">
        <v>10</v>
      </c>
      <c r="D275">
        <v>1</v>
      </c>
      <c r="E275" t="s">
        <v>82</v>
      </c>
      <c r="F275">
        <v>1515</v>
      </c>
      <c r="G275">
        <f>ROUNDUP(G274*1.7,-1)</f>
        <v>1720</v>
      </c>
    </row>
    <row r="276" spans="2:7">
      <c r="B276">
        <v>274</v>
      </c>
      <c r="C276">
        <v>10</v>
      </c>
      <c r="D276">
        <v>2</v>
      </c>
      <c r="E276" t="s">
        <v>43</v>
      </c>
      <c r="F276">
        <v>306</v>
      </c>
      <c r="G276">
        <f>G273+5</f>
        <v>510</v>
      </c>
    </row>
    <row r="277" spans="2:7">
      <c r="B277">
        <v>275</v>
      </c>
      <c r="C277">
        <v>10</v>
      </c>
      <c r="D277">
        <v>2</v>
      </c>
      <c r="E277" t="s">
        <v>81</v>
      </c>
      <c r="F277">
        <v>510</v>
      </c>
      <c r="G277">
        <f>G276*2</f>
        <v>1020</v>
      </c>
    </row>
    <row r="278" spans="2:7">
      <c r="B278">
        <v>276</v>
      </c>
      <c r="C278">
        <v>10</v>
      </c>
      <c r="D278">
        <v>2</v>
      </c>
      <c r="E278" t="s">
        <v>82</v>
      </c>
      <c r="F278">
        <v>1530</v>
      </c>
      <c r="G278">
        <f>ROUNDUP(G277*1.7,-1)</f>
        <v>1740</v>
      </c>
    </row>
    <row r="279" spans="2:7">
      <c r="B279">
        <v>277</v>
      </c>
      <c r="C279">
        <v>10</v>
      </c>
      <c r="D279">
        <v>3</v>
      </c>
      <c r="E279" t="s">
        <v>43</v>
      </c>
      <c r="F279">
        <v>309</v>
      </c>
      <c r="G279">
        <f>G276+5</f>
        <v>515</v>
      </c>
    </row>
    <row r="280" spans="2:7">
      <c r="B280">
        <v>278</v>
      </c>
      <c r="C280">
        <v>10</v>
      </c>
      <c r="D280">
        <v>3</v>
      </c>
      <c r="E280" t="s">
        <v>81</v>
      </c>
      <c r="F280">
        <v>515</v>
      </c>
      <c r="G280">
        <f>G279*2</f>
        <v>1030</v>
      </c>
    </row>
    <row r="281" spans="2:7">
      <c r="B281">
        <v>279</v>
      </c>
      <c r="C281">
        <v>10</v>
      </c>
      <c r="D281">
        <v>3</v>
      </c>
      <c r="E281" t="s">
        <v>82</v>
      </c>
      <c r="F281">
        <v>1545</v>
      </c>
      <c r="G281">
        <f>ROUNDUP(G280*1.7,-1)</f>
        <v>1760</v>
      </c>
    </row>
    <row r="282" spans="2:7">
      <c r="B282">
        <v>280</v>
      </c>
      <c r="C282">
        <v>10</v>
      </c>
      <c r="D282">
        <v>4</v>
      </c>
      <c r="E282" t="s">
        <v>43</v>
      </c>
      <c r="F282">
        <v>312</v>
      </c>
      <c r="G282">
        <f>G279+5</f>
        <v>520</v>
      </c>
    </row>
    <row r="283" spans="2:7">
      <c r="B283">
        <v>281</v>
      </c>
      <c r="C283">
        <v>10</v>
      </c>
      <c r="D283">
        <v>4</v>
      </c>
      <c r="E283" t="s">
        <v>81</v>
      </c>
      <c r="F283">
        <v>520</v>
      </c>
      <c r="G283">
        <f>G282*2</f>
        <v>1040</v>
      </c>
    </row>
    <row r="284" spans="2:7">
      <c r="B284">
        <v>282</v>
      </c>
      <c r="C284">
        <v>10</v>
      </c>
      <c r="D284">
        <v>4</v>
      </c>
      <c r="E284" t="s">
        <v>82</v>
      </c>
      <c r="F284">
        <v>1560</v>
      </c>
      <c r="G284">
        <f>ROUNDUP(G283*1.7,-1)</f>
        <v>1770</v>
      </c>
    </row>
    <row r="285" spans="2:7">
      <c r="B285">
        <v>283</v>
      </c>
      <c r="C285">
        <v>10</v>
      </c>
      <c r="D285">
        <v>5</v>
      </c>
      <c r="E285" t="s">
        <v>43</v>
      </c>
      <c r="F285">
        <v>315</v>
      </c>
      <c r="G285">
        <f>G282+5</f>
        <v>525</v>
      </c>
    </row>
    <row r="286" spans="2:7">
      <c r="B286">
        <v>284</v>
      </c>
      <c r="C286">
        <v>10</v>
      </c>
      <c r="D286">
        <v>5</v>
      </c>
      <c r="E286" t="s">
        <v>81</v>
      </c>
      <c r="F286">
        <v>525</v>
      </c>
      <c r="G286">
        <f>G285*2</f>
        <v>1050</v>
      </c>
    </row>
    <row r="287" spans="2:7">
      <c r="B287">
        <v>285</v>
      </c>
      <c r="C287">
        <v>10</v>
      </c>
      <c r="D287">
        <v>5</v>
      </c>
      <c r="E287" t="s">
        <v>82</v>
      </c>
      <c r="F287">
        <v>1575</v>
      </c>
      <c r="G287">
        <f>ROUNDUP(G286*1.7,-1)</f>
        <v>1790</v>
      </c>
    </row>
    <row r="288" spans="2:7">
      <c r="B288">
        <v>286</v>
      </c>
      <c r="C288">
        <v>10</v>
      </c>
      <c r="D288">
        <v>6</v>
      </c>
      <c r="E288" t="s">
        <v>43</v>
      </c>
      <c r="F288">
        <v>318</v>
      </c>
      <c r="G288">
        <f>G285+5</f>
        <v>530</v>
      </c>
    </row>
    <row r="289" spans="2:7">
      <c r="B289">
        <v>287</v>
      </c>
      <c r="C289">
        <v>10</v>
      </c>
      <c r="D289">
        <v>6</v>
      </c>
      <c r="E289" t="s">
        <v>81</v>
      </c>
      <c r="F289">
        <v>530</v>
      </c>
      <c r="G289">
        <f>G288*2</f>
        <v>1060</v>
      </c>
    </row>
    <row r="290" spans="2:7">
      <c r="B290">
        <v>288</v>
      </c>
      <c r="C290">
        <v>10</v>
      </c>
      <c r="D290">
        <v>6</v>
      </c>
      <c r="E290" t="s">
        <v>82</v>
      </c>
      <c r="F290">
        <v>1590</v>
      </c>
      <c r="G290">
        <f>ROUNDUP(G289*1.7,-1)</f>
        <v>1810</v>
      </c>
    </row>
    <row r="291" spans="2:7">
      <c r="B291">
        <v>289</v>
      </c>
      <c r="C291">
        <v>10</v>
      </c>
      <c r="D291">
        <v>7</v>
      </c>
      <c r="E291" t="s">
        <v>43</v>
      </c>
      <c r="F291">
        <v>321</v>
      </c>
      <c r="G291">
        <f>G288+5</f>
        <v>535</v>
      </c>
    </row>
    <row r="292" spans="2:7">
      <c r="B292">
        <v>290</v>
      </c>
      <c r="C292">
        <v>10</v>
      </c>
      <c r="D292">
        <v>7</v>
      </c>
      <c r="E292" t="s">
        <v>81</v>
      </c>
      <c r="F292">
        <v>535</v>
      </c>
      <c r="G292">
        <f>G291*2</f>
        <v>1070</v>
      </c>
    </row>
    <row r="293" spans="2:7">
      <c r="B293">
        <v>291</v>
      </c>
      <c r="C293">
        <v>10</v>
      </c>
      <c r="D293">
        <v>7</v>
      </c>
      <c r="E293" t="s">
        <v>82</v>
      </c>
      <c r="F293">
        <v>1605</v>
      </c>
      <c r="G293">
        <f>ROUNDUP(G292*1.7,-1)</f>
        <v>1820</v>
      </c>
    </row>
    <row r="294" spans="2:7">
      <c r="B294">
        <v>292</v>
      </c>
      <c r="C294">
        <v>10</v>
      </c>
      <c r="D294">
        <v>8</v>
      </c>
      <c r="E294" t="s">
        <v>43</v>
      </c>
      <c r="F294">
        <v>324</v>
      </c>
      <c r="G294">
        <f>G291+5</f>
        <v>540</v>
      </c>
    </row>
    <row r="295" spans="2:7">
      <c r="B295">
        <v>293</v>
      </c>
      <c r="C295">
        <v>10</v>
      </c>
      <c r="D295">
        <v>8</v>
      </c>
      <c r="E295" t="s">
        <v>81</v>
      </c>
      <c r="F295">
        <v>540</v>
      </c>
      <c r="G295">
        <f>G294*2</f>
        <v>1080</v>
      </c>
    </row>
    <row r="296" spans="2:7">
      <c r="B296">
        <v>294</v>
      </c>
      <c r="C296">
        <v>10</v>
      </c>
      <c r="D296">
        <v>8</v>
      </c>
      <c r="E296" t="s">
        <v>82</v>
      </c>
      <c r="F296">
        <v>1620</v>
      </c>
      <c r="G296">
        <f>ROUNDUP(G295*1.7,-1)</f>
        <v>1840</v>
      </c>
    </row>
    <row r="297" spans="2:7">
      <c r="B297">
        <v>295</v>
      </c>
      <c r="C297">
        <v>10</v>
      </c>
      <c r="D297">
        <v>9</v>
      </c>
      <c r="E297" t="s">
        <v>43</v>
      </c>
      <c r="F297">
        <v>327</v>
      </c>
      <c r="G297">
        <f>G294+5</f>
        <v>545</v>
      </c>
    </row>
    <row r="298" spans="2:7">
      <c r="B298">
        <v>296</v>
      </c>
      <c r="C298">
        <v>10</v>
      </c>
      <c r="D298">
        <v>9</v>
      </c>
      <c r="E298" t="s">
        <v>81</v>
      </c>
      <c r="F298">
        <v>545</v>
      </c>
      <c r="G298">
        <f>G297*2</f>
        <v>1090</v>
      </c>
    </row>
    <row r="299" spans="2:7">
      <c r="B299">
        <v>297</v>
      </c>
      <c r="C299">
        <v>10</v>
      </c>
      <c r="D299">
        <v>9</v>
      </c>
      <c r="E299" t="s">
        <v>82</v>
      </c>
      <c r="F299">
        <v>1635</v>
      </c>
      <c r="G299">
        <f>ROUNDUP(G298*1.7,-1)</f>
        <v>1860</v>
      </c>
    </row>
    <row r="300" spans="2:7">
      <c r="B300">
        <v>298</v>
      </c>
      <c r="C300">
        <v>10</v>
      </c>
      <c r="D300">
        <v>10</v>
      </c>
      <c r="E300" t="s">
        <v>43</v>
      </c>
      <c r="F300">
        <v>330</v>
      </c>
      <c r="G300">
        <f>G297+5</f>
        <v>550</v>
      </c>
    </row>
    <row r="301" spans="2:7">
      <c r="B301">
        <v>299</v>
      </c>
      <c r="C301">
        <v>10</v>
      </c>
      <c r="D301">
        <v>10</v>
      </c>
      <c r="E301" t="s">
        <v>81</v>
      </c>
      <c r="F301">
        <v>550</v>
      </c>
      <c r="G301">
        <f>G300*2</f>
        <v>1100</v>
      </c>
    </row>
    <row r="302" spans="2:7">
      <c r="B302">
        <v>300</v>
      </c>
      <c r="C302">
        <v>10</v>
      </c>
      <c r="D302">
        <v>10</v>
      </c>
      <c r="E302" t="s">
        <v>82</v>
      </c>
      <c r="F302">
        <v>1650</v>
      </c>
      <c r="G302">
        <f>ROUNDUP(G301*1.7,-1)</f>
        <v>1870</v>
      </c>
    </row>
  </sheetData>
  <phoneticPr fontId="1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Q127"/>
  <sheetViews>
    <sheetView workbookViewId="0"/>
  </sheetViews>
  <sheetFormatPr defaultRowHeight="16.5"/>
  <cols>
    <col min="5" max="5" width="13.625" customWidth="1"/>
    <col min="6" max="6" width="10.625" customWidth="1"/>
    <col min="7" max="7" width="13.625" customWidth="1"/>
    <col min="8" max="8" width="10.625" customWidth="1"/>
    <col min="9" max="9" width="13.625" customWidth="1"/>
    <col min="10" max="10" width="10.625" customWidth="1"/>
    <col min="11" max="11" width="13.625" customWidth="1"/>
    <col min="12" max="12" width="10.625" customWidth="1"/>
    <col min="13" max="13" width="13.625" customWidth="1"/>
    <col min="14" max="14" width="10.625" customWidth="1"/>
    <col min="15" max="15" width="13.625" customWidth="1"/>
    <col min="16" max="16" width="10.625" customWidth="1"/>
    <col min="17" max="17" width="11" customWidth="1"/>
  </cols>
  <sheetData>
    <row r="2" spans="2:17">
      <c r="B2" t="s">
        <v>77</v>
      </c>
      <c r="C2" t="s">
        <v>78</v>
      </c>
      <c r="D2" t="s">
        <v>79</v>
      </c>
      <c r="E2" t="s">
        <v>83</v>
      </c>
      <c r="F2" t="s">
        <v>84</v>
      </c>
      <c r="G2" t="s">
        <v>85</v>
      </c>
      <c r="H2" t="s">
        <v>86</v>
      </c>
      <c r="I2" t="s">
        <v>87</v>
      </c>
      <c r="J2" t="s">
        <v>88</v>
      </c>
      <c r="K2" t="s">
        <v>89</v>
      </c>
      <c r="L2" t="s">
        <v>90</v>
      </c>
      <c r="M2" t="s">
        <v>91</v>
      </c>
      <c r="N2" t="s">
        <v>92</v>
      </c>
      <c r="O2" t="s">
        <v>93</v>
      </c>
      <c r="P2" t="s">
        <v>94</v>
      </c>
      <c r="Q2" t="s">
        <v>95</v>
      </c>
    </row>
    <row r="3" spans="2:17">
      <c r="B3">
        <v>1</v>
      </c>
      <c r="C3">
        <v>1</v>
      </c>
      <c r="D3">
        <v>1</v>
      </c>
      <c r="E3" s="9" t="s">
        <v>96</v>
      </c>
      <c r="F3" s="9" t="s">
        <v>97</v>
      </c>
      <c r="G3" s="9" t="s">
        <v>98</v>
      </c>
      <c r="H3" s="9" t="s">
        <v>97</v>
      </c>
      <c r="I3" s="9" t="s">
        <v>96</v>
      </c>
      <c r="J3" s="9" t="s">
        <v>97</v>
      </c>
      <c r="K3" s="9"/>
      <c r="L3" s="9"/>
      <c r="M3" s="9"/>
      <c r="N3" s="9"/>
      <c r="O3" s="9"/>
      <c r="P3" s="9"/>
      <c r="Q3" t="s">
        <v>99</v>
      </c>
    </row>
    <row r="4" spans="2:17">
      <c r="B4">
        <v>2</v>
      </c>
      <c r="C4">
        <v>1</v>
      </c>
      <c r="D4">
        <v>2</v>
      </c>
      <c r="E4" s="9" t="s">
        <v>98</v>
      </c>
      <c r="F4" s="9" t="s">
        <v>97</v>
      </c>
      <c r="G4" s="9" t="s">
        <v>96</v>
      </c>
      <c r="H4" s="9" t="s">
        <v>97</v>
      </c>
      <c r="I4" s="9" t="s">
        <v>98</v>
      </c>
      <c r="J4" s="9" t="s">
        <v>97</v>
      </c>
      <c r="K4" s="9"/>
      <c r="L4" s="9"/>
      <c r="M4" s="9"/>
      <c r="N4" s="9"/>
      <c r="O4" s="9"/>
      <c r="P4" s="9"/>
      <c r="Q4" t="s">
        <v>99</v>
      </c>
    </row>
    <row r="5" spans="2:17">
      <c r="B5">
        <v>3</v>
      </c>
      <c r="C5">
        <v>1</v>
      </c>
      <c r="D5">
        <v>3</v>
      </c>
      <c r="E5" s="9" t="s">
        <v>96</v>
      </c>
      <c r="F5" s="9" t="s">
        <v>97</v>
      </c>
      <c r="G5" s="9" t="s">
        <v>98</v>
      </c>
      <c r="H5" s="9" t="s">
        <v>97</v>
      </c>
      <c r="I5" s="9" t="s">
        <v>96</v>
      </c>
      <c r="J5" s="9" t="s">
        <v>97</v>
      </c>
      <c r="K5" s="9"/>
      <c r="L5" s="9"/>
      <c r="M5" s="9"/>
      <c r="N5" s="9"/>
      <c r="O5" s="9"/>
      <c r="P5" s="9"/>
      <c r="Q5" t="s">
        <v>99</v>
      </c>
    </row>
    <row r="6" spans="2:17">
      <c r="B6">
        <v>4</v>
      </c>
      <c r="C6">
        <v>1</v>
      </c>
      <c r="D6">
        <v>4</v>
      </c>
      <c r="E6" s="9" t="s">
        <v>98</v>
      </c>
      <c r="F6" s="9" t="s">
        <v>97</v>
      </c>
      <c r="G6" s="9" t="s">
        <v>96</v>
      </c>
      <c r="H6" s="9" t="s">
        <v>97</v>
      </c>
      <c r="I6" s="9" t="s">
        <v>100</v>
      </c>
      <c r="J6" s="9" t="s">
        <v>97</v>
      </c>
      <c r="K6" s="9"/>
      <c r="L6" s="9"/>
      <c r="M6" s="9"/>
      <c r="N6" s="9"/>
      <c r="O6" s="9"/>
      <c r="P6" s="9"/>
      <c r="Q6" t="s">
        <v>99</v>
      </c>
    </row>
    <row r="7" spans="2:17">
      <c r="B7">
        <v>5</v>
      </c>
      <c r="C7">
        <v>1</v>
      </c>
      <c r="D7">
        <v>5</v>
      </c>
      <c r="E7" s="9" t="s">
        <v>96</v>
      </c>
      <c r="F7" s="9" t="s">
        <v>97</v>
      </c>
      <c r="G7" s="9" t="s">
        <v>98</v>
      </c>
      <c r="H7" s="9" t="s">
        <v>97</v>
      </c>
      <c r="I7" s="9" t="s">
        <v>100</v>
      </c>
      <c r="J7" s="9" t="s">
        <v>97</v>
      </c>
      <c r="K7" s="9"/>
      <c r="L7" s="9"/>
      <c r="M7" s="9"/>
      <c r="N7" s="9"/>
      <c r="O7" s="9"/>
      <c r="P7" s="9"/>
      <c r="Q7" t="s">
        <v>99</v>
      </c>
    </row>
    <row r="8" spans="2:17">
      <c r="B8">
        <v>6</v>
      </c>
      <c r="C8">
        <v>1</v>
      </c>
      <c r="D8">
        <v>6</v>
      </c>
      <c r="E8" s="9" t="s">
        <v>98</v>
      </c>
      <c r="F8" s="9" t="s">
        <v>97</v>
      </c>
      <c r="G8" s="9" t="s">
        <v>96</v>
      </c>
      <c r="H8" s="9" t="s">
        <v>97</v>
      </c>
      <c r="I8" s="9" t="s">
        <v>100</v>
      </c>
      <c r="J8" s="9" t="s">
        <v>97</v>
      </c>
      <c r="K8" s="9"/>
      <c r="L8" s="9"/>
      <c r="M8" s="9"/>
      <c r="N8" s="9"/>
      <c r="O8" s="9"/>
      <c r="P8" s="9"/>
      <c r="Q8" t="s">
        <v>99</v>
      </c>
    </row>
    <row r="9" spans="2:17">
      <c r="B9">
        <v>7</v>
      </c>
      <c r="C9">
        <v>1</v>
      </c>
      <c r="D9">
        <v>7</v>
      </c>
      <c r="E9" s="9" t="s">
        <v>96</v>
      </c>
      <c r="F9" s="9" t="s">
        <v>97</v>
      </c>
      <c r="G9" s="9" t="s">
        <v>98</v>
      </c>
      <c r="H9" s="9" t="s">
        <v>97</v>
      </c>
      <c r="I9" s="9" t="s">
        <v>96</v>
      </c>
      <c r="J9" s="9" t="s">
        <v>97</v>
      </c>
      <c r="K9" s="9" t="s">
        <v>100</v>
      </c>
      <c r="L9" s="9" t="s">
        <v>97</v>
      </c>
      <c r="M9" s="9"/>
      <c r="N9" s="9"/>
      <c r="O9" s="9"/>
      <c r="P9" s="9"/>
      <c r="Q9" t="s">
        <v>99</v>
      </c>
    </row>
    <row r="10" spans="2:17">
      <c r="B10">
        <v>8</v>
      </c>
      <c r="C10">
        <v>1</v>
      </c>
      <c r="D10">
        <v>8</v>
      </c>
      <c r="E10" s="9" t="s">
        <v>98</v>
      </c>
      <c r="F10" s="9" t="s">
        <v>97</v>
      </c>
      <c r="G10" s="9" t="s">
        <v>96</v>
      </c>
      <c r="H10" s="9" t="s">
        <v>97</v>
      </c>
      <c r="I10" s="9" t="s">
        <v>98</v>
      </c>
      <c r="J10" s="9" t="s">
        <v>97</v>
      </c>
      <c r="K10" s="9" t="s">
        <v>100</v>
      </c>
      <c r="L10" s="9" t="s">
        <v>43</v>
      </c>
      <c r="M10" s="9"/>
      <c r="N10" s="9"/>
      <c r="O10" s="9"/>
      <c r="P10" s="9"/>
      <c r="Q10" t="s">
        <v>99</v>
      </c>
    </row>
    <row r="11" spans="2:17">
      <c r="B11">
        <v>9</v>
      </c>
      <c r="C11">
        <v>1</v>
      </c>
      <c r="D11">
        <v>9</v>
      </c>
      <c r="E11" s="9" t="s">
        <v>96</v>
      </c>
      <c r="F11" s="9" t="s">
        <v>97</v>
      </c>
      <c r="G11" s="9" t="s">
        <v>98</v>
      </c>
      <c r="H11" s="9" t="s">
        <v>97</v>
      </c>
      <c r="I11" s="9" t="s">
        <v>96</v>
      </c>
      <c r="J11" s="9" t="s">
        <v>97</v>
      </c>
      <c r="K11" s="9" t="s">
        <v>100</v>
      </c>
      <c r="L11" s="9" t="s">
        <v>43</v>
      </c>
      <c r="M11" s="9"/>
      <c r="N11" s="9"/>
      <c r="O11" s="9"/>
      <c r="P11" s="9"/>
      <c r="Q11" t="s">
        <v>99</v>
      </c>
    </row>
    <row r="12" spans="2:17">
      <c r="B12">
        <v>10</v>
      </c>
      <c r="C12">
        <v>1</v>
      </c>
      <c r="D12">
        <v>10</v>
      </c>
      <c r="E12" s="9" t="s">
        <v>98</v>
      </c>
      <c r="F12" s="9" t="s">
        <v>97</v>
      </c>
      <c r="G12" s="9" t="s">
        <v>96</v>
      </c>
      <c r="H12" s="9" t="s">
        <v>97</v>
      </c>
      <c r="I12" s="9" t="s">
        <v>98</v>
      </c>
      <c r="J12" s="9" t="s">
        <v>97</v>
      </c>
      <c r="K12" s="9" t="s">
        <v>100</v>
      </c>
      <c r="L12" s="9" t="s">
        <v>43</v>
      </c>
      <c r="M12" s="9"/>
      <c r="N12" s="9"/>
      <c r="O12" s="9"/>
      <c r="P12" s="9"/>
      <c r="Q12" t="s">
        <v>99</v>
      </c>
    </row>
    <row r="13" spans="2:17">
      <c r="B13">
        <v>11</v>
      </c>
      <c r="C13">
        <v>2</v>
      </c>
      <c r="D13">
        <v>1</v>
      </c>
      <c r="E13" s="9" t="s">
        <v>100</v>
      </c>
      <c r="F13" s="9" t="s">
        <v>97</v>
      </c>
      <c r="G13" s="9" t="s">
        <v>98</v>
      </c>
      <c r="H13" s="9" t="s">
        <v>97</v>
      </c>
      <c r="I13" s="9" t="s">
        <v>96</v>
      </c>
      <c r="J13" s="9" t="s">
        <v>97</v>
      </c>
      <c r="K13" s="9" t="s">
        <v>100</v>
      </c>
      <c r="L13" s="9" t="s">
        <v>97</v>
      </c>
      <c r="M13" s="9"/>
      <c r="N13" s="9"/>
      <c r="O13" s="9"/>
      <c r="P13" s="9"/>
      <c r="Q13" t="s">
        <v>101</v>
      </c>
    </row>
    <row r="14" spans="2:17">
      <c r="B14">
        <v>12</v>
      </c>
      <c r="C14">
        <v>2</v>
      </c>
      <c r="D14">
        <v>2</v>
      </c>
      <c r="E14" s="9" t="s">
        <v>98</v>
      </c>
      <c r="F14" s="9" t="s">
        <v>97</v>
      </c>
      <c r="G14" s="9" t="s">
        <v>96</v>
      </c>
      <c r="H14" s="9" t="s">
        <v>97</v>
      </c>
      <c r="I14" s="9" t="s">
        <v>100</v>
      </c>
      <c r="J14" s="9" t="s">
        <v>97</v>
      </c>
      <c r="K14" s="9" t="s">
        <v>98</v>
      </c>
      <c r="L14" s="9" t="s">
        <v>97</v>
      </c>
      <c r="M14" s="9"/>
      <c r="N14" s="9"/>
      <c r="O14" s="9"/>
      <c r="P14" s="9"/>
      <c r="Q14" t="s">
        <v>101</v>
      </c>
    </row>
    <row r="15" spans="2:17">
      <c r="B15">
        <v>13</v>
      </c>
      <c r="C15">
        <v>2</v>
      </c>
      <c r="D15">
        <v>3</v>
      </c>
      <c r="E15" s="9" t="s">
        <v>96</v>
      </c>
      <c r="F15" s="9" t="s">
        <v>97</v>
      </c>
      <c r="G15" s="9" t="s">
        <v>100</v>
      </c>
      <c r="H15" s="9" t="s">
        <v>97</v>
      </c>
      <c r="I15" s="9" t="s">
        <v>98</v>
      </c>
      <c r="J15" s="9" t="s">
        <v>97</v>
      </c>
      <c r="K15" s="9" t="s">
        <v>96</v>
      </c>
      <c r="L15" s="9" t="s">
        <v>97</v>
      </c>
      <c r="M15" s="9"/>
      <c r="N15" s="9"/>
      <c r="O15" s="9"/>
      <c r="P15" s="9"/>
      <c r="Q15" t="s">
        <v>101</v>
      </c>
    </row>
    <row r="16" spans="2:17">
      <c r="B16">
        <v>14</v>
      </c>
      <c r="C16">
        <v>2</v>
      </c>
      <c r="D16">
        <v>4</v>
      </c>
      <c r="E16" s="9" t="s">
        <v>100</v>
      </c>
      <c r="F16" s="9" t="s">
        <v>97</v>
      </c>
      <c r="G16" s="9" t="s">
        <v>98</v>
      </c>
      <c r="H16" s="9" t="s">
        <v>97</v>
      </c>
      <c r="I16" s="9" t="s">
        <v>96</v>
      </c>
      <c r="J16" s="9" t="s">
        <v>97</v>
      </c>
      <c r="K16" s="9" t="s">
        <v>102</v>
      </c>
      <c r="L16" s="9" t="s">
        <v>97</v>
      </c>
      <c r="M16" s="9"/>
      <c r="N16" s="9"/>
      <c r="O16" s="9"/>
      <c r="P16" s="9"/>
      <c r="Q16" t="s">
        <v>101</v>
      </c>
    </row>
    <row r="17" spans="2:17">
      <c r="B17">
        <v>15</v>
      </c>
      <c r="C17">
        <v>2</v>
      </c>
      <c r="D17">
        <v>5</v>
      </c>
      <c r="E17" s="9" t="s">
        <v>98</v>
      </c>
      <c r="F17" s="9" t="s">
        <v>97</v>
      </c>
      <c r="G17" s="9" t="s">
        <v>96</v>
      </c>
      <c r="H17" s="9" t="s">
        <v>97</v>
      </c>
      <c r="I17" s="9" t="s">
        <v>100</v>
      </c>
      <c r="J17" s="9" t="s">
        <v>97</v>
      </c>
      <c r="K17" s="9" t="s">
        <v>102</v>
      </c>
      <c r="L17" s="9" t="s">
        <v>97</v>
      </c>
      <c r="M17" s="9"/>
      <c r="N17" s="9"/>
      <c r="O17" s="9"/>
      <c r="P17" s="9"/>
      <c r="Q17" t="s">
        <v>101</v>
      </c>
    </row>
    <row r="18" spans="2:17">
      <c r="B18">
        <v>16</v>
      </c>
      <c r="C18">
        <v>2</v>
      </c>
      <c r="D18">
        <v>6</v>
      </c>
      <c r="E18" s="9" t="s">
        <v>96</v>
      </c>
      <c r="F18" s="9" t="s">
        <v>97</v>
      </c>
      <c r="G18" s="9" t="s">
        <v>100</v>
      </c>
      <c r="H18" s="9" t="s">
        <v>97</v>
      </c>
      <c r="I18" s="9" t="s">
        <v>98</v>
      </c>
      <c r="J18" s="9" t="s">
        <v>97</v>
      </c>
      <c r="K18" s="9" t="s">
        <v>102</v>
      </c>
      <c r="L18" s="9" t="s">
        <v>97</v>
      </c>
      <c r="M18" s="9"/>
      <c r="N18" s="9"/>
      <c r="O18" s="9"/>
      <c r="P18" s="9"/>
      <c r="Q18" t="s">
        <v>101</v>
      </c>
    </row>
    <row r="19" spans="2:17">
      <c r="B19">
        <v>17</v>
      </c>
      <c r="C19">
        <v>2</v>
      </c>
      <c r="D19">
        <v>7</v>
      </c>
      <c r="E19" s="9" t="s">
        <v>100</v>
      </c>
      <c r="F19" s="9" t="s">
        <v>97</v>
      </c>
      <c r="G19" s="9" t="s">
        <v>98</v>
      </c>
      <c r="H19" s="9" t="s">
        <v>97</v>
      </c>
      <c r="I19" s="9" t="s">
        <v>96</v>
      </c>
      <c r="J19" s="9" t="s">
        <v>97</v>
      </c>
      <c r="K19" s="9" t="s">
        <v>102</v>
      </c>
      <c r="L19" s="9" t="s">
        <v>97</v>
      </c>
      <c r="M19" s="9"/>
      <c r="N19" s="9"/>
      <c r="O19" s="9"/>
      <c r="P19" s="9"/>
      <c r="Q19" t="s">
        <v>101</v>
      </c>
    </row>
    <row r="20" spans="2:17">
      <c r="B20">
        <v>18</v>
      </c>
      <c r="C20">
        <v>2</v>
      </c>
      <c r="D20">
        <v>8</v>
      </c>
      <c r="E20" s="9" t="s">
        <v>98</v>
      </c>
      <c r="F20" s="9" t="s">
        <v>97</v>
      </c>
      <c r="G20" s="9" t="s">
        <v>96</v>
      </c>
      <c r="H20" s="9" t="s">
        <v>97</v>
      </c>
      <c r="I20" s="9" t="s">
        <v>100</v>
      </c>
      <c r="J20" s="9" t="s">
        <v>97</v>
      </c>
      <c r="K20" s="9" t="s">
        <v>102</v>
      </c>
      <c r="L20" s="9" t="s">
        <v>43</v>
      </c>
      <c r="M20" s="9"/>
      <c r="N20" s="9"/>
      <c r="O20" s="9"/>
      <c r="P20" s="9"/>
      <c r="Q20" t="s">
        <v>101</v>
      </c>
    </row>
    <row r="21" spans="2:17">
      <c r="B21">
        <v>19</v>
      </c>
      <c r="C21">
        <v>2</v>
      </c>
      <c r="D21">
        <v>9</v>
      </c>
      <c r="E21" s="9" t="s">
        <v>96</v>
      </c>
      <c r="F21" s="9" t="s">
        <v>97</v>
      </c>
      <c r="G21" s="9" t="s">
        <v>100</v>
      </c>
      <c r="H21" s="9" t="s">
        <v>97</v>
      </c>
      <c r="I21" s="9" t="s">
        <v>98</v>
      </c>
      <c r="J21" s="9" t="s">
        <v>97</v>
      </c>
      <c r="K21" s="9" t="s">
        <v>102</v>
      </c>
      <c r="L21" s="9" t="s">
        <v>43</v>
      </c>
      <c r="M21" s="9"/>
      <c r="N21" s="9"/>
      <c r="O21" s="9"/>
      <c r="P21" s="9"/>
      <c r="Q21" t="s">
        <v>101</v>
      </c>
    </row>
    <row r="22" spans="2:17">
      <c r="B22">
        <v>20</v>
      </c>
      <c r="C22">
        <v>2</v>
      </c>
      <c r="D22">
        <v>10</v>
      </c>
      <c r="E22" s="9" t="s">
        <v>100</v>
      </c>
      <c r="F22" s="9" t="s">
        <v>97</v>
      </c>
      <c r="G22" s="9" t="s">
        <v>98</v>
      </c>
      <c r="H22" s="9" t="s">
        <v>97</v>
      </c>
      <c r="I22" s="9" t="s">
        <v>96</v>
      </c>
      <c r="J22" s="9" t="s">
        <v>97</v>
      </c>
      <c r="K22" s="9" t="s">
        <v>102</v>
      </c>
      <c r="L22" s="9" t="s">
        <v>43</v>
      </c>
      <c r="M22" s="9"/>
      <c r="N22" s="9"/>
      <c r="O22" s="9"/>
      <c r="P22" s="9"/>
      <c r="Q22" t="s">
        <v>101</v>
      </c>
    </row>
    <row r="23" spans="2:17">
      <c r="B23">
        <v>21</v>
      </c>
      <c r="C23">
        <v>3</v>
      </c>
      <c r="D23">
        <v>1</v>
      </c>
      <c r="E23" s="9" t="s">
        <v>96</v>
      </c>
      <c r="F23" s="9" t="s">
        <v>97</v>
      </c>
      <c r="G23" s="9" t="s">
        <v>102</v>
      </c>
      <c r="H23" s="9" t="s">
        <v>97</v>
      </c>
      <c r="I23" s="9" t="s">
        <v>96</v>
      </c>
      <c r="J23" s="9" t="s">
        <v>97</v>
      </c>
      <c r="K23" s="9" t="s">
        <v>102</v>
      </c>
      <c r="L23" s="9" t="s">
        <v>97</v>
      </c>
      <c r="M23" s="9"/>
      <c r="N23" s="9"/>
      <c r="O23" s="9"/>
      <c r="P23" s="9"/>
      <c r="Q23" t="s">
        <v>103</v>
      </c>
    </row>
    <row r="24" spans="2:17">
      <c r="B24">
        <v>22</v>
      </c>
      <c r="C24">
        <v>3</v>
      </c>
      <c r="D24">
        <v>2</v>
      </c>
      <c r="E24" s="9" t="s">
        <v>100</v>
      </c>
      <c r="F24" s="9" t="s">
        <v>97</v>
      </c>
      <c r="G24" s="9" t="s">
        <v>98</v>
      </c>
      <c r="H24" s="9" t="s">
        <v>97</v>
      </c>
      <c r="I24" s="9" t="s">
        <v>100</v>
      </c>
      <c r="J24" s="9" t="s">
        <v>97</v>
      </c>
      <c r="K24" s="9" t="s">
        <v>104</v>
      </c>
      <c r="L24" s="9" t="s">
        <v>97</v>
      </c>
      <c r="M24" s="9"/>
      <c r="N24" s="9"/>
      <c r="O24" s="9"/>
      <c r="P24" s="9"/>
      <c r="Q24" t="s">
        <v>103</v>
      </c>
    </row>
    <row r="25" spans="2:17">
      <c r="B25">
        <v>23</v>
      </c>
      <c r="C25">
        <v>3</v>
      </c>
      <c r="D25">
        <v>3</v>
      </c>
      <c r="E25" s="9" t="s">
        <v>102</v>
      </c>
      <c r="F25" s="9" t="s">
        <v>97</v>
      </c>
      <c r="G25" s="9" t="s">
        <v>104</v>
      </c>
      <c r="H25" s="9" t="s">
        <v>97</v>
      </c>
      <c r="I25" s="9" t="s">
        <v>102</v>
      </c>
      <c r="J25" s="9" t="s">
        <v>97</v>
      </c>
      <c r="K25" s="9" t="s">
        <v>96</v>
      </c>
      <c r="L25" s="9" t="s">
        <v>97</v>
      </c>
      <c r="M25" s="9"/>
      <c r="N25" s="9"/>
      <c r="O25" s="9"/>
      <c r="P25" s="9"/>
      <c r="Q25" t="s">
        <v>103</v>
      </c>
    </row>
    <row r="26" spans="2:17">
      <c r="B26">
        <v>24</v>
      </c>
      <c r="C26">
        <v>3</v>
      </c>
      <c r="D26">
        <v>4</v>
      </c>
      <c r="E26" s="9" t="s">
        <v>98</v>
      </c>
      <c r="F26" s="9" t="s">
        <v>97</v>
      </c>
      <c r="G26" s="9" t="s">
        <v>100</v>
      </c>
      <c r="H26" s="9" t="s">
        <v>97</v>
      </c>
      <c r="I26" s="9" t="s">
        <v>98</v>
      </c>
      <c r="J26" s="9" t="s">
        <v>97</v>
      </c>
      <c r="K26" s="9" t="s">
        <v>104</v>
      </c>
      <c r="L26" s="9" t="s">
        <v>97</v>
      </c>
      <c r="M26" s="9"/>
      <c r="N26" s="9"/>
      <c r="O26" s="9"/>
      <c r="P26" s="9"/>
      <c r="Q26" t="s">
        <v>103</v>
      </c>
    </row>
    <row r="27" spans="2:17">
      <c r="B27">
        <v>25</v>
      </c>
      <c r="C27">
        <v>3</v>
      </c>
      <c r="D27">
        <v>5</v>
      </c>
      <c r="E27" s="9" t="s">
        <v>96</v>
      </c>
      <c r="F27" s="9" t="s">
        <v>97</v>
      </c>
      <c r="G27" s="9" t="s">
        <v>102</v>
      </c>
      <c r="H27" s="9" t="s">
        <v>97</v>
      </c>
      <c r="I27" s="9" t="s">
        <v>96</v>
      </c>
      <c r="J27" s="9" t="s">
        <v>97</v>
      </c>
      <c r="K27" s="9" t="s">
        <v>102</v>
      </c>
      <c r="L27" s="9" t="s">
        <v>97</v>
      </c>
      <c r="M27" s="9" t="s">
        <v>96</v>
      </c>
      <c r="N27" s="9" t="s">
        <v>97</v>
      </c>
      <c r="O27" s="9"/>
      <c r="P27" s="9"/>
      <c r="Q27" t="s">
        <v>103</v>
      </c>
    </row>
    <row r="28" spans="2:17">
      <c r="B28">
        <v>26</v>
      </c>
      <c r="C28">
        <v>3</v>
      </c>
      <c r="D28">
        <v>6</v>
      </c>
      <c r="E28" s="9" t="s">
        <v>100</v>
      </c>
      <c r="F28" s="9" t="s">
        <v>97</v>
      </c>
      <c r="G28" s="9" t="s">
        <v>104</v>
      </c>
      <c r="H28" s="9" t="s">
        <v>97</v>
      </c>
      <c r="I28" s="9" t="s">
        <v>100</v>
      </c>
      <c r="J28" s="9" t="s">
        <v>97</v>
      </c>
      <c r="K28" s="9" t="s">
        <v>98</v>
      </c>
      <c r="L28" s="9" t="s">
        <v>43</v>
      </c>
      <c r="M28" s="9" t="s">
        <v>104</v>
      </c>
      <c r="N28" s="9" t="s">
        <v>97</v>
      </c>
      <c r="O28" s="9"/>
      <c r="P28" s="9"/>
      <c r="Q28" t="s">
        <v>103</v>
      </c>
    </row>
    <row r="29" spans="2:17">
      <c r="B29">
        <v>27</v>
      </c>
      <c r="C29">
        <v>3</v>
      </c>
      <c r="D29">
        <v>7</v>
      </c>
      <c r="E29" s="9" t="s">
        <v>102</v>
      </c>
      <c r="F29" s="9" t="s">
        <v>97</v>
      </c>
      <c r="G29" s="9" t="s">
        <v>96</v>
      </c>
      <c r="H29" s="9" t="s">
        <v>97</v>
      </c>
      <c r="I29" s="9" t="s">
        <v>102</v>
      </c>
      <c r="J29" s="9" t="s">
        <v>97</v>
      </c>
      <c r="K29" s="9" t="s">
        <v>96</v>
      </c>
      <c r="L29" s="9" t="s">
        <v>43</v>
      </c>
      <c r="M29" s="9" t="s">
        <v>102</v>
      </c>
      <c r="N29" s="9" t="s">
        <v>43</v>
      </c>
      <c r="O29" s="9"/>
      <c r="P29" s="9"/>
      <c r="Q29" t="s">
        <v>103</v>
      </c>
    </row>
    <row r="30" spans="2:17">
      <c r="B30">
        <v>28</v>
      </c>
      <c r="C30">
        <v>3</v>
      </c>
      <c r="D30">
        <v>8</v>
      </c>
      <c r="E30" s="9" t="s">
        <v>98</v>
      </c>
      <c r="F30" s="9" t="s">
        <v>97</v>
      </c>
      <c r="G30" s="9" t="s">
        <v>100</v>
      </c>
      <c r="H30" s="9" t="s">
        <v>97</v>
      </c>
      <c r="I30" s="9" t="s">
        <v>98</v>
      </c>
      <c r="J30" s="9" t="s">
        <v>97</v>
      </c>
      <c r="K30" s="9" t="s">
        <v>100</v>
      </c>
      <c r="L30" s="9" t="s">
        <v>43</v>
      </c>
      <c r="M30" s="9" t="s">
        <v>104</v>
      </c>
      <c r="N30" s="9" t="s">
        <v>43</v>
      </c>
      <c r="O30" s="9"/>
      <c r="P30" s="9"/>
      <c r="Q30" t="s">
        <v>103</v>
      </c>
    </row>
    <row r="31" spans="2:17">
      <c r="B31">
        <v>29</v>
      </c>
      <c r="C31">
        <v>3</v>
      </c>
      <c r="D31">
        <v>9</v>
      </c>
      <c r="E31" s="9" t="s">
        <v>96</v>
      </c>
      <c r="F31" s="9" t="s">
        <v>97</v>
      </c>
      <c r="G31" s="9" t="s">
        <v>104</v>
      </c>
      <c r="H31" s="9" t="s">
        <v>43</v>
      </c>
      <c r="I31" s="9" t="s">
        <v>96</v>
      </c>
      <c r="J31" s="9" t="s">
        <v>97</v>
      </c>
      <c r="K31" s="9" t="s">
        <v>102</v>
      </c>
      <c r="L31" s="9" t="s">
        <v>43</v>
      </c>
      <c r="M31" s="9" t="s">
        <v>96</v>
      </c>
      <c r="N31" s="9" t="s">
        <v>43</v>
      </c>
      <c r="O31" s="9"/>
      <c r="P31" s="9"/>
      <c r="Q31" t="s">
        <v>103</v>
      </c>
    </row>
    <row r="32" spans="2:17">
      <c r="B32">
        <v>30</v>
      </c>
      <c r="C32">
        <v>3</v>
      </c>
      <c r="D32">
        <v>10</v>
      </c>
      <c r="E32" s="9" t="s">
        <v>100</v>
      </c>
      <c r="F32" s="9" t="s">
        <v>97</v>
      </c>
      <c r="G32" s="9" t="s">
        <v>98</v>
      </c>
      <c r="H32" s="9" t="s">
        <v>97</v>
      </c>
      <c r="I32" s="9" t="s">
        <v>100</v>
      </c>
      <c r="J32" s="9" t="s">
        <v>97</v>
      </c>
      <c r="K32" s="9" t="s">
        <v>98</v>
      </c>
      <c r="L32" s="9" t="s">
        <v>43</v>
      </c>
      <c r="M32" s="9" t="s">
        <v>104</v>
      </c>
      <c r="N32" s="9" t="s">
        <v>43</v>
      </c>
      <c r="O32" s="9"/>
      <c r="P32" s="9"/>
      <c r="Q32" t="s">
        <v>103</v>
      </c>
    </row>
    <row r="33" spans="2:17">
      <c r="B33">
        <v>31</v>
      </c>
      <c r="C33">
        <v>4</v>
      </c>
      <c r="D33">
        <v>1</v>
      </c>
      <c r="E33" s="9" t="s">
        <v>102</v>
      </c>
      <c r="F33" s="9" t="s">
        <v>97</v>
      </c>
      <c r="G33" s="9" t="s">
        <v>98</v>
      </c>
      <c r="H33" s="9" t="s">
        <v>97</v>
      </c>
      <c r="I33" s="9" t="s">
        <v>102</v>
      </c>
      <c r="J33" s="9" t="s">
        <v>97</v>
      </c>
      <c r="K33" s="9" t="s">
        <v>98</v>
      </c>
      <c r="L33" s="9" t="s">
        <v>97</v>
      </c>
      <c r="M33" s="9" t="s">
        <v>102</v>
      </c>
      <c r="N33" s="9" t="s">
        <v>97</v>
      </c>
      <c r="O33" s="9"/>
      <c r="P33" s="9"/>
      <c r="Q33" t="s">
        <v>105</v>
      </c>
    </row>
    <row r="34" spans="2:17">
      <c r="B34">
        <v>32</v>
      </c>
      <c r="C34">
        <v>4</v>
      </c>
      <c r="D34">
        <v>2</v>
      </c>
      <c r="E34" s="9" t="s">
        <v>104</v>
      </c>
      <c r="F34" s="9" t="s">
        <v>97</v>
      </c>
      <c r="G34" s="9" t="s">
        <v>100</v>
      </c>
      <c r="H34" s="9" t="s">
        <v>97</v>
      </c>
      <c r="I34" s="9" t="s">
        <v>104</v>
      </c>
      <c r="J34" s="9" t="s">
        <v>97</v>
      </c>
      <c r="K34" s="9" t="s">
        <v>100</v>
      </c>
      <c r="L34" s="9" t="s">
        <v>97</v>
      </c>
      <c r="M34" s="9" t="s">
        <v>106</v>
      </c>
      <c r="N34" s="9" t="s">
        <v>97</v>
      </c>
      <c r="O34" s="9"/>
      <c r="P34" s="9"/>
      <c r="Q34" t="s">
        <v>105</v>
      </c>
    </row>
    <row r="35" spans="2:17">
      <c r="B35">
        <v>33</v>
      </c>
      <c r="C35">
        <v>4</v>
      </c>
      <c r="D35">
        <v>3</v>
      </c>
      <c r="E35" s="9" t="s">
        <v>98</v>
      </c>
      <c r="F35" s="9" t="s">
        <v>97</v>
      </c>
      <c r="G35" s="9" t="s">
        <v>106</v>
      </c>
      <c r="H35" s="9" t="s">
        <v>97</v>
      </c>
      <c r="I35" s="9" t="s">
        <v>98</v>
      </c>
      <c r="J35" s="9" t="s">
        <v>97</v>
      </c>
      <c r="K35" s="9" t="s">
        <v>102</v>
      </c>
      <c r="L35" s="9" t="s">
        <v>97</v>
      </c>
      <c r="M35" s="9" t="s">
        <v>98</v>
      </c>
      <c r="N35" s="9" t="s">
        <v>97</v>
      </c>
      <c r="O35" s="9"/>
      <c r="P35" s="9"/>
      <c r="Q35" t="s">
        <v>105</v>
      </c>
    </row>
    <row r="36" spans="2:17">
      <c r="B36">
        <v>34</v>
      </c>
      <c r="C36">
        <v>4</v>
      </c>
      <c r="D36">
        <v>4</v>
      </c>
      <c r="E36" s="9" t="s">
        <v>100</v>
      </c>
      <c r="F36" s="9" t="s">
        <v>97</v>
      </c>
      <c r="G36" s="9" t="s">
        <v>104</v>
      </c>
      <c r="H36" s="9" t="s">
        <v>97</v>
      </c>
      <c r="I36" s="9" t="s">
        <v>100</v>
      </c>
      <c r="J36" s="9" t="s">
        <v>97</v>
      </c>
      <c r="K36" s="9" t="s">
        <v>104</v>
      </c>
      <c r="L36" s="9" t="s">
        <v>97</v>
      </c>
      <c r="M36" s="9" t="s">
        <v>106</v>
      </c>
      <c r="N36" s="9" t="s">
        <v>97</v>
      </c>
      <c r="O36" s="9"/>
      <c r="P36" s="9"/>
      <c r="Q36" t="s">
        <v>105</v>
      </c>
    </row>
    <row r="37" spans="2:17">
      <c r="B37">
        <v>35</v>
      </c>
      <c r="C37">
        <v>4</v>
      </c>
      <c r="D37">
        <v>5</v>
      </c>
      <c r="E37" s="9" t="s">
        <v>102</v>
      </c>
      <c r="F37" s="9" t="s">
        <v>97</v>
      </c>
      <c r="G37" s="9" t="s">
        <v>98</v>
      </c>
      <c r="H37" s="9" t="s">
        <v>97</v>
      </c>
      <c r="I37" s="9" t="s">
        <v>102</v>
      </c>
      <c r="J37" s="9" t="s">
        <v>97</v>
      </c>
      <c r="K37" s="9" t="s">
        <v>98</v>
      </c>
      <c r="L37" s="9" t="s">
        <v>97</v>
      </c>
      <c r="M37" s="9" t="s">
        <v>102</v>
      </c>
      <c r="N37" s="9" t="s">
        <v>43</v>
      </c>
      <c r="O37" s="9"/>
      <c r="P37" s="9"/>
      <c r="Q37" t="s">
        <v>105</v>
      </c>
    </row>
    <row r="38" spans="2:17">
      <c r="B38">
        <v>36</v>
      </c>
      <c r="C38">
        <v>4</v>
      </c>
      <c r="D38">
        <v>6</v>
      </c>
      <c r="E38" s="9" t="s">
        <v>104</v>
      </c>
      <c r="F38" s="9" t="s">
        <v>97</v>
      </c>
      <c r="G38" s="9" t="s">
        <v>106</v>
      </c>
      <c r="H38" s="9" t="s">
        <v>97</v>
      </c>
      <c r="I38" s="9" t="s">
        <v>104</v>
      </c>
      <c r="J38" s="9" t="s">
        <v>97</v>
      </c>
      <c r="K38" s="9" t="s">
        <v>100</v>
      </c>
      <c r="L38" s="9" t="s">
        <v>97</v>
      </c>
      <c r="M38" s="9" t="s">
        <v>106</v>
      </c>
      <c r="N38" s="9" t="s">
        <v>97</v>
      </c>
      <c r="O38" s="9"/>
      <c r="P38" s="9"/>
      <c r="Q38" t="s">
        <v>105</v>
      </c>
    </row>
    <row r="39" spans="2:17">
      <c r="B39">
        <v>37</v>
      </c>
      <c r="C39">
        <v>4</v>
      </c>
      <c r="D39">
        <v>7</v>
      </c>
      <c r="E39" s="9" t="s">
        <v>98</v>
      </c>
      <c r="F39" s="9" t="s">
        <v>97</v>
      </c>
      <c r="G39" s="9" t="s">
        <v>102</v>
      </c>
      <c r="H39" s="9" t="s">
        <v>97</v>
      </c>
      <c r="I39" s="9" t="s">
        <v>98</v>
      </c>
      <c r="J39" s="9" t="s">
        <v>97</v>
      </c>
      <c r="K39" s="9" t="s">
        <v>102</v>
      </c>
      <c r="L39" s="9" t="s">
        <v>97</v>
      </c>
      <c r="M39" s="9" t="s">
        <v>98</v>
      </c>
      <c r="N39" s="9" t="s">
        <v>43</v>
      </c>
      <c r="O39" s="9"/>
      <c r="P39" s="9"/>
      <c r="Q39" t="s">
        <v>105</v>
      </c>
    </row>
    <row r="40" spans="2:17">
      <c r="B40">
        <v>38</v>
      </c>
      <c r="C40">
        <v>4</v>
      </c>
      <c r="D40">
        <v>8</v>
      </c>
      <c r="E40" s="9" t="s">
        <v>100</v>
      </c>
      <c r="F40" s="9" t="s">
        <v>97</v>
      </c>
      <c r="G40" s="9" t="s">
        <v>104</v>
      </c>
      <c r="H40" s="9" t="s">
        <v>97</v>
      </c>
      <c r="I40" s="9" t="s">
        <v>100</v>
      </c>
      <c r="J40" s="9" t="s">
        <v>97</v>
      </c>
      <c r="K40" s="9" t="s">
        <v>104</v>
      </c>
      <c r="L40" s="9" t="s">
        <v>97</v>
      </c>
      <c r="M40" s="9" t="s">
        <v>106</v>
      </c>
      <c r="N40" s="9" t="s">
        <v>43</v>
      </c>
      <c r="O40" s="9"/>
      <c r="P40" s="9"/>
      <c r="Q40" t="s">
        <v>105</v>
      </c>
    </row>
    <row r="41" spans="2:17">
      <c r="B41">
        <v>39</v>
      </c>
      <c r="C41">
        <v>4</v>
      </c>
      <c r="D41">
        <v>9</v>
      </c>
      <c r="E41" s="9" t="s">
        <v>102</v>
      </c>
      <c r="F41" s="9" t="s">
        <v>97</v>
      </c>
      <c r="G41" s="9" t="s">
        <v>106</v>
      </c>
      <c r="H41" s="9" t="s">
        <v>43</v>
      </c>
      <c r="I41" s="9" t="s">
        <v>102</v>
      </c>
      <c r="J41" s="9" t="s">
        <v>97</v>
      </c>
      <c r="K41" s="9" t="s">
        <v>98</v>
      </c>
      <c r="L41" s="9" t="s">
        <v>97</v>
      </c>
      <c r="M41" s="9" t="s">
        <v>102</v>
      </c>
      <c r="N41" s="9" t="s">
        <v>43</v>
      </c>
      <c r="O41" s="9"/>
      <c r="P41" s="9"/>
      <c r="Q41" t="s">
        <v>105</v>
      </c>
    </row>
    <row r="42" spans="2:17">
      <c r="B42">
        <v>40</v>
      </c>
      <c r="C42">
        <v>4</v>
      </c>
      <c r="D42">
        <v>10</v>
      </c>
      <c r="E42" s="9" t="s">
        <v>104</v>
      </c>
      <c r="F42" s="9" t="s">
        <v>97</v>
      </c>
      <c r="G42" s="9" t="s">
        <v>100</v>
      </c>
      <c r="H42" s="9" t="s">
        <v>97</v>
      </c>
      <c r="I42" s="9" t="s">
        <v>104</v>
      </c>
      <c r="J42" s="9" t="s">
        <v>97</v>
      </c>
      <c r="K42" s="9" t="s">
        <v>100</v>
      </c>
      <c r="L42" s="9" t="s">
        <v>97</v>
      </c>
      <c r="M42" s="9" t="s">
        <v>106</v>
      </c>
      <c r="N42" s="9" t="s">
        <v>43</v>
      </c>
      <c r="O42" s="9"/>
      <c r="P42" s="9"/>
      <c r="Q42" t="s">
        <v>105</v>
      </c>
    </row>
    <row r="43" spans="2:17">
      <c r="B43">
        <v>41</v>
      </c>
      <c r="C43">
        <v>5</v>
      </c>
      <c r="D43">
        <v>1</v>
      </c>
      <c r="E43" s="9" t="s">
        <v>106</v>
      </c>
      <c r="F43" s="9" t="s">
        <v>97</v>
      </c>
      <c r="G43" s="9" t="s">
        <v>100</v>
      </c>
      <c r="H43" s="9" t="s">
        <v>97</v>
      </c>
      <c r="I43" s="9" t="s">
        <v>104</v>
      </c>
      <c r="J43" s="9" t="s">
        <v>97</v>
      </c>
      <c r="K43" s="9" t="s">
        <v>107</v>
      </c>
      <c r="L43" s="9" t="s">
        <v>43</v>
      </c>
      <c r="M43" s="9"/>
      <c r="N43" s="9"/>
      <c r="O43" s="9"/>
      <c r="P43" s="9"/>
      <c r="Q43" t="s">
        <v>108</v>
      </c>
    </row>
    <row r="44" spans="2:17">
      <c r="B44">
        <v>42</v>
      </c>
      <c r="C44">
        <v>5</v>
      </c>
      <c r="D44">
        <v>2</v>
      </c>
      <c r="E44" s="9" t="s">
        <v>96</v>
      </c>
      <c r="F44" s="9" t="s">
        <v>97</v>
      </c>
      <c r="G44" s="9" t="s">
        <v>102</v>
      </c>
      <c r="H44" s="9" t="s">
        <v>97</v>
      </c>
      <c r="I44" s="9" t="s">
        <v>106</v>
      </c>
      <c r="J44" s="9" t="s">
        <v>43</v>
      </c>
      <c r="K44" s="9" t="s">
        <v>107</v>
      </c>
      <c r="L44" s="9" t="s">
        <v>43</v>
      </c>
      <c r="M44" s="9"/>
      <c r="N44" s="9"/>
      <c r="O44" s="9"/>
      <c r="P44" s="9"/>
      <c r="Q44" t="s">
        <v>108</v>
      </c>
    </row>
    <row r="45" spans="2:17">
      <c r="B45">
        <v>43</v>
      </c>
      <c r="C45">
        <v>5</v>
      </c>
      <c r="D45">
        <v>3</v>
      </c>
      <c r="E45" s="9" t="s">
        <v>100</v>
      </c>
      <c r="F45" s="9" t="s">
        <v>97</v>
      </c>
      <c r="G45" s="9" t="s">
        <v>104</v>
      </c>
      <c r="H45" s="9" t="s">
        <v>97</v>
      </c>
      <c r="I45" s="9" t="s">
        <v>96</v>
      </c>
      <c r="J45" s="9" t="s">
        <v>97</v>
      </c>
      <c r="K45" s="9" t="s">
        <v>107</v>
      </c>
      <c r="L45" s="9" t="s">
        <v>43</v>
      </c>
      <c r="M45" s="9"/>
      <c r="N45" s="9"/>
      <c r="O45" s="9"/>
      <c r="P45" s="9"/>
      <c r="Q45" t="s">
        <v>108</v>
      </c>
    </row>
    <row r="46" spans="2:17">
      <c r="B46">
        <v>44</v>
      </c>
      <c r="C46">
        <v>5</v>
      </c>
      <c r="D46">
        <v>4</v>
      </c>
      <c r="E46" s="9" t="s">
        <v>102</v>
      </c>
      <c r="F46" s="9" t="s">
        <v>97</v>
      </c>
      <c r="G46" s="9" t="s">
        <v>106</v>
      </c>
      <c r="H46" s="9" t="s">
        <v>43</v>
      </c>
      <c r="I46" s="9" t="s">
        <v>100</v>
      </c>
      <c r="J46" s="9" t="s">
        <v>97</v>
      </c>
      <c r="K46" s="9" t="s">
        <v>107</v>
      </c>
      <c r="L46" s="9" t="s">
        <v>43</v>
      </c>
      <c r="M46" s="9"/>
      <c r="N46" s="9"/>
      <c r="O46" s="9"/>
      <c r="P46" s="9"/>
      <c r="Q46" t="s">
        <v>108</v>
      </c>
    </row>
    <row r="47" spans="2:17">
      <c r="B47">
        <v>45</v>
      </c>
      <c r="C47">
        <v>5</v>
      </c>
      <c r="D47">
        <v>5</v>
      </c>
      <c r="E47" s="9" t="s">
        <v>104</v>
      </c>
      <c r="F47" s="9" t="s">
        <v>97</v>
      </c>
      <c r="G47" s="9" t="s">
        <v>96</v>
      </c>
      <c r="H47" s="9" t="s">
        <v>97</v>
      </c>
      <c r="I47" s="9" t="s">
        <v>102</v>
      </c>
      <c r="J47" s="9" t="s">
        <v>97</v>
      </c>
      <c r="K47" s="9" t="s">
        <v>106</v>
      </c>
      <c r="L47" s="9" t="s">
        <v>43</v>
      </c>
      <c r="M47" s="9" t="s">
        <v>107</v>
      </c>
      <c r="N47" s="9" t="s">
        <v>43</v>
      </c>
      <c r="O47" s="9"/>
      <c r="P47" s="9"/>
      <c r="Q47" t="s">
        <v>108</v>
      </c>
    </row>
    <row r="48" spans="2:17">
      <c r="B48">
        <v>46</v>
      </c>
      <c r="C48">
        <v>5</v>
      </c>
      <c r="D48">
        <v>6</v>
      </c>
      <c r="E48" s="9" t="s">
        <v>106</v>
      </c>
      <c r="F48" s="9" t="s">
        <v>43</v>
      </c>
      <c r="G48" s="9" t="s">
        <v>100</v>
      </c>
      <c r="H48" s="9" t="s">
        <v>43</v>
      </c>
      <c r="I48" s="9" t="s">
        <v>104</v>
      </c>
      <c r="J48" s="9" t="s">
        <v>43</v>
      </c>
      <c r="K48" s="9" t="s">
        <v>102</v>
      </c>
      <c r="L48" s="9" t="s">
        <v>43</v>
      </c>
      <c r="M48" s="9" t="s">
        <v>107</v>
      </c>
      <c r="N48" s="9" t="s">
        <v>43</v>
      </c>
      <c r="O48" s="9"/>
      <c r="P48" s="9"/>
      <c r="Q48" t="s">
        <v>108</v>
      </c>
    </row>
    <row r="49" spans="2:17">
      <c r="B49">
        <v>47</v>
      </c>
      <c r="C49">
        <v>5</v>
      </c>
      <c r="D49">
        <v>7</v>
      </c>
      <c r="E49" s="9" t="s">
        <v>96</v>
      </c>
      <c r="F49" s="9" t="s">
        <v>97</v>
      </c>
      <c r="G49" s="9" t="s">
        <v>106</v>
      </c>
      <c r="H49" s="9" t="s">
        <v>43</v>
      </c>
      <c r="I49" s="9" t="s">
        <v>102</v>
      </c>
      <c r="J49" s="9" t="s">
        <v>43</v>
      </c>
      <c r="K49" s="9" t="s">
        <v>100</v>
      </c>
      <c r="L49" s="9" t="s">
        <v>43</v>
      </c>
      <c r="M49" s="9" t="s">
        <v>107</v>
      </c>
      <c r="N49" s="9" t="s">
        <v>43</v>
      </c>
      <c r="O49" s="9"/>
      <c r="P49" s="9"/>
      <c r="Q49" t="s">
        <v>108</v>
      </c>
    </row>
    <row r="50" spans="2:17">
      <c r="B50">
        <v>48</v>
      </c>
      <c r="C50">
        <v>5</v>
      </c>
      <c r="D50">
        <v>8</v>
      </c>
      <c r="E50" s="9" t="s">
        <v>104</v>
      </c>
      <c r="F50" s="9" t="s">
        <v>43</v>
      </c>
      <c r="G50" s="9" t="s">
        <v>102</v>
      </c>
      <c r="H50" s="9" t="s">
        <v>43</v>
      </c>
      <c r="I50" s="9" t="s">
        <v>106</v>
      </c>
      <c r="J50" s="9" t="s">
        <v>43</v>
      </c>
      <c r="K50" s="9" t="s">
        <v>107</v>
      </c>
      <c r="L50" s="9" t="s">
        <v>43</v>
      </c>
      <c r="M50" s="9" t="s">
        <v>100</v>
      </c>
      <c r="N50" s="9" t="s">
        <v>43</v>
      </c>
      <c r="O50" s="9"/>
      <c r="P50" s="9"/>
      <c r="Q50" t="s">
        <v>108</v>
      </c>
    </row>
    <row r="51" spans="2:17">
      <c r="B51">
        <v>49</v>
      </c>
      <c r="C51">
        <v>5</v>
      </c>
      <c r="D51">
        <v>9</v>
      </c>
      <c r="E51" s="9" t="s">
        <v>106</v>
      </c>
      <c r="F51" s="9" t="s">
        <v>43</v>
      </c>
      <c r="G51" s="9" t="s">
        <v>100</v>
      </c>
      <c r="H51" s="9" t="s">
        <v>43</v>
      </c>
      <c r="I51" s="9" t="s">
        <v>107</v>
      </c>
      <c r="J51" s="9" t="s">
        <v>43</v>
      </c>
      <c r="K51" s="9" t="s">
        <v>102</v>
      </c>
      <c r="L51" s="9" t="s">
        <v>43</v>
      </c>
      <c r="M51" s="9" t="s">
        <v>104</v>
      </c>
      <c r="N51" s="9" t="s">
        <v>109</v>
      </c>
      <c r="O51" s="9"/>
      <c r="P51" s="9"/>
      <c r="Q51" t="s">
        <v>108</v>
      </c>
    </row>
    <row r="52" spans="2:17">
      <c r="B52">
        <v>50</v>
      </c>
      <c r="C52">
        <v>5</v>
      </c>
      <c r="D52">
        <v>10</v>
      </c>
      <c r="E52" s="9" t="s">
        <v>102</v>
      </c>
      <c r="F52" s="9" t="s">
        <v>43</v>
      </c>
      <c r="G52" s="9" t="s">
        <v>106</v>
      </c>
      <c r="H52" s="9" t="s">
        <v>43</v>
      </c>
      <c r="I52" s="9" t="s">
        <v>104</v>
      </c>
      <c r="J52" s="9" t="s">
        <v>43</v>
      </c>
      <c r="K52" s="9" t="s">
        <v>100</v>
      </c>
      <c r="L52" s="9" t="s">
        <v>43</v>
      </c>
      <c r="M52" s="9" t="s">
        <v>107</v>
      </c>
      <c r="N52" s="9" t="s">
        <v>109</v>
      </c>
      <c r="O52" s="9"/>
      <c r="P52" s="9"/>
      <c r="Q52" t="s">
        <v>108</v>
      </c>
    </row>
    <row r="53" spans="2:17">
      <c r="B53">
        <v>51</v>
      </c>
      <c r="C53">
        <v>6</v>
      </c>
      <c r="D53">
        <v>1</v>
      </c>
      <c r="E53" s="9" t="s">
        <v>102</v>
      </c>
      <c r="F53" s="9" t="s">
        <v>97</v>
      </c>
      <c r="G53" s="9" t="s">
        <v>106</v>
      </c>
      <c r="H53" s="9" t="s">
        <v>43</v>
      </c>
      <c r="I53" s="9" t="s">
        <v>98</v>
      </c>
      <c r="J53" s="9" t="s">
        <v>97</v>
      </c>
      <c r="K53" s="9" t="s">
        <v>107</v>
      </c>
      <c r="L53" s="9" t="s">
        <v>43</v>
      </c>
      <c r="M53" s="9" t="s">
        <v>100</v>
      </c>
      <c r="N53" s="9" t="s">
        <v>43</v>
      </c>
      <c r="O53" s="9"/>
      <c r="P53" s="9"/>
      <c r="Q53" t="s">
        <v>110</v>
      </c>
    </row>
    <row r="54" spans="2:17">
      <c r="B54">
        <v>52</v>
      </c>
      <c r="C54">
        <v>6</v>
      </c>
      <c r="D54">
        <v>2</v>
      </c>
      <c r="E54" s="9" t="s">
        <v>104</v>
      </c>
      <c r="F54" s="9" t="s">
        <v>97</v>
      </c>
      <c r="G54" s="9" t="s">
        <v>102</v>
      </c>
      <c r="H54" s="9" t="s">
        <v>97</v>
      </c>
      <c r="I54" s="9" t="s">
        <v>106</v>
      </c>
      <c r="J54" s="9" t="s">
        <v>43</v>
      </c>
      <c r="K54" s="9" t="s">
        <v>96</v>
      </c>
      <c r="L54" s="9" t="s">
        <v>43</v>
      </c>
      <c r="M54" s="9" t="s">
        <v>107</v>
      </c>
      <c r="N54" s="9" t="s">
        <v>43</v>
      </c>
      <c r="O54" s="9"/>
      <c r="P54" s="9"/>
      <c r="Q54" t="s">
        <v>110</v>
      </c>
    </row>
    <row r="55" spans="2:17">
      <c r="B55">
        <v>53</v>
      </c>
      <c r="C55">
        <v>6</v>
      </c>
      <c r="D55">
        <v>3</v>
      </c>
      <c r="E55" s="9" t="s">
        <v>106</v>
      </c>
      <c r="F55" s="9" t="s">
        <v>43</v>
      </c>
      <c r="G55" s="9" t="s">
        <v>98</v>
      </c>
      <c r="H55" s="9" t="s">
        <v>97</v>
      </c>
      <c r="I55" s="9" t="s">
        <v>102</v>
      </c>
      <c r="J55" s="9" t="s">
        <v>97</v>
      </c>
      <c r="K55" s="9" t="s">
        <v>100</v>
      </c>
      <c r="L55" s="9" t="s">
        <v>43</v>
      </c>
      <c r="M55" s="9" t="s">
        <v>107</v>
      </c>
      <c r="N55" s="9" t="s">
        <v>43</v>
      </c>
      <c r="O55" s="9"/>
      <c r="P55" s="9"/>
      <c r="Q55" t="s">
        <v>110</v>
      </c>
    </row>
    <row r="56" spans="2:17">
      <c r="B56">
        <v>54</v>
      </c>
      <c r="C56">
        <v>6</v>
      </c>
      <c r="D56">
        <v>4</v>
      </c>
      <c r="E56" s="9" t="s">
        <v>107</v>
      </c>
      <c r="F56" s="9" t="s">
        <v>43</v>
      </c>
      <c r="G56" s="9" t="s">
        <v>96</v>
      </c>
      <c r="H56" s="9" t="s">
        <v>97</v>
      </c>
      <c r="I56" s="9" t="s">
        <v>102</v>
      </c>
      <c r="J56" s="9" t="s">
        <v>97</v>
      </c>
      <c r="K56" s="9" t="s">
        <v>106</v>
      </c>
      <c r="L56" s="9" t="s">
        <v>43</v>
      </c>
      <c r="M56" s="9" t="s">
        <v>104</v>
      </c>
      <c r="N56" s="9" t="s">
        <v>43</v>
      </c>
      <c r="O56" s="9"/>
      <c r="P56" s="9"/>
      <c r="Q56" t="s">
        <v>110</v>
      </c>
    </row>
    <row r="57" spans="2:17">
      <c r="B57">
        <v>55</v>
      </c>
      <c r="C57">
        <v>6</v>
      </c>
      <c r="D57">
        <v>5</v>
      </c>
      <c r="E57" s="9" t="s">
        <v>102</v>
      </c>
      <c r="F57" s="9" t="s">
        <v>43</v>
      </c>
      <c r="G57" s="9" t="s">
        <v>100</v>
      </c>
      <c r="H57" s="9" t="s">
        <v>43</v>
      </c>
      <c r="I57" s="9" t="s">
        <v>106</v>
      </c>
      <c r="J57" s="9" t="s">
        <v>43</v>
      </c>
      <c r="K57" s="9" t="s">
        <v>107</v>
      </c>
      <c r="L57" s="9" t="s">
        <v>43</v>
      </c>
      <c r="M57" s="9" t="s">
        <v>98</v>
      </c>
      <c r="N57" s="9" t="s">
        <v>43</v>
      </c>
      <c r="O57" s="9"/>
      <c r="P57" s="9"/>
      <c r="Q57" t="s">
        <v>110</v>
      </c>
    </row>
    <row r="58" spans="2:17">
      <c r="B58">
        <v>56</v>
      </c>
      <c r="C58">
        <v>6</v>
      </c>
      <c r="D58">
        <v>6</v>
      </c>
      <c r="E58" s="9" t="s">
        <v>106</v>
      </c>
      <c r="F58" s="9" t="s">
        <v>43</v>
      </c>
      <c r="G58" s="9" t="s">
        <v>104</v>
      </c>
      <c r="H58" s="9" t="s">
        <v>43</v>
      </c>
      <c r="I58" s="9" t="s">
        <v>102</v>
      </c>
      <c r="J58" s="9" t="s">
        <v>43</v>
      </c>
      <c r="K58" s="9" t="s">
        <v>96</v>
      </c>
      <c r="L58" s="9" t="s">
        <v>43</v>
      </c>
      <c r="M58" s="9" t="s">
        <v>107</v>
      </c>
      <c r="N58" s="9" t="s">
        <v>43</v>
      </c>
      <c r="O58" s="9"/>
      <c r="P58" s="9"/>
      <c r="Q58" t="s">
        <v>110</v>
      </c>
    </row>
    <row r="59" spans="2:17">
      <c r="B59">
        <v>57</v>
      </c>
      <c r="C59">
        <v>6</v>
      </c>
      <c r="D59">
        <v>7</v>
      </c>
      <c r="E59" s="9" t="s">
        <v>107</v>
      </c>
      <c r="F59" s="9" t="s">
        <v>43</v>
      </c>
      <c r="G59" s="9" t="s">
        <v>102</v>
      </c>
      <c r="H59" s="9" t="s">
        <v>43</v>
      </c>
      <c r="I59" s="9" t="s">
        <v>106</v>
      </c>
      <c r="J59" s="9" t="s">
        <v>43</v>
      </c>
      <c r="K59" s="9" t="s">
        <v>100</v>
      </c>
      <c r="L59" s="9" t="s">
        <v>43</v>
      </c>
      <c r="M59" s="9" t="s">
        <v>104</v>
      </c>
      <c r="N59" s="9" t="s">
        <v>43</v>
      </c>
      <c r="O59" s="9"/>
      <c r="P59" s="9"/>
      <c r="Q59" t="s">
        <v>110</v>
      </c>
    </row>
    <row r="60" spans="2:17">
      <c r="B60">
        <v>58</v>
      </c>
      <c r="C60">
        <v>6</v>
      </c>
      <c r="D60">
        <v>8</v>
      </c>
      <c r="E60" s="9" t="s">
        <v>102</v>
      </c>
      <c r="F60" s="9" t="s">
        <v>43</v>
      </c>
      <c r="G60" s="9" t="s">
        <v>106</v>
      </c>
      <c r="H60" s="9" t="s">
        <v>43</v>
      </c>
      <c r="I60" s="9" t="s">
        <v>98</v>
      </c>
      <c r="J60" s="9" t="s">
        <v>43</v>
      </c>
      <c r="K60" s="9" t="s">
        <v>107</v>
      </c>
      <c r="L60" s="9" t="s">
        <v>109</v>
      </c>
      <c r="M60" s="9" t="s">
        <v>100</v>
      </c>
      <c r="N60" s="9" t="s">
        <v>109</v>
      </c>
      <c r="O60" s="9"/>
      <c r="P60" s="9"/>
      <c r="Q60" t="s">
        <v>110</v>
      </c>
    </row>
    <row r="61" spans="2:17">
      <c r="B61">
        <v>59</v>
      </c>
      <c r="C61">
        <v>6</v>
      </c>
      <c r="D61">
        <v>9</v>
      </c>
      <c r="E61" s="9" t="s">
        <v>106</v>
      </c>
      <c r="F61" s="9" t="s">
        <v>43</v>
      </c>
      <c r="G61" s="9" t="s">
        <v>107</v>
      </c>
      <c r="H61" s="9" t="s">
        <v>43</v>
      </c>
      <c r="I61" s="9" t="s">
        <v>102</v>
      </c>
      <c r="J61" s="9" t="s">
        <v>43</v>
      </c>
      <c r="K61" s="9" t="s">
        <v>104</v>
      </c>
      <c r="L61" s="9" t="s">
        <v>109</v>
      </c>
      <c r="M61" s="9" t="s">
        <v>96</v>
      </c>
      <c r="N61" s="9" t="s">
        <v>109</v>
      </c>
      <c r="O61" s="9"/>
      <c r="P61" s="9"/>
      <c r="Q61" t="s">
        <v>110</v>
      </c>
    </row>
    <row r="62" spans="2:17">
      <c r="B62">
        <v>60</v>
      </c>
      <c r="C62">
        <v>6</v>
      </c>
      <c r="D62">
        <v>10</v>
      </c>
      <c r="E62" s="9" t="s">
        <v>107</v>
      </c>
      <c r="F62" s="9" t="s">
        <v>43</v>
      </c>
      <c r="G62" s="9" t="s">
        <v>102</v>
      </c>
      <c r="H62" s="9" t="s">
        <v>43</v>
      </c>
      <c r="I62" s="9" t="s">
        <v>106</v>
      </c>
      <c r="J62" s="9" t="s">
        <v>109</v>
      </c>
      <c r="K62" s="9" t="s">
        <v>100</v>
      </c>
      <c r="L62" s="9" t="s">
        <v>109</v>
      </c>
      <c r="M62" s="9" t="s">
        <v>98</v>
      </c>
      <c r="N62" s="9" t="s">
        <v>109</v>
      </c>
      <c r="O62" s="9"/>
      <c r="P62" s="9"/>
      <c r="Q62" t="s">
        <v>110</v>
      </c>
    </row>
    <row r="63" spans="2:17">
      <c r="B63">
        <v>61</v>
      </c>
      <c r="C63">
        <v>7</v>
      </c>
      <c r="D63">
        <v>1</v>
      </c>
      <c r="E63" s="9" t="s">
        <v>102</v>
      </c>
      <c r="F63" s="9" t="s">
        <v>43</v>
      </c>
      <c r="G63" s="9" t="s">
        <v>106</v>
      </c>
      <c r="H63" s="9" t="s">
        <v>43</v>
      </c>
      <c r="I63" s="9" t="s">
        <v>104</v>
      </c>
      <c r="J63" s="9" t="s">
        <v>43</v>
      </c>
      <c r="K63" s="9" t="s">
        <v>107</v>
      </c>
      <c r="L63" s="9" t="s">
        <v>43</v>
      </c>
      <c r="M63" s="9" t="s">
        <v>111</v>
      </c>
      <c r="N63" s="9" t="s">
        <v>43</v>
      </c>
      <c r="O63" s="9"/>
      <c r="P63" s="9"/>
      <c r="Q63" t="s">
        <v>112</v>
      </c>
    </row>
    <row r="64" spans="2:17">
      <c r="B64">
        <v>62</v>
      </c>
      <c r="C64">
        <v>7</v>
      </c>
      <c r="D64">
        <v>2</v>
      </c>
      <c r="E64" s="9" t="s">
        <v>104</v>
      </c>
      <c r="F64" s="9" t="s">
        <v>43</v>
      </c>
      <c r="G64" s="9" t="s">
        <v>102</v>
      </c>
      <c r="H64" s="9" t="s">
        <v>43</v>
      </c>
      <c r="I64" s="9" t="s">
        <v>106</v>
      </c>
      <c r="J64" s="9" t="s">
        <v>43</v>
      </c>
      <c r="K64" s="9" t="s">
        <v>107</v>
      </c>
      <c r="L64" s="9" t="s">
        <v>43</v>
      </c>
      <c r="M64" s="9" t="s">
        <v>111</v>
      </c>
      <c r="N64" s="9" t="s">
        <v>43</v>
      </c>
      <c r="O64" s="9"/>
      <c r="P64" s="9"/>
      <c r="Q64" t="s">
        <v>112</v>
      </c>
    </row>
    <row r="65" spans="2:17">
      <c r="B65">
        <v>63</v>
      </c>
      <c r="C65">
        <v>7</v>
      </c>
      <c r="D65">
        <v>3</v>
      </c>
      <c r="E65" s="9" t="s">
        <v>106</v>
      </c>
      <c r="F65" s="9" t="s">
        <v>43</v>
      </c>
      <c r="G65" s="9" t="s">
        <v>102</v>
      </c>
      <c r="H65" s="9" t="s">
        <v>43</v>
      </c>
      <c r="I65" s="9" t="s">
        <v>107</v>
      </c>
      <c r="J65" s="9" t="s">
        <v>43</v>
      </c>
      <c r="K65" s="9" t="s">
        <v>104</v>
      </c>
      <c r="L65" s="9" t="s">
        <v>43</v>
      </c>
      <c r="M65" s="9" t="s">
        <v>111</v>
      </c>
      <c r="N65" s="9" t="s">
        <v>43</v>
      </c>
      <c r="O65" s="9"/>
      <c r="P65" s="9"/>
      <c r="Q65" t="s">
        <v>112</v>
      </c>
    </row>
    <row r="66" spans="2:17">
      <c r="B66">
        <v>64</v>
      </c>
      <c r="C66">
        <v>7</v>
      </c>
      <c r="D66">
        <v>4</v>
      </c>
      <c r="E66" s="9" t="s">
        <v>107</v>
      </c>
      <c r="F66" s="9" t="s">
        <v>43</v>
      </c>
      <c r="G66" s="9" t="s">
        <v>104</v>
      </c>
      <c r="H66" s="9" t="s">
        <v>43</v>
      </c>
      <c r="I66" s="9" t="s">
        <v>102</v>
      </c>
      <c r="J66" s="9" t="s">
        <v>43</v>
      </c>
      <c r="K66" s="9" t="s">
        <v>106</v>
      </c>
      <c r="L66" s="9" t="s">
        <v>43</v>
      </c>
      <c r="M66" s="9" t="s">
        <v>111</v>
      </c>
      <c r="N66" s="9" t="s">
        <v>43</v>
      </c>
      <c r="O66" s="9"/>
      <c r="P66" s="9"/>
      <c r="Q66" t="s">
        <v>112</v>
      </c>
    </row>
    <row r="67" spans="2:17">
      <c r="B67">
        <v>65</v>
      </c>
      <c r="C67">
        <v>7</v>
      </c>
      <c r="D67">
        <v>5</v>
      </c>
      <c r="E67" s="9" t="s">
        <v>102</v>
      </c>
      <c r="F67" s="9" t="s">
        <v>43</v>
      </c>
      <c r="G67" s="9" t="s">
        <v>107</v>
      </c>
      <c r="H67" s="9" t="s">
        <v>43</v>
      </c>
      <c r="I67" s="9" t="s">
        <v>106</v>
      </c>
      <c r="J67" s="9" t="s">
        <v>43</v>
      </c>
      <c r="K67" s="9" t="s">
        <v>104</v>
      </c>
      <c r="L67" s="9" t="s">
        <v>43</v>
      </c>
      <c r="M67" s="9" t="s">
        <v>111</v>
      </c>
      <c r="N67" s="9" t="s">
        <v>43</v>
      </c>
      <c r="O67" s="9"/>
      <c r="P67" s="9"/>
      <c r="Q67" t="s">
        <v>112</v>
      </c>
    </row>
    <row r="68" spans="2:17">
      <c r="B68">
        <v>66</v>
      </c>
      <c r="C68">
        <v>7</v>
      </c>
      <c r="D68">
        <v>6</v>
      </c>
      <c r="E68" s="9" t="s">
        <v>104</v>
      </c>
      <c r="F68" s="9" t="s">
        <v>43</v>
      </c>
      <c r="G68" s="9" t="s">
        <v>106</v>
      </c>
      <c r="H68" s="9" t="s">
        <v>43</v>
      </c>
      <c r="I68" s="9" t="s">
        <v>102</v>
      </c>
      <c r="J68" s="9" t="s">
        <v>43</v>
      </c>
      <c r="K68" s="9" t="s">
        <v>107</v>
      </c>
      <c r="L68" s="9" t="s">
        <v>43</v>
      </c>
      <c r="M68" s="9" t="s">
        <v>111</v>
      </c>
      <c r="N68" s="9" t="s">
        <v>43</v>
      </c>
      <c r="O68" s="9"/>
      <c r="P68" s="9"/>
      <c r="Q68" t="s">
        <v>112</v>
      </c>
    </row>
    <row r="69" spans="2:17">
      <c r="B69">
        <v>67</v>
      </c>
      <c r="C69">
        <v>7</v>
      </c>
      <c r="D69">
        <v>7</v>
      </c>
      <c r="E69" s="9" t="s">
        <v>106</v>
      </c>
      <c r="F69" s="9" t="s">
        <v>43</v>
      </c>
      <c r="G69" s="9" t="s">
        <v>107</v>
      </c>
      <c r="H69" s="9" t="s">
        <v>43</v>
      </c>
      <c r="I69" s="9" t="s">
        <v>104</v>
      </c>
      <c r="J69" s="9" t="s">
        <v>43</v>
      </c>
      <c r="K69" s="9" t="s">
        <v>102</v>
      </c>
      <c r="L69" s="9" t="s">
        <v>43</v>
      </c>
      <c r="M69" s="9" t="s">
        <v>111</v>
      </c>
      <c r="N69" s="9" t="s">
        <v>43</v>
      </c>
      <c r="O69" s="9"/>
      <c r="P69" s="9"/>
      <c r="Q69" t="s">
        <v>112</v>
      </c>
    </row>
    <row r="70" spans="2:17">
      <c r="B70">
        <v>68</v>
      </c>
      <c r="C70">
        <v>7</v>
      </c>
      <c r="D70">
        <v>8</v>
      </c>
      <c r="E70" s="9" t="s">
        <v>107</v>
      </c>
      <c r="F70" s="9" t="s">
        <v>43</v>
      </c>
      <c r="G70" s="9" t="s">
        <v>102</v>
      </c>
      <c r="H70" s="9" t="s">
        <v>43</v>
      </c>
      <c r="I70" s="9" t="s">
        <v>106</v>
      </c>
      <c r="J70" s="9" t="s">
        <v>43</v>
      </c>
      <c r="K70" s="9" t="s">
        <v>104</v>
      </c>
      <c r="L70" s="9" t="s">
        <v>43</v>
      </c>
      <c r="M70" s="9" t="s">
        <v>111</v>
      </c>
      <c r="N70" s="9" t="s">
        <v>109</v>
      </c>
      <c r="O70" s="9"/>
      <c r="P70" s="9"/>
      <c r="Q70" t="s">
        <v>112</v>
      </c>
    </row>
    <row r="71" spans="2:17">
      <c r="B71">
        <v>69</v>
      </c>
      <c r="C71">
        <v>7</v>
      </c>
      <c r="D71">
        <v>9</v>
      </c>
      <c r="E71" s="9" t="s">
        <v>104</v>
      </c>
      <c r="F71" s="9" t="s">
        <v>43</v>
      </c>
      <c r="G71" s="9" t="s">
        <v>107</v>
      </c>
      <c r="H71" s="9" t="s">
        <v>43</v>
      </c>
      <c r="I71" s="9" t="s">
        <v>102</v>
      </c>
      <c r="J71" s="9" t="s">
        <v>43</v>
      </c>
      <c r="K71" s="9" t="s">
        <v>106</v>
      </c>
      <c r="L71" s="9" t="s">
        <v>109</v>
      </c>
      <c r="M71" s="9" t="s">
        <v>111</v>
      </c>
      <c r="N71" s="9" t="s">
        <v>109</v>
      </c>
      <c r="O71" s="9"/>
      <c r="P71" s="9"/>
      <c r="Q71" t="s">
        <v>112</v>
      </c>
    </row>
    <row r="72" spans="2:17">
      <c r="B72">
        <v>70</v>
      </c>
      <c r="C72">
        <v>7</v>
      </c>
      <c r="D72">
        <v>10</v>
      </c>
      <c r="E72" s="9" t="s">
        <v>106</v>
      </c>
      <c r="F72" s="9" t="s">
        <v>43</v>
      </c>
      <c r="G72" s="9" t="s">
        <v>104</v>
      </c>
      <c r="H72" s="9" t="s">
        <v>43</v>
      </c>
      <c r="I72" s="9" t="s">
        <v>107</v>
      </c>
      <c r="J72" s="9" t="s">
        <v>109</v>
      </c>
      <c r="K72" s="9" t="s">
        <v>102</v>
      </c>
      <c r="L72" s="9" t="s">
        <v>109</v>
      </c>
      <c r="M72" s="9" t="s">
        <v>111</v>
      </c>
      <c r="N72" s="9" t="s">
        <v>109</v>
      </c>
      <c r="O72" s="9"/>
      <c r="P72" s="9"/>
      <c r="Q72" t="s">
        <v>112</v>
      </c>
    </row>
    <row r="73" spans="2:17">
      <c r="B73">
        <v>71</v>
      </c>
      <c r="C73">
        <v>8</v>
      </c>
      <c r="D73">
        <v>1</v>
      </c>
      <c r="E73" s="9" t="s">
        <v>98</v>
      </c>
      <c r="F73" s="9" t="s">
        <v>43</v>
      </c>
      <c r="G73" s="9" t="s">
        <v>106</v>
      </c>
      <c r="H73" s="9" t="s">
        <v>43</v>
      </c>
      <c r="I73" s="9" t="s">
        <v>104</v>
      </c>
      <c r="J73" s="9" t="s">
        <v>43</v>
      </c>
      <c r="K73" s="9" t="s">
        <v>107</v>
      </c>
      <c r="L73" s="9" t="s">
        <v>43</v>
      </c>
      <c r="M73" s="9" t="s">
        <v>111</v>
      </c>
      <c r="N73" s="9" t="s">
        <v>43</v>
      </c>
      <c r="O73" s="9"/>
      <c r="P73" s="9"/>
      <c r="Q73" t="s">
        <v>113</v>
      </c>
    </row>
    <row r="74" spans="2:17">
      <c r="B74">
        <v>72</v>
      </c>
      <c r="C74">
        <v>8</v>
      </c>
      <c r="D74">
        <v>2</v>
      </c>
      <c r="E74" s="9" t="s">
        <v>96</v>
      </c>
      <c r="F74" s="9" t="s">
        <v>43</v>
      </c>
      <c r="G74" s="9" t="s">
        <v>102</v>
      </c>
      <c r="H74" s="9" t="s">
        <v>43</v>
      </c>
      <c r="I74" s="9" t="s">
        <v>106</v>
      </c>
      <c r="J74" s="9" t="s">
        <v>43</v>
      </c>
      <c r="K74" s="9" t="s">
        <v>107</v>
      </c>
      <c r="L74" s="9" t="s">
        <v>43</v>
      </c>
      <c r="M74" s="9" t="s">
        <v>111</v>
      </c>
      <c r="N74" s="9" t="s">
        <v>43</v>
      </c>
      <c r="O74" s="9"/>
      <c r="P74" s="9"/>
      <c r="Q74" t="s">
        <v>113</v>
      </c>
    </row>
    <row r="75" spans="2:17">
      <c r="B75">
        <v>73</v>
      </c>
      <c r="C75">
        <v>8</v>
      </c>
      <c r="D75">
        <v>3</v>
      </c>
      <c r="E75" s="9" t="s">
        <v>100</v>
      </c>
      <c r="F75" s="9" t="s">
        <v>43</v>
      </c>
      <c r="G75" s="9" t="s">
        <v>104</v>
      </c>
      <c r="H75" s="9" t="s">
        <v>43</v>
      </c>
      <c r="I75" s="9" t="s">
        <v>102</v>
      </c>
      <c r="J75" s="9" t="s">
        <v>43</v>
      </c>
      <c r="K75" s="9" t="s">
        <v>106</v>
      </c>
      <c r="L75" s="9" t="s">
        <v>43</v>
      </c>
      <c r="M75" s="9" t="s">
        <v>111</v>
      </c>
      <c r="N75" s="9" t="s">
        <v>43</v>
      </c>
      <c r="O75" s="9"/>
      <c r="P75" s="9"/>
      <c r="Q75" t="s">
        <v>113</v>
      </c>
    </row>
    <row r="76" spans="2:17">
      <c r="B76">
        <v>74</v>
      </c>
      <c r="C76">
        <v>8</v>
      </c>
      <c r="D76">
        <v>4</v>
      </c>
      <c r="E76" s="9" t="s">
        <v>102</v>
      </c>
      <c r="F76" s="9" t="s">
        <v>43</v>
      </c>
      <c r="G76" s="9" t="s">
        <v>107</v>
      </c>
      <c r="H76" s="9" t="s">
        <v>43</v>
      </c>
      <c r="I76" s="9" t="s">
        <v>98</v>
      </c>
      <c r="J76" s="9" t="s">
        <v>43</v>
      </c>
      <c r="K76" s="9" t="s">
        <v>106</v>
      </c>
      <c r="L76" s="9" t="s">
        <v>43</v>
      </c>
      <c r="M76" s="9" t="s">
        <v>111</v>
      </c>
      <c r="N76" s="9" t="s">
        <v>43</v>
      </c>
      <c r="O76" s="9"/>
      <c r="P76" s="9"/>
      <c r="Q76" t="s">
        <v>113</v>
      </c>
    </row>
    <row r="77" spans="2:17">
      <c r="B77">
        <v>75</v>
      </c>
      <c r="C77">
        <v>8</v>
      </c>
      <c r="D77">
        <v>5</v>
      </c>
      <c r="E77" s="9" t="s">
        <v>106</v>
      </c>
      <c r="F77" s="9" t="s">
        <v>43</v>
      </c>
      <c r="G77" s="9" t="s">
        <v>100</v>
      </c>
      <c r="H77" s="9" t="s">
        <v>43</v>
      </c>
      <c r="I77" s="9" t="s">
        <v>104</v>
      </c>
      <c r="J77" s="9" t="s">
        <v>43</v>
      </c>
      <c r="K77" s="9" t="s">
        <v>107</v>
      </c>
      <c r="L77" s="9" t="s">
        <v>43</v>
      </c>
      <c r="M77" s="9" t="s">
        <v>111</v>
      </c>
      <c r="N77" s="9" t="s">
        <v>43</v>
      </c>
      <c r="O77" s="9"/>
      <c r="P77" s="9"/>
      <c r="Q77" t="s">
        <v>113</v>
      </c>
    </row>
    <row r="78" spans="2:17">
      <c r="B78">
        <v>76</v>
      </c>
      <c r="C78">
        <v>8</v>
      </c>
      <c r="D78">
        <v>6</v>
      </c>
      <c r="E78" s="9" t="s">
        <v>107</v>
      </c>
      <c r="F78" s="9" t="s">
        <v>43</v>
      </c>
      <c r="G78" s="9" t="s">
        <v>96</v>
      </c>
      <c r="H78" s="9" t="s">
        <v>43</v>
      </c>
      <c r="I78" s="9" t="s">
        <v>102</v>
      </c>
      <c r="J78" s="9" t="s">
        <v>43</v>
      </c>
      <c r="K78" s="9" t="s">
        <v>106</v>
      </c>
      <c r="L78" s="9" t="s">
        <v>43</v>
      </c>
      <c r="M78" s="9" t="s">
        <v>111</v>
      </c>
      <c r="N78" s="9" t="s">
        <v>43</v>
      </c>
      <c r="O78" s="9"/>
      <c r="P78" s="9"/>
      <c r="Q78" t="s">
        <v>113</v>
      </c>
    </row>
    <row r="79" spans="2:17">
      <c r="B79">
        <v>77</v>
      </c>
      <c r="C79">
        <v>8</v>
      </c>
      <c r="D79">
        <v>7</v>
      </c>
      <c r="E79" s="9" t="s">
        <v>104</v>
      </c>
      <c r="F79" s="9" t="s">
        <v>43</v>
      </c>
      <c r="G79" s="9" t="s">
        <v>106</v>
      </c>
      <c r="H79" s="9" t="s">
        <v>43</v>
      </c>
      <c r="I79" s="9" t="s">
        <v>98</v>
      </c>
      <c r="J79" s="9" t="s">
        <v>43</v>
      </c>
      <c r="K79" s="9" t="s">
        <v>107</v>
      </c>
      <c r="L79" s="9" t="s">
        <v>109</v>
      </c>
      <c r="M79" s="9" t="s">
        <v>111</v>
      </c>
      <c r="N79" s="9" t="s">
        <v>43</v>
      </c>
      <c r="O79" s="9"/>
      <c r="P79" s="9"/>
      <c r="Q79" t="s">
        <v>113</v>
      </c>
    </row>
    <row r="80" spans="2:17">
      <c r="B80">
        <v>78</v>
      </c>
      <c r="C80">
        <v>8</v>
      </c>
      <c r="D80">
        <v>8</v>
      </c>
      <c r="E80" s="9" t="s">
        <v>102</v>
      </c>
      <c r="F80" s="9" t="s">
        <v>43</v>
      </c>
      <c r="G80" s="9" t="s">
        <v>100</v>
      </c>
      <c r="H80" s="9" t="s">
        <v>43</v>
      </c>
      <c r="I80" s="9" t="s">
        <v>106</v>
      </c>
      <c r="J80" s="9" t="s">
        <v>109</v>
      </c>
      <c r="K80" s="9" t="s">
        <v>104</v>
      </c>
      <c r="L80" s="9" t="s">
        <v>109</v>
      </c>
      <c r="M80" s="9" t="s">
        <v>107</v>
      </c>
      <c r="N80" s="9" t="s">
        <v>109</v>
      </c>
      <c r="O80" s="9" t="s">
        <v>111</v>
      </c>
      <c r="P80" s="9" t="s">
        <v>43</v>
      </c>
      <c r="Q80" t="s">
        <v>113</v>
      </c>
    </row>
    <row r="81" spans="2:17">
      <c r="B81">
        <v>79</v>
      </c>
      <c r="C81">
        <v>8</v>
      </c>
      <c r="D81">
        <v>9</v>
      </c>
      <c r="E81" s="9" t="s">
        <v>96</v>
      </c>
      <c r="F81" s="9" t="s">
        <v>43</v>
      </c>
      <c r="G81" s="9" t="s">
        <v>107</v>
      </c>
      <c r="H81" s="9" t="s">
        <v>43</v>
      </c>
      <c r="I81" s="9" t="s">
        <v>102</v>
      </c>
      <c r="J81" s="9" t="s">
        <v>109</v>
      </c>
      <c r="K81" s="9" t="s">
        <v>106</v>
      </c>
      <c r="L81" s="9" t="s">
        <v>109</v>
      </c>
      <c r="M81" s="9" t="s">
        <v>104</v>
      </c>
      <c r="N81" s="9" t="s">
        <v>109</v>
      </c>
      <c r="O81" s="9" t="s">
        <v>111</v>
      </c>
      <c r="P81" s="9" t="s">
        <v>109</v>
      </c>
      <c r="Q81" t="s">
        <v>113</v>
      </c>
    </row>
    <row r="82" spans="2:17">
      <c r="B82">
        <v>80</v>
      </c>
      <c r="C82">
        <v>8</v>
      </c>
      <c r="D82">
        <v>10</v>
      </c>
      <c r="E82" s="9" t="s">
        <v>98</v>
      </c>
      <c r="F82" s="9" t="s">
        <v>43</v>
      </c>
      <c r="G82" s="9" t="s">
        <v>106</v>
      </c>
      <c r="H82" s="9" t="s">
        <v>43</v>
      </c>
      <c r="I82" s="9" t="s">
        <v>107</v>
      </c>
      <c r="J82" s="9" t="s">
        <v>43</v>
      </c>
      <c r="K82" s="9" t="s">
        <v>111</v>
      </c>
      <c r="L82" s="9" t="s">
        <v>109</v>
      </c>
      <c r="M82" s="9" t="s">
        <v>102</v>
      </c>
      <c r="N82" s="9" t="s">
        <v>109</v>
      </c>
      <c r="O82" s="9" t="s">
        <v>104</v>
      </c>
      <c r="P82" s="9" t="s">
        <v>109</v>
      </c>
      <c r="Q82" t="s">
        <v>113</v>
      </c>
    </row>
    <row r="83" spans="2:17">
      <c r="B83">
        <v>81</v>
      </c>
      <c r="C83">
        <v>9</v>
      </c>
      <c r="D83">
        <v>1</v>
      </c>
      <c r="E83" s="9" t="s">
        <v>102</v>
      </c>
      <c r="F83" s="9" t="s">
        <v>43</v>
      </c>
      <c r="G83" s="9" t="s">
        <v>106</v>
      </c>
      <c r="H83" s="9" t="s">
        <v>43</v>
      </c>
      <c r="I83" s="9" t="s">
        <v>111</v>
      </c>
      <c r="J83" s="9" t="s">
        <v>43</v>
      </c>
      <c r="K83" s="9" t="s">
        <v>107</v>
      </c>
      <c r="L83" s="9" t="s">
        <v>43</v>
      </c>
      <c r="M83" s="9" t="s">
        <v>104</v>
      </c>
      <c r="N83" s="9" t="s">
        <v>109</v>
      </c>
      <c r="O83" s="9"/>
      <c r="P83" s="9"/>
      <c r="Q83" t="s">
        <v>114</v>
      </c>
    </row>
    <row r="84" spans="2:17">
      <c r="B84">
        <v>82</v>
      </c>
      <c r="C84">
        <v>9</v>
      </c>
      <c r="D84">
        <v>2</v>
      </c>
      <c r="E84" s="9" t="s">
        <v>100</v>
      </c>
      <c r="F84" s="9" t="s">
        <v>43</v>
      </c>
      <c r="G84" s="9" t="s">
        <v>107</v>
      </c>
      <c r="H84" s="9" t="s">
        <v>43</v>
      </c>
      <c r="I84" s="9" t="s">
        <v>106</v>
      </c>
      <c r="J84" s="9" t="s">
        <v>43</v>
      </c>
      <c r="K84" s="9" t="s">
        <v>111</v>
      </c>
      <c r="L84" s="9" t="s">
        <v>43</v>
      </c>
      <c r="M84" s="9" t="s">
        <v>102</v>
      </c>
      <c r="N84" s="9" t="s">
        <v>109</v>
      </c>
      <c r="O84" s="9"/>
      <c r="P84" s="9"/>
      <c r="Q84" t="s">
        <v>114</v>
      </c>
    </row>
    <row r="85" spans="2:17">
      <c r="B85">
        <v>83</v>
      </c>
      <c r="C85">
        <v>9</v>
      </c>
      <c r="D85">
        <v>3</v>
      </c>
      <c r="E85" s="9" t="s">
        <v>96</v>
      </c>
      <c r="F85" s="9" t="s">
        <v>43</v>
      </c>
      <c r="G85" s="9" t="s">
        <v>104</v>
      </c>
      <c r="H85" s="9" t="s">
        <v>43</v>
      </c>
      <c r="I85" s="9" t="s">
        <v>107</v>
      </c>
      <c r="J85" s="9" t="s">
        <v>43</v>
      </c>
      <c r="K85" s="9" t="s">
        <v>106</v>
      </c>
      <c r="L85" s="9" t="s">
        <v>109</v>
      </c>
      <c r="M85" s="9" t="s">
        <v>111</v>
      </c>
      <c r="N85" s="9" t="s">
        <v>109</v>
      </c>
      <c r="O85" s="9"/>
      <c r="P85" s="9"/>
      <c r="Q85" t="s">
        <v>114</v>
      </c>
    </row>
    <row r="86" spans="2:17">
      <c r="B86">
        <v>84</v>
      </c>
      <c r="C86">
        <v>9</v>
      </c>
      <c r="D86">
        <v>4</v>
      </c>
      <c r="E86" s="9" t="s">
        <v>98</v>
      </c>
      <c r="F86" s="9" t="s">
        <v>43</v>
      </c>
      <c r="G86" s="9" t="s">
        <v>102</v>
      </c>
      <c r="H86" s="9" t="s">
        <v>43</v>
      </c>
      <c r="I86" s="9" t="s">
        <v>106</v>
      </c>
      <c r="J86" s="9" t="s">
        <v>109</v>
      </c>
      <c r="K86" s="9" t="s">
        <v>104</v>
      </c>
      <c r="L86" s="9" t="s">
        <v>109</v>
      </c>
      <c r="M86" s="9" t="s">
        <v>111</v>
      </c>
      <c r="N86" s="9" t="s">
        <v>109</v>
      </c>
      <c r="O86" s="9"/>
      <c r="P86" s="9"/>
      <c r="Q86" t="s">
        <v>114</v>
      </c>
    </row>
    <row r="87" spans="2:17">
      <c r="B87">
        <v>85</v>
      </c>
      <c r="C87">
        <v>9</v>
      </c>
      <c r="D87">
        <v>5</v>
      </c>
      <c r="E87" s="9" t="s">
        <v>107</v>
      </c>
      <c r="F87" s="9" t="s">
        <v>43</v>
      </c>
      <c r="G87" s="9" t="s">
        <v>100</v>
      </c>
      <c r="H87" s="9" t="s">
        <v>43</v>
      </c>
      <c r="I87" s="9" t="s">
        <v>111</v>
      </c>
      <c r="J87" s="9" t="s">
        <v>43</v>
      </c>
      <c r="K87" s="9" t="s">
        <v>106</v>
      </c>
      <c r="L87" s="9" t="s">
        <v>109</v>
      </c>
      <c r="M87" s="9" t="s">
        <v>102</v>
      </c>
      <c r="N87" s="9" t="s">
        <v>109</v>
      </c>
      <c r="O87" s="9"/>
      <c r="P87" s="9"/>
      <c r="Q87" t="s">
        <v>114</v>
      </c>
    </row>
    <row r="88" spans="2:17">
      <c r="B88">
        <v>86</v>
      </c>
      <c r="C88">
        <v>9</v>
      </c>
      <c r="D88">
        <v>6</v>
      </c>
      <c r="E88" s="9" t="s">
        <v>106</v>
      </c>
      <c r="F88" s="9" t="s">
        <v>43</v>
      </c>
      <c r="G88" s="9" t="s">
        <v>96</v>
      </c>
      <c r="H88" s="9" t="s">
        <v>43</v>
      </c>
      <c r="I88" s="9" t="s">
        <v>104</v>
      </c>
      <c r="J88" s="9" t="s">
        <v>109</v>
      </c>
      <c r="K88" s="9" t="s">
        <v>107</v>
      </c>
      <c r="L88" s="9" t="s">
        <v>109</v>
      </c>
      <c r="M88" s="9" t="s">
        <v>111</v>
      </c>
      <c r="N88" s="9" t="s">
        <v>109</v>
      </c>
      <c r="O88" s="9" t="s">
        <v>102</v>
      </c>
      <c r="P88" s="9" t="s">
        <v>43</v>
      </c>
      <c r="Q88" t="s">
        <v>114</v>
      </c>
    </row>
    <row r="89" spans="2:17">
      <c r="B89">
        <v>87</v>
      </c>
      <c r="C89">
        <v>9</v>
      </c>
      <c r="D89">
        <v>7</v>
      </c>
      <c r="E89" s="9" t="s">
        <v>102</v>
      </c>
      <c r="F89" s="9" t="s">
        <v>43</v>
      </c>
      <c r="G89" s="9" t="s">
        <v>111</v>
      </c>
      <c r="H89" s="9" t="s">
        <v>43</v>
      </c>
      <c r="I89" s="9" t="s">
        <v>106</v>
      </c>
      <c r="J89" s="9" t="s">
        <v>109</v>
      </c>
      <c r="K89" s="9" t="s">
        <v>107</v>
      </c>
      <c r="L89" s="9" t="s">
        <v>109</v>
      </c>
      <c r="M89" s="9" t="s">
        <v>104</v>
      </c>
      <c r="N89" s="9" t="s">
        <v>109</v>
      </c>
      <c r="O89" s="9" t="s">
        <v>100</v>
      </c>
      <c r="P89" s="9" t="s">
        <v>43</v>
      </c>
      <c r="Q89" t="s">
        <v>114</v>
      </c>
    </row>
    <row r="90" spans="2:17">
      <c r="B90">
        <v>88</v>
      </c>
      <c r="C90">
        <v>9</v>
      </c>
      <c r="D90">
        <v>8</v>
      </c>
      <c r="E90" s="9" t="s">
        <v>104</v>
      </c>
      <c r="F90" s="9" t="s">
        <v>43</v>
      </c>
      <c r="G90" s="9" t="s">
        <v>106</v>
      </c>
      <c r="H90" s="9" t="s">
        <v>43</v>
      </c>
      <c r="I90" s="9" t="s">
        <v>111</v>
      </c>
      <c r="J90" s="9" t="s">
        <v>109</v>
      </c>
      <c r="K90" s="9" t="s">
        <v>102</v>
      </c>
      <c r="L90" s="9" t="s">
        <v>109</v>
      </c>
      <c r="M90" s="9" t="s">
        <v>107</v>
      </c>
      <c r="N90" s="9" t="s">
        <v>109</v>
      </c>
      <c r="O90" s="9" t="s">
        <v>96</v>
      </c>
      <c r="P90" s="9" t="s">
        <v>43</v>
      </c>
      <c r="Q90" t="s">
        <v>114</v>
      </c>
    </row>
    <row r="91" spans="2:17">
      <c r="B91">
        <v>89</v>
      </c>
      <c r="C91">
        <v>9</v>
      </c>
      <c r="D91">
        <v>9</v>
      </c>
      <c r="E91" s="9" t="s">
        <v>107</v>
      </c>
      <c r="F91" s="9" t="s">
        <v>43</v>
      </c>
      <c r="G91" s="9" t="s">
        <v>102</v>
      </c>
      <c r="H91" s="9" t="s">
        <v>43</v>
      </c>
      <c r="I91" s="9" t="s">
        <v>106</v>
      </c>
      <c r="J91" s="9" t="s">
        <v>109</v>
      </c>
      <c r="K91" s="9" t="s">
        <v>111</v>
      </c>
      <c r="L91" s="9" t="s">
        <v>109</v>
      </c>
      <c r="M91" s="9" t="s">
        <v>104</v>
      </c>
      <c r="N91" s="9" t="s">
        <v>109</v>
      </c>
      <c r="O91" s="9" t="s">
        <v>98</v>
      </c>
      <c r="P91" s="9" t="s">
        <v>109</v>
      </c>
      <c r="Q91" t="s">
        <v>114</v>
      </c>
    </row>
    <row r="92" spans="2:17">
      <c r="B92">
        <v>90</v>
      </c>
      <c r="C92">
        <v>9</v>
      </c>
      <c r="D92">
        <v>10</v>
      </c>
      <c r="E92" s="9" t="s">
        <v>111</v>
      </c>
      <c r="F92" s="9" t="s">
        <v>43</v>
      </c>
      <c r="G92" s="9" t="s">
        <v>106</v>
      </c>
      <c r="H92" s="9" t="s">
        <v>43</v>
      </c>
      <c r="I92" s="9" t="s">
        <v>107</v>
      </c>
      <c r="J92" s="9" t="s">
        <v>109</v>
      </c>
      <c r="K92" s="9" t="s">
        <v>102</v>
      </c>
      <c r="L92" s="9" t="s">
        <v>109</v>
      </c>
      <c r="M92" s="9" t="s">
        <v>104</v>
      </c>
      <c r="N92" s="9" t="s">
        <v>109</v>
      </c>
      <c r="O92" s="9" t="s">
        <v>100</v>
      </c>
      <c r="P92" s="9" t="s">
        <v>109</v>
      </c>
      <c r="Q92" t="s">
        <v>114</v>
      </c>
    </row>
    <row r="93" spans="2:17">
      <c r="B93">
        <v>91</v>
      </c>
      <c r="C93">
        <v>10</v>
      </c>
      <c r="D93">
        <v>1</v>
      </c>
      <c r="E93" s="9" t="s">
        <v>106</v>
      </c>
      <c r="F93" s="9" t="s">
        <v>43</v>
      </c>
      <c r="G93" s="9" t="s">
        <v>107</v>
      </c>
      <c r="H93" s="9" t="s">
        <v>43</v>
      </c>
      <c r="I93" s="9" t="s">
        <v>111</v>
      </c>
      <c r="J93" s="9" t="s">
        <v>109</v>
      </c>
      <c r="K93" s="9" t="s">
        <v>102</v>
      </c>
      <c r="L93" s="9" t="s">
        <v>109</v>
      </c>
      <c r="M93" s="9" t="s">
        <v>104</v>
      </c>
      <c r="N93" s="9" t="s">
        <v>109</v>
      </c>
      <c r="O93" s="9" t="s">
        <v>98</v>
      </c>
      <c r="P93" s="9" t="s">
        <v>109</v>
      </c>
      <c r="Q93" t="s">
        <v>115</v>
      </c>
    </row>
    <row r="94" spans="2:17">
      <c r="B94">
        <v>92</v>
      </c>
      <c r="C94">
        <v>10</v>
      </c>
      <c r="D94">
        <v>2</v>
      </c>
      <c r="E94" s="9" t="s">
        <v>102</v>
      </c>
      <c r="F94" s="9" t="s">
        <v>43</v>
      </c>
      <c r="G94" s="9" t="s">
        <v>106</v>
      </c>
      <c r="H94" s="9" t="s">
        <v>43</v>
      </c>
      <c r="I94" s="9" t="s">
        <v>104</v>
      </c>
      <c r="J94" s="9" t="s">
        <v>109</v>
      </c>
      <c r="K94" s="9" t="s">
        <v>111</v>
      </c>
      <c r="L94" s="9" t="s">
        <v>109</v>
      </c>
      <c r="M94" s="9" t="s">
        <v>107</v>
      </c>
      <c r="N94" s="9" t="s">
        <v>109</v>
      </c>
      <c r="O94" s="9" t="s">
        <v>100</v>
      </c>
      <c r="P94" s="9" t="s">
        <v>109</v>
      </c>
      <c r="Q94" t="s">
        <v>115</v>
      </c>
    </row>
    <row r="95" spans="2:17">
      <c r="B95">
        <v>93</v>
      </c>
      <c r="C95">
        <v>10</v>
      </c>
      <c r="D95">
        <v>3</v>
      </c>
      <c r="E95" s="9" t="s">
        <v>107</v>
      </c>
      <c r="F95" s="9" t="s">
        <v>43</v>
      </c>
      <c r="G95" s="9" t="s">
        <v>111</v>
      </c>
      <c r="H95" s="9" t="s">
        <v>43</v>
      </c>
      <c r="I95" s="9" t="s">
        <v>106</v>
      </c>
      <c r="J95" s="9" t="s">
        <v>109</v>
      </c>
      <c r="K95" s="9" t="s">
        <v>102</v>
      </c>
      <c r="L95" s="9" t="s">
        <v>109</v>
      </c>
      <c r="M95" s="9" t="s">
        <v>104</v>
      </c>
      <c r="N95" s="9" t="s">
        <v>109</v>
      </c>
      <c r="O95" s="9" t="s">
        <v>96</v>
      </c>
      <c r="P95" s="9" t="s">
        <v>109</v>
      </c>
      <c r="Q95" t="s">
        <v>115</v>
      </c>
    </row>
    <row r="96" spans="2:17">
      <c r="B96">
        <v>94</v>
      </c>
      <c r="C96">
        <v>10</v>
      </c>
      <c r="D96">
        <v>4</v>
      </c>
      <c r="E96" s="9" t="s">
        <v>104</v>
      </c>
      <c r="F96" s="9" t="s">
        <v>43</v>
      </c>
      <c r="G96" s="9" t="s">
        <v>102</v>
      </c>
      <c r="H96" s="9" t="s">
        <v>43</v>
      </c>
      <c r="I96" s="9" t="s">
        <v>111</v>
      </c>
      <c r="J96" s="9" t="s">
        <v>109</v>
      </c>
      <c r="K96" s="9" t="s">
        <v>107</v>
      </c>
      <c r="L96" s="9" t="s">
        <v>109</v>
      </c>
      <c r="M96" s="9" t="s">
        <v>106</v>
      </c>
      <c r="N96" s="9" t="s">
        <v>109</v>
      </c>
      <c r="O96" s="9" t="s">
        <v>98</v>
      </c>
      <c r="P96" s="9" t="s">
        <v>109</v>
      </c>
      <c r="Q96" t="s">
        <v>115</v>
      </c>
    </row>
    <row r="97" spans="2:17">
      <c r="B97">
        <v>95</v>
      </c>
      <c r="C97">
        <v>10</v>
      </c>
      <c r="D97">
        <v>5</v>
      </c>
      <c r="E97" s="9" t="s">
        <v>111</v>
      </c>
      <c r="F97" s="9" t="s">
        <v>43</v>
      </c>
      <c r="G97" s="9" t="s">
        <v>106</v>
      </c>
      <c r="H97" s="9" t="s">
        <v>109</v>
      </c>
      <c r="I97" s="9" t="s">
        <v>102</v>
      </c>
      <c r="J97" s="9" t="s">
        <v>109</v>
      </c>
      <c r="K97" s="9" t="s">
        <v>104</v>
      </c>
      <c r="L97" s="9" t="s">
        <v>109</v>
      </c>
      <c r="M97" s="9" t="s">
        <v>107</v>
      </c>
      <c r="N97" s="9" t="s">
        <v>109</v>
      </c>
      <c r="O97" s="9" t="s">
        <v>100</v>
      </c>
      <c r="P97" s="9" t="s">
        <v>109</v>
      </c>
      <c r="Q97" t="s">
        <v>115</v>
      </c>
    </row>
    <row r="98" spans="2:17">
      <c r="B98">
        <v>96</v>
      </c>
      <c r="C98">
        <v>10</v>
      </c>
      <c r="D98">
        <v>6</v>
      </c>
      <c r="E98" s="9" t="s">
        <v>106</v>
      </c>
      <c r="F98" s="9" t="s">
        <v>43</v>
      </c>
      <c r="G98" s="9" t="s">
        <v>111</v>
      </c>
      <c r="H98" s="9" t="s">
        <v>43</v>
      </c>
      <c r="I98" s="9" t="s">
        <v>107</v>
      </c>
      <c r="J98" s="9" t="s">
        <v>109</v>
      </c>
      <c r="K98" s="9" t="s">
        <v>104</v>
      </c>
      <c r="L98" s="9" t="s">
        <v>109</v>
      </c>
      <c r="M98" s="9" t="s">
        <v>102</v>
      </c>
      <c r="N98" s="9" t="s">
        <v>109</v>
      </c>
      <c r="O98" s="9" t="s">
        <v>96</v>
      </c>
      <c r="P98" s="9" t="s">
        <v>109</v>
      </c>
      <c r="Q98" t="s">
        <v>115</v>
      </c>
    </row>
    <row r="99" spans="2:17">
      <c r="B99">
        <v>97</v>
      </c>
      <c r="C99">
        <v>10</v>
      </c>
      <c r="D99">
        <v>7</v>
      </c>
      <c r="E99" s="9" t="s">
        <v>102</v>
      </c>
      <c r="F99" s="9" t="s">
        <v>43</v>
      </c>
      <c r="G99" s="9" t="s">
        <v>106</v>
      </c>
      <c r="H99" s="9" t="s">
        <v>109</v>
      </c>
      <c r="I99" s="9" t="s">
        <v>111</v>
      </c>
      <c r="J99" s="9" t="s">
        <v>109</v>
      </c>
      <c r="K99" s="9" t="s">
        <v>107</v>
      </c>
      <c r="L99" s="9" t="s">
        <v>109</v>
      </c>
      <c r="M99" s="9" t="s">
        <v>104</v>
      </c>
      <c r="N99" s="9" t="s">
        <v>109</v>
      </c>
      <c r="O99" s="9" t="s">
        <v>98</v>
      </c>
      <c r="P99" s="9" t="s">
        <v>109</v>
      </c>
      <c r="Q99" t="s">
        <v>115</v>
      </c>
    </row>
    <row r="100" spans="2:17">
      <c r="B100">
        <v>98</v>
      </c>
      <c r="C100">
        <v>10</v>
      </c>
      <c r="D100">
        <v>8</v>
      </c>
      <c r="E100" s="9" t="s">
        <v>107</v>
      </c>
      <c r="F100" s="9" t="s">
        <v>43</v>
      </c>
      <c r="G100" s="9" t="s">
        <v>104</v>
      </c>
      <c r="H100" s="9" t="s">
        <v>109</v>
      </c>
      <c r="I100" s="9" t="s">
        <v>102</v>
      </c>
      <c r="J100" s="9" t="s">
        <v>109</v>
      </c>
      <c r="K100" s="9" t="s">
        <v>111</v>
      </c>
      <c r="L100" s="9" t="s">
        <v>109</v>
      </c>
      <c r="M100" s="9" t="s">
        <v>106</v>
      </c>
      <c r="N100" s="9" t="s">
        <v>109</v>
      </c>
      <c r="O100" s="9" t="s">
        <v>100</v>
      </c>
      <c r="P100" s="9" t="s">
        <v>109</v>
      </c>
      <c r="Q100" t="s">
        <v>115</v>
      </c>
    </row>
    <row r="101" spans="2:17">
      <c r="B101">
        <v>99</v>
      </c>
      <c r="C101">
        <v>10</v>
      </c>
      <c r="D101">
        <v>9</v>
      </c>
      <c r="E101" s="9" t="s">
        <v>111</v>
      </c>
      <c r="F101" s="9" t="s">
        <v>43</v>
      </c>
      <c r="G101" s="9" t="s">
        <v>106</v>
      </c>
      <c r="H101" s="9" t="s">
        <v>109</v>
      </c>
      <c r="I101" s="9" t="s">
        <v>107</v>
      </c>
      <c r="J101" s="9" t="s">
        <v>109</v>
      </c>
      <c r="K101" s="9" t="s">
        <v>102</v>
      </c>
      <c r="L101" s="9" t="s">
        <v>109</v>
      </c>
      <c r="M101" s="9" t="s">
        <v>104</v>
      </c>
      <c r="N101" s="9" t="s">
        <v>109</v>
      </c>
      <c r="O101" s="9" t="s">
        <v>96</v>
      </c>
      <c r="P101" s="9" t="s">
        <v>109</v>
      </c>
      <c r="Q101" t="s">
        <v>115</v>
      </c>
    </row>
    <row r="102" spans="2:17">
      <c r="B102">
        <v>100</v>
      </c>
      <c r="C102">
        <v>10</v>
      </c>
      <c r="D102">
        <v>10</v>
      </c>
      <c r="E102" s="9" t="s">
        <v>106</v>
      </c>
      <c r="F102" s="9" t="s">
        <v>43</v>
      </c>
      <c r="G102" s="9" t="s">
        <v>111</v>
      </c>
      <c r="H102" s="9" t="s">
        <v>109</v>
      </c>
      <c r="I102" s="9" t="s">
        <v>102</v>
      </c>
      <c r="J102" s="9" t="s">
        <v>109</v>
      </c>
      <c r="K102" s="9" t="s">
        <v>107</v>
      </c>
      <c r="L102" s="9" t="s">
        <v>109</v>
      </c>
      <c r="M102" s="9" t="s">
        <v>104</v>
      </c>
      <c r="N102" s="9" t="s">
        <v>109</v>
      </c>
      <c r="O102" s="9" t="s">
        <v>98</v>
      </c>
      <c r="P102" s="9" t="s">
        <v>109</v>
      </c>
      <c r="Q102" t="s">
        <v>115</v>
      </c>
    </row>
    <row r="103" spans="2:17"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</row>
    <row r="104" spans="2:17"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</row>
    <row r="105" spans="2:17"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</row>
    <row r="106" spans="2:17"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</row>
    <row r="107" spans="2:17"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</row>
    <row r="108" spans="2:17"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</row>
    <row r="109" spans="2:17"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</row>
    <row r="110" spans="2:17"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</row>
    <row r="111" spans="2:17"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</row>
    <row r="112" spans="2:17"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</row>
    <row r="113" spans="5:16"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</row>
    <row r="114" spans="5:16"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</row>
    <row r="115" spans="5:16"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</row>
    <row r="116" spans="5:16"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</row>
    <row r="117" spans="5:16"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</row>
    <row r="118" spans="5:16"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</row>
    <row r="119" spans="5:16"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</row>
    <row r="120" spans="5:16"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</row>
    <row r="121" spans="5:16"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</row>
    <row r="122" spans="5:16"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</row>
    <row r="123" spans="5:16"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</row>
    <row r="124" spans="5:16"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</row>
    <row r="125" spans="5:16"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</row>
    <row r="126" spans="5:16"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</row>
    <row r="127" spans="5:16"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</row>
  </sheetData>
  <phoneticPr fontId="1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0" tint="-0.49995422223578601"/>
  </sheetPr>
  <dimension ref="A1:B10"/>
  <sheetViews>
    <sheetView workbookViewId="0"/>
  </sheetViews>
  <sheetFormatPr defaultRowHeight="16.5"/>
  <sheetData>
    <row r="1" spans="1:2">
      <c r="A1" t="s">
        <v>116</v>
      </c>
      <c r="B1" t="s">
        <v>117</v>
      </c>
    </row>
    <row r="2" spans="1:2">
      <c r="A2" t="s">
        <v>118</v>
      </c>
      <c r="B2" t="s">
        <v>97</v>
      </c>
    </row>
    <row r="3" spans="1:2">
      <c r="A3" t="s">
        <v>98</v>
      </c>
      <c r="B3" t="s">
        <v>43</v>
      </c>
    </row>
    <row r="4" spans="1:2">
      <c r="A4" t="s">
        <v>96</v>
      </c>
      <c r="B4" t="s">
        <v>109</v>
      </c>
    </row>
    <row r="5" spans="1:2">
      <c r="A5" t="s">
        <v>106</v>
      </c>
    </row>
    <row r="6" spans="1:2">
      <c r="A6" t="s">
        <v>102</v>
      </c>
    </row>
    <row r="7" spans="1:2">
      <c r="A7" t="s">
        <v>111</v>
      </c>
    </row>
    <row r="8" spans="1:2">
      <c r="A8" t="s">
        <v>107</v>
      </c>
    </row>
    <row r="9" spans="1:2">
      <c r="A9" t="s">
        <v>100</v>
      </c>
    </row>
    <row r="10" spans="1:2">
      <c r="A10" t="s">
        <v>104</v>
      </c>
    </row>
  </sheetData>
  <phoneticPr fontId="1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mc="http://schemas.openxmlformats.org/markup-compatibility/2006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00000000-0001-0000-0600-000000000000}">
  <dimension ref="B1:Y211"/>
  <sheetViews>
    <sheetView workbookViewId="0"/>
  </sheetViews>
  <sheetFormatPr defaultRowHeight="16.5"/>
  <cols>
    <col min="2" max="2" width="64" customWidth="1"/>
  </cols>
  <sheetData>
    <row r="2" spans="2:7">
      <c r="B2" t="s">
        <v>144</v>
      </c>
      <c r="C2" t="s">
        <v>145</v>
      </c>
      <c r="D2" t="s">
        <v>146</v>
      </c>
      <c r="E2" t="s">
        <v>147</v>
      </c>
      <c r="F2" t="s">
        <v>148</v>
      </c>
    </row>
    <row r="3" spans="2:7">
      <c r="B3" t="s">
        <v>149</v>
      </c>
      <c r="C3" t="s">
        <v>150</v>
      </c>
      <c r="D3">
        <v>8</v>
      </c>
    </row>
    <row r="4" spans="2:7">
      <c r="B4" t="s">
        <v>151</v>
      </c>
      <c r="C4" t="s">
        <v>150</v>
      </c>
      <c r="D4">
        <v>8</v>
      </c>
    </row>
    <row r="5" spans="2:7">
      <c r="B5" t="s">
        <v>152</v>
      </c>
      <c r="C5" t="s">
        <v>150</v>
      </c>
      <c r="D5">
        <v>60</v>
      </c>
    </row>
    <row r="6" spans="2:7">
      <c r="B6" t="s">
        <v>153</v>
      </c>
      <c r="C6" t="s">
        <v>150</v>
      </c>
      <c r="D6">
        <v>32</v>
      </c>
    </row>
    <row r="7" spans="2:7">
      <c r="B7" t="s">
        <v>154</v>
      </c>
      <c r="C7" t="s">
        <v>150</v>
      </c>
      <c r="D7">
        <v>1.25</v>
      </c>
      <c r="G7">
        <f>D6*D7</f>
        <v>40</v>
      </c>
    </row>
    <row r="8" spans="2:7">
      <c r="B8" t="s">
        <v>155</v>
      </c>
      <c r="C8" t="s">
        <v>150</v>
      </c>
      <c r="D8">
        <v>1.6</v>
      </c>
    </row>
    <row r="9" spans="2:7">
      <c r="B9" t="s">
        <v>156</v>
      </c>
      <c r="C9" t="s">
        <v>150</v>
      </c>
      <c r="D9">
        <v>1</v>
      </c>
    </row>
    <row r="10" spans="2:7">
      <c r="B10" t="s">
        <v>157</v>
      </c>
      <c r="C10" t="s">
        <v>150</v>
      </c>
      <c r="D10">
        <f>'밸런스 조정'!C59</f>
        <v>8.84</v>
      </c>
    </row>
    <row r="11" spans="2:7">
      <c r="B11" t="s">
        <v>158</v>
      </c>
      <c r="C11" t="s">
        <v>150</v>
      </c>
      <c r="D11">
        <f>'밸런스 조정'!C60</f>
        <v>7.8</v>
      </c>
    </row>
    <row r="12" spans="2:7">
      <c r="B12" t="s">
        <v>159</v>
      </c>
      <c r="C12" t="s">
        <v>150</v>
      </c>
      <c r="D12">
        <f>'밸런스 조정'!C88</f>
        <v>7.8</v>
      </c>
    </row>
    <row r="13" spans="2:7">
      <c r="B13" t="s">
        <v>160</v>
      </c>
      <c r="C13" t="s">
        <v>150</v>
      </c>
      <c r="D13">
        <f>'밸런스 조정'!C95</f>
        <v>15</v>
      </c>
    </row>
    <row r="14" spans="2:7">
      <c r="B14" t="s">
        <v>161</v>
      </c>
      <c r="C14" t="s">
        <v>150</v>
      </c>
      <c r="D14" t="n">
        <f>'밸런스 조정'!C96</f>
        <v>62</v>
      </c>
    </row>
    <row r="15" spans="2:7">
      <c r="B15" t="s">
        <v>162</v>
      </c>
      <c r="C15" t="s">
        <v>150</v>
      </c>
      <c r="D15" t="n">
        <f>'밸런스 조정'!C97</f>
        <v>350</v>
      </c>
    </row>
    <row r="16" spans="2:7">
      <c r="B16" t="s">
        <v>163</v>
      </c>
      <c r="C16" t="s">
        <v>150</v>
      </c>
      <c r="D16">
        <f>'밸런스 조정'!C98</f>
        <v>20</v>
      </c>
    </row>
    <row r="17" spans="2:4">
      <c r="B17" t="s">
        <v>164</v>
      </c>
      <c r="C17" t="s">
        <v>150</v>
      </c>
      <c r="D17">
        <f>'밸런스 조정'!C99</f>
        <v>0</v>
      </c>
    </row>
    <row r="18" spans="2:4">
      <c r="B18" t="s">
        <v>165</v>
      </c>
      <c r="C18" t="s">
        <v>150</v>
      </c>
      <c r="D18">
        <f>'밸런스 조정'!C100</f>
        <v>20</v>
      </c>
    </row>
    <row r="19" spans="2:4">
      <c r="B19" t="s">
        <v>166</v>
      </c>
      <c r="C19" t="s">
        <v>150</v>
      </c>
      <c r="D19">
        <f>'밸런스 조정'!C101</f>
        <v>5</v>
      </c>
    </row>
    <row r="20" spans="2:4">
      <c r="B20" t="s">
        <v>167</v>
      </c>
      <c r="C20" t="s">
        <v>150</v>
      </c>
      <c r="D20">
        <f>'밸런스 조정'!C102</f>
        <v>25</v>
      </c>
    </row>
    <row r="21" spans="2:4">
      <c r="B21" t="s">
        <v>168</v>
      </c>
      <c r="C21" t="s">
        <v>150</v>
      </c>
      <c r="D21">
        <f>'밸런스 조정'!C103</f>
        <v>5</v>
      </c>
    </row>
    <row r="22" spans="2:4">
      <c r="B22" t="s">
        <v>169</v>
      </c>
      <c r="C22" t="s">
        <v>150</v>
      </c>
      <c r="D22">
        <f>'밸런스 조정'!C104</f>
        <v>30</v>
      </c>
    </row>
    <row r="23" spans="2:4">
      <c r="B23" t="s">
        <v>170</v>
      </c>
      <c r="C23" t="s">
        <v>150</v>
      </c>
      <c r="D23">
        <f>'밸런스 조정'!C105</f>
        <v>5</v>
      </c>
    </row>
    <row r="24" spans="2:4">
      <c r="B24" t="s">
        <v>171</v>
      </c>
      <c r="C24" t="s">
        <v>150</v>
      </c>
      <c r="D24">
        <v>3.5</v>
      </c>
    </row>
    <row r="25" spans="2:4">
      <c r="B25" t="s">
        <v>172</v>
      </c>
      <c r="C25" t="s">
        <v>150</v>
      </c>
      <c r="D25">
        <v>3.5</v>
      </c>
    </row>
    <row r="26" spans="2:4">
      <c r="B26" t="s">
        <v>173</v>
      </c>
      <c r="C26" t="s">
        <v>150</v>
      </c>
      <c r="D26">
        <f>'밸런스 조정'!C110</f>
        <v>2.2000000000000002</v>
      </c>
    </row>
    <row r="27" spans="2:4">
      <c r="B27" t="s">
        <v>174</v>
      </c>
      <c r="C27" t="s">
        <v>150</v>
      </c>
      <c r="D27">
        <f>'밸런스 조정'!C111</f>
        <v>16</v>
      </c>
    </row>
    <row r="28" spans="2:4">
      <c r="B28" t="s">
        <v>175</v>
      </c>
      <c r="C28" t="s">
        <v>150</v>
      </c>
      <c r="D28">
        <f>'밸런스 조정'!C112</f>
        <v>220</v>
      </c>
    </row>
    <row r="29" spans="2:4">
      <c r="B29" t="s">
        <v>176</v>
      </c>
      <c r="C29" t="s">
        <v>150</v>
      </c>
      <c r="D29">
        <f>'밸런스 조정'!C113</f>
        <v>0.1</v>
      </c>
    </row>
    <row r="30" spans="2:4">
      <c r="B30" t="s">
        <v>177</v>
      </c>
      <c r="C30" t="s">
        <v>150</v>
      </c>
      <c r="D30">
        <f>'밸런스 조정'!C114</f>
        <v>30</v>
      </c>
    </row>
    <row r="31" spans="2:4">
      <c r="B31" t="s">
        <v>178</v>
      </c>
      <c r="C31" t="s">
        <v>150</v>
      </c>
      <c r="D31">
        <f>'밸런스 조정'!C115</f>
        <v>520</v>
      </c>
    </row>
    <row r="32" spans="2:4">
      <c r="B32" t="s">
        <v>179</v>
      </c>
      <c r="C32" t="s">
        <v>150</v>
      </c>
      <c r="D32">
        <f>'밸런스 조정'!C116</f>
        <v>3.2</v>
      </c>
    </row>
    <row r="33" spans="2:4">
      <c r="B33" t="s">
        <v>180</v>
      </c>
      <c r="C33" t="s">
        <v>150</v>
      </c>
      <c r="D33">
        <f>'밸런스 조정'!C117</f>
        <v>1.05</v>
      </c>
    </row>
    <row r="34" spans="2:4">
      <c r="B34" t="s">
        <v>181</v>
      </c>
      <c r="C34" t="s">
        <v>150</v>
      </c>
      <c r="D34">
        <f>'밸런스 조정'!C118</f>
        <v>0.12</v>
      </c>
    </row>
    <row r="35">
      <c r="B35" t="inlineStr">
        <is>
          <t>hwy2_length</t>
        </is>
      </c>
      <c r="C35" t="inlineStr">
        <is>
          <t>float</t>
        </is>
      </c>
      <c r="D35">
        <f>'밸런스 조정'!C119</f>
        <v>2340</v>
      </c>
      <c r="E35">
        <v>0</v>
      </c>
      <c r="F35">
        <v>0</v>
      </c>
    </row>
    <row r="36">
      <c r="B36" t="inlineStr">
        <is>
          <t>hwy2_runSpeed</t>
        </is>
      </c>
      <c r="C36" t="inlineStr">
        <is>
          <t>float</t>
        </is>
      </c>
      <c r="D36">
        <f>'밸런스 조정'!C120</f>
        <v>7.8</v>
      </c>
      <c r="E36">
        <v>0</v>
      </c>
      <c r="F36">
        <v>0</v>
      </c>
    </row>
    <row r="37">
      <c r="B37" t="inlineStr">
        <is>
          <t>hwy2_laneWidth</t>
        </is>
      </c>
      <c r="C37" t="inlineStr">
        <is>
          <t>float</t>
        </is>
      </c>
      <c r="D37">
        <f>'밸런스 조정'!C121</f>
        <v>4.4</v>
      </c>
      <c r="E37">
        <v>0</v>
      </c>
      <c r="F37">
        <v>0</v>
      </c>
    </row>
    <row r="38">
      <c r="B38" t="inlineStr">
        <is>
          <t>hwy2_sharkScale</t>
        </is>
      </c>
      <c r="C38" t="inlineStr">
        <is>
          <t>float</t>
        </is>
      </c>
      <c r="D38">
        <f>'밸런스 조정'!C122</f>
        <v>0.8</v>
      </c>
      <c r="E38">
        <v>0</v>
      </c>
      <c r="F38">
        <v>0</v>
      </c>
    </row>
    <row r="39">
      <c r="B39" t="inlineStr">
        <is>
          <t>hwy2_cameraScale</t>
        </is>
      </c>
      <c r="C39" t="inlineStr">
        <is>
          <t>float</t>
        </is>
      </c>
      <c r="D39">
        <f>'밸런스 조정'!C123</f>
        <v>1.15</v>
      </c>
      <c r="E39">
        <v>0</v>
      </c>
      <c r="F39">
        <v>0</v>
      </c>
    </row>
    <row r="40">
      <c r="B40" t="inlineStr">
        <is>
          <t>hwy2_medianWidth</t>
        </is>
      </c>
      <c r="C40" t="inlineStr">
        <is>
          <t>float</t>
        </is>
      </c>
      <c r="D40">
        <f>'밸런스 조정'!C124</f>
        <v>0.84</v>
      </c>
      <c r="E40">
        <v>0</v>
      </c>
      <c r="F40">
        <v>0</v>
      </c>
    </row>
    <row r="41">
      <c r="B41" t="inlineStr">
        <is>
          <t>hwy2_medianHeight</t>
        </is>
      </c>
      <c r="C41" t="inlineStr">
        <is>
          <t>float</t>
        </is>
      </c>
      <c r="D41">
        <f>'밸런스 조정'!C125</f>
        <v>1</v>
      </c>
      <c r="E41">
        <v>0</v>
      </c>
      <c r="F41">
        <v>0</v>
      </c>
    </row>
    <row r="42">
      <c r="B42" t="inlineStr">
        <is>
          <t>hwy2_medianShoulder</t>
        </is>
      </c>
      <c r="C42" t="inlineStr">
        <is>
          <t>float</t>
        </is>
      </c>
      <c r="D42">
        <f>'밸런스 조정'!C126</f>
        <v>0.6</v>
      </c>
      <c r="E42">
        <v>0</v>
      </c>
      <c r="F42">
        <v>0</v>
      </c>
    </row>
    <row r="43">
      <c r="B43" t="inlineStr">
        <is>
          <t>hwy2_outerShoulder</t>
        </is>
      </c>
      <c r="C43" t="inlineStr">
        <is>
          <t>float</t>
        </is>
      </c>
      <c r="D43">
        <f>'밸런스 조정'!C127</f>
        <v>2</v>
      </c>
      <c r="E43">
        <v>0</v>
      </c>
      <c r="F43">
        <v>0</v>
      </c>
    </row>
    <row r="44">
      <c r="B44" t="inlineStr">
        <is>
          <t>hwy2_dashPaint</t>
        </is>
      </c>
      <c r="C44" t="inlineStr">
        <is>
          <t>float</t>
        </is>
      </c>
      <c r="D44">
        <f>'밸런스 조정'!C128</f>
        <v>8</v>
      </c>
      <c r="E44">
        <v>0</v>
      </c>
      <c r="F44">
        <v>0</v>
      </c>
    </row>
    <row r="45">
      <c r="B45" t="inlineStr">
        <is>
          <t>hwy2_dashGap</t>
        </is>
      </c>
      <c r="C45" t="inlineStr">
        <is>
          <t>float</t>
        </is>
      </c>
      <c r="D45">
        <f>'밸런스 조정'!C129</f>
        <v>12</v>
      </c>
      <c r="E45">
        <v>0</v>
      </c>
      <c r="F45">
        <v>0</v>
      </c>
    </row>
    <row r="46">
      <c r="B46" t="inlineStr">
        <is>
          <t>hwy2_paintWidth</t>
        </is>
      </c>
      <c r="C46" t="inlineStr">
        <is>
          <t>float</t>
        </is>
      </c>
      <c r="D46">
        <f>'밸런스 조정'!C130</f>
        <v>0.15</v>
      </c>
      <c r="E46">
        <v>0</v>
      </c>
      <c r="F46">
        <v>0</v>
      </c>
    </row>
    <row r="47">
      <c r="B47" t="inlineStr">
        <is>
          <t>hwy2_meshStep</t>
        </is>
      </c>
      <c r="C47" t="inlineStr">
        <is>
          <t>float</t>
        </is>
      </c>
      <c r="D47">
        <f>'밸런스 조정'!C131</f>
        <v>2</v>
      </c>
      <c r="E47">
        <v>0</v>
      </c>
      <c r="F47">
        <v>0</v>
      </c>
    </row>
    <row r="48">
      <c r="B48" t="inlineStr">
        <is>
          <t>hwy2_meshSegment</t>
        </is>
      </c>
      <c r="C48" t="inlineStr">
        <is>
          <t>float</t>
        </is>
      </c>
      <c r="D48">
        <f>'밸런스 조정'!C132</f>
        <v>40</v>
      </c>
      <c r="E48">
        <v>0</v>
      </c>
      <c r="F48">
        <v>0</v>
      </c>
    </row>
    <row r="49">
      <c r="B49" t="inlineStr">
        <is>
          <t>hwy2_forkAt</t>
        </is>
      </c>
      <c r="C49" t="inlineStr">
        <is>
          <t>float</t>
        </is>
      </c>
      <c r="D49">
        <f>'밸런스 조정'!C133</f>
        <v>468</v>
      </c>
      <c r="E49">
        <v>0</v>
      </c>
      <c r="F49">
        <v>0</v>
      </c>
    </row>
    <row r="50">
      <c r="B50" t="inlineStr">
        <is>
          <t>hwy2_mergeAt</t>
        </is>
      </c>
      <c r="C50" t="inlineStr">
        <is>
          <t>float</t>
        </is>
      </c>
      <c r="D50">
        <f>'밸런스 조정'!C134</f>
        <v>1170</v>
      </c>
      <c r="E50">
        <v>0</v>
      </c>
      <c r="F50">
        <v>0</v>
      </c>
    </row>
    <row r="51">
      <c r="B51" t="inlineStr">
        <is>
          <t>hwy2_branchOffset</t>
        </is>
      </c>
      <c r="C51" t="inlineStr">
        <is>
          <t>float</t>
        </is>
      </c>
      <c r="D51">
        <f>'밸런스 조정'!C135</f>
        <v>36</v>
      </c>
      <c r="E51">
        <v>0</v>
      </c>
      <c r="F51">
        <v>0</v>
      </c>
    </row>
    <row r="52">
      <c r="B52" t="inlineStr">
        <is>
          <t>hwy2_tollAt</t>
        </is>
      </c>
      <c r="C52" t="inlineStr">
        <is>
          <t>float</t>
        </is>
      </c>
      <c r="D52">
        <f>'밸런스 조정'!C136</f>
        <v>1950</v>
      </c>
      <c r="E52">
        <v>0</v>
      </c>
      <c r="F52">
        <v>0</v>
      </c>
    </row>
    <row r="53">
      <c r="B53" t="inlineStr">
        <is>
          <t>hwy2_tollMerge</t>
        </is>
      </c>
      <c r="C53" t="inlineStr">
        <is>
          <t>float</t>
        </is>
      </c>
      <c r="D53">
        <f>'밸런스 조정'!C137</f>
        <v>2320</v>
      </c>
      <c r="E53">
        <v>0</v>
      </c>
      <c r="F53">
        <v>0</v>
      </c>
    </row>
    <row r="54">
      <c r="B54" t="inlineStr">
        <is>
          <t>hwy2_tollBranchOffset</t>
        </is>
      </c>
      <c r="C54" t="inlineStr">
        <is>
          <t>float</t>
        </is>
      </c>
      <c r="D54">
        <f>'밸런스 조정'!C138</f>
        <v>18</v>
      </c>
      <c r="E54">
        <v>0</v>
      </c>
      <c r="F54">
        <v>0</v>
      </c>
    </row>
    <row r="55">
      <c r="B55" t="inlineStr">
        <is>
          <t>hwy2_popupAhead</t>
        </is>
      </c>
      <c r="C55" t="inlineStr">
        <is>
          <t>float</t>
        </is>
      </c>
      <c r="D55">
        <f>'밸런스 조정'!C139</f>
        <v>60</v>
      </c>
      <c r="E55">
        <v>0</v>
      </c>
      <c r="F55">
        <v>0</v>
      </c>
    </row>
    <row r="56">
      <c r="B56" t="inlineStr">
        <is>
          <t>hwy2_popupSeconds</t>
        </is>
      </c>
      <c r="C56" t="inlineStr">
        <is>
          <t>float</t>
        </is>
      </c>
      <c r="D56">
        <f>'밸런스 조정'!C140</f>
        <v>5</v>
      </c>
      <c r="E56">
        <v>0</v>
      </c>
      <c r="F56">
        <v>0</v>
      </c>
    </row>
    <row r="57">
      <c r="B57" t="inlineStr">
        <is>
          <t>hwy2_popupSlow</t>
        </is>
      </c>
      <c r="C57" t="inlineStr">
        <is>
          <t>float</t>
        </is>
      </c>
      <c r="D57">
        <f>'밸런스 조정'!C141</f>
        <v>0.2</v>
      </c>
      <c r="E57">
        <v>0</v>
      </c>
      <c r="F57">
        <v>0</v>
      </c>
    </row>
    <row r="58">
      <c r="B58" t="inlineStr">
        <is>
          <t>hwy2_popupQuiet</t>
        </is>
      </c>
      <c r="C58" t="inlineStr">
        <is>
          <t>float</t>
        </is>
      </c>
      <c r="D58">
        <f>'밸런스 조정'!C142</f>
        <v>40</v>
      </c>
      <c r="E58">
        <v>0</v>
      </c>
      <c r="F58">
        <v>0</v>
      </c>
    </row>
    <row r="59">
      <c r="B59" t="inlineStr">
        <is>
          <t>hwy2_separation</t>
        </is>
      </c>
      <c r="C59" t="inlineStr">
        <is>
          <t>float</t>
        </is>
      </c>
      <c r="D59">
        <f>'밸런스 조정'!C143</f>
        <v>23</v>
      </c>
      <c r="E59">
        <v>0</v>
      </c>
      <c r="F59">
        <v>0</v>
      </c>
    </row>
    <row r="60">
      <c r="B60" t="inlineStr">
        <is>
          <t>hwy2_accidentQuietSeconds</t>
        </is>
      </c>
      <c r="C60" t="inlineStr">
        <is>
          <t>float</t>
        </is>
      </c>
      <c r="D60">
        <f>'밸런스 조정'!C144</f>
        <v>8</v>
      </c>
      <c r="E60">
        <v>0</v>
      </c>
      <c r="F60">
        <v>0</v>
      </c>
    </row>
    <row r="61">
      <c r="B61" t="inlineStr">
        <is>
          <t>hwy2_hpSedan</t>
        </is>
      </c>
      <c r="C61" t="inlineStr">
        <is>
          <t>float</t>
        </is>
      </c>
      <c r="D61">
        <f>'밸런스 조정'!C145</f>
        <v>1</v>
      </c>
      <c r="E61">
        <v>0</v>
      </c>
      <c r="F61">
        <v>0</v>
      </c>
    </row>
    <row r="62">
      <c r="B62" t="inlineStr">
        <is>
          <t>hwy2_hpTaxi</t>
        </is>
      </c>
      <c r="C62" t="inlineStr">
        <is>
          <t>float</t>
        </is>
      </c>
      <c r="D62">
        <f>'밸런스 조정'!C146</f>
        <v>1</v>
      </c>
      <c r="E62">
        <v>0</v>
      </c>
      <c r="F62">
        <v>0</v>
      </c>
    </row>
    <row r="63">
      <c r="B63" t="inlineStr">
        <is>
          <t>hwy2_hpOneTon</t>
        </is>
      </c>
      <c r="C63" t="inlineStr">
        <is>
          <t>float</t>
        </is>
      </c>
      <c r="D63">
        <f>'밸런스 조정'!C147</f>
        <v>1.3</v>
      </c>
      <c r="E63">
        <v>0</v>
      </c>
      <c r="F63">
        <v>0</v>
      </c>
    </row>
    <row r="64">
      <c r="B64" t="inlineStr">
        <is>
          <t>hwy2_hpBox</t>
        </is>
      </c>
      <c r="C64" t="inlineStr">
        <is>
          <t>float</t>
        </is>
      </c>
      <c r="D64">
        <f>'밸런스 조정'!C148</f>
        <v>1.6</v>
      </c>
      <c r="E64">
        <v>0</v>
      </c>
      <c r="F64">
        <v>0</v>
      </c>
    </row>
    <row r="65">
      <c r="B65" t="inlineStr">
        <is>
          <t>hwy2_hpTanker</t>
        </is>
      </c>
      <c r="C65" t="inlineStr">
        <is>
          <t>float</t>
        </is>
      </c>
      <c r="D65">
        <f>'밸런스 조정'!C149</f>
        <v>2</v>
      </c>
      <c r="E65">
        <v>0</v>
      </c>
      <c r="F65">
        <v>0</v>
      </c>
    </row>
    <row r="66">
      <c r="B66" t="inlineStr">
        <is>
          <t>hwy2_hpBus</t>
        </is>
      </c>
      <c r="C66" t="inlineStr">
        <is>
          <t>float</t>
        </is>
      </c>
      <c r="D66">
        <f>'밸런스 조정'!C150</f>
        <v>3</v>
      </c>
      <c r="E66">
        <v>0</v>
      </c>
      <c r="F66">
        <v>0</v>
      </c>
    </row>
    <row r="67">
      <c r="B67" t="inlineStr">
        <is>
          <t>hwy2_hpPolice</t>
        </is>
      </c>
      <c r="C67" t="inlineStr">
        <is>
          <t>float</t>
        </is>
      </c>
      <c r="D67">
        <f>'밸런스 조정'!C151</f>
        <v>1.2</v>
      </c>
      <c r="E67">
        <v>0</v>
      </c>
      <c r="F67">
        <v>0</v>
      </c>
    </row>
    <row r="68">
      <c r="B68" t="inlineStr">
        <is>
          <t>hwy2_hpTow</t>
        </is>
      </c>
      <c r="C68" t="inlineStr">
        <is>
          <t>float</t>
        </is>
      </c>
      <c r="D68">
        <f>'밸런스 조정'!C152</f>
        <v>1.2</v>
      </c>
      <c r="E68">
        <v>0</v>
      </c>
      <c r="F68">
        <v>0</v>
      </c>
    </row>
    <row r="69">
      <c r="B69" t="inlineStr">
        <is>
          <t>hwy2_hpAccident</t>
        </is>
      </c>
      <c r="C69" t="inlineStr">
        <is>
          <t>float</t>
        </is>
      </c>
      <c r="D69">
        <f>'밸런스 조정'!C153</f>
        <v>2.5</v>
      </c>
      <c r="E69">
        <v>0</v>
      </c>
      <c r="F69">
        <v>0</v>
      </c>
    </row>
    <row r="70">
      <c r="B70" t="inlineStr">
        <is>
          <t>hwy2_targetDps</t>
        </is>
      </c>
      <c r="C70" t="inlineStr">
        <is>
          <t>float</t>
        </is>
      </c>
      <c r="D70">
        <f>'밸런스 조정'!C154</f>
        <v>64</v>
      </c>
      <c r="E70">
        <v>0</v>
      </c>
      <c r="F70">
        <v>0</v>
      </c>
    </row>
    <row r="71">
      <c r="B71" t="inlineStr">
        <is>
          <t>hwy2_healthSeconds</t>
        </is>
      </c>
      <c r="C71" t="inlineStr">
        <is>
          <t>float</t>
        </is>
      </c>
      <c r="D71">
        <f>'밸런스 조정'!C155</f>
        <v>3.8</v>
      </c>
      <c r="E71">
        <v>0</v>
      </c>
      <c r="F71">
        <v>0</v>
      </c>
    </row>
    <row r="72">
      <c r="B72" t="inlineStr">
        <is>
          <t>hwy2_coinBase</t>
        </is>
      </c>
      <c r="C72" t="inlineStr">
        <is>
          <t>float</t>
        </is>
      </c>
      <c r="D72">
        <f>'밸런스 조정'!C156</f>
        <v>62</v>
      </c>
      <c r="E72">
        <v>0</v>
      </c>
      <c r="F72">
        <v>0</v>
      </c>
    </row>
    <row r="73">
      <c r="B73" t="inlineStr">
        <is>
          <t>hwy2_jamCoin</t>
        </is>
      </c>
      <c r="C73" t="inlineStr">
        <is>
          <t>float</t>
        </is>
      </c>
      <c r="D73">
        <f>'밸런스 조정'!C157</f>
        <v>1.5</v>
      </c>
      <c r="E73">
        <v>0</v>
      </c>
      <c r="F73">
        <v>0</v>
      </c>
    </row>
    <row r="74">
      <c r="B74" t="inlineStr">
        <is>
          <t>hwy2_openCoin</t>
        </is>
      </c>
      <c r="C74" t="inlineStr">
        <is>
          <t>float</t>
        </is>
      </c>
      <c r="D74">
        <f>'밸런스 조정'!C158</f>
        <v>0.8</v>
      </c>
      <c r="E74">
        <v>0</v>
      </c>
      <c r="F74">
        <v>0</v>
      </c>
    </row>
    <row r="75">
      <c r="B75" t="inlineStr">
        <is>
          <t>hwy2_jamMinSpeed</t>
        </is>
      </c>
      <c r="C75" t="inlineStr">
        <is>
          <t>float</t>
        </is>
      </c>
      <c r="D75">
        <f>'밸런스 조정'!C159</f>
        <v>3</v>
      </c>
      <c r="E75">
        <v>0</v>
      </c>
      <c r="F75">
        <v>0</v>
      </c>
    </row>
    <row r="76">
      <c r="B76" t="inlineStr">
        <is>
          <t>hwy2_jamMaxSpeed</t>
        </is>
      </c>
      <c r="C76" t="inlineStr">
        <is>
          <t>float</t>
        </is>
      </c>
      <c r="D76">
        <f>'밸런스 조정'!C160</f>
        <v>5</v>
      </c>
      <c r="E76">
        <v>0</v>
      </c>
      <c r="F76">
        <v>0</v>
      </c>
    </row>
    <row r="77">
      <c r="B77" t="inlineStr">
        <is>
          <t>hwy2_jamGapMin</t>
        </is>
      </c>
      <c r="C77" t="inlineStr">
        <is>
          <t>float</t>
        </is>
      </c>
      <c r="D77">
        <f>'밸런스 조정'!C161</f>
        <v>20</v>
      </c>
      <c r="E77">
        <v>0</v>
      </c>
      <c r="F77">
        <v>0</v>
      </c>
    </row>
    <row r="78">
      <c r="B78" t="inlineStr">
        <is>
          <t>hwy2_jamGapMax</t>
        </is>
      </c>
      <c r="C78" t="inlineStr">
        <is>
          <t>float</t>
        </is>
      </c>
      <c r="D78">
        <f>'밸런스 조정'!C162</f>
        <v>25</v>
      </c>
      <c r="E78">
        <v>0</v>
      </c>
      <c r="F78">
        <v>0</v>
      </c>
    </row>
    <row r="79">
      <c r="B79" t="inlineStr">
        <is>
          <t>hwy2_openMinSpeed</t>
        </is>
      </c>
      <c r="C79" t="inlineStr">
        <is>
          <t>float</t>
        </is>
      </c>
      <c r="D79">
        <f>'밸런스 조정'!C163</f>
        <v>22</v>
      </c>
      <c r="E79">
        <v>0</v>
      </c>
      <c r="F79">
        <v>0</v>
      </c>
    </row>
    <row r="80">
      <c r="B80" t="inlineStr">
        <is>
          <t>hwy2_openMaxSpeed</t>
        </is>
      </c>
      <c r="C80" t="inlineStr">
        <is>
          <t>float</t>
        </is>
      </c>
      <c r="D80">
        <f>'밸런스 조정'!C164</f>
        <v>26</v>
      </c>
      <c r="E80">
        <v>0</v>
      </c>
      <c r="F80">
        <v>0</v>
      </c>
    </row>
    <row r="81">
      <c r="B81" t="inlineStr">
        <is>
          <t>hwy2_openMinSeconds</t>
        </is>
      </c>
      <c r="C81" t="inlineStr">
        <is>
          <t>float</t>
        </is>
      </c>
      <c r="D81">
        <f>'밸런스 조정'!C165</f>
        <v>3</v>
      </c>
      <c r="E81">
        <v>0</v>
      </c>
      <c r="F81">
        <v>0</v>
      </c>
    </row>
    <row r="82">
      <c r="B82" t="inlineStr">
        <is>
          <t>hwy2_openMaxSeconds</t>
        </is>
      </c>
      <c r="C82" t="inlineStr">
        <is>
          <t>float</t>
        </is>
      </c>
      <c r="D82">
        <f>'밸런스 조정'!C166</f>
        <v>5</v>
      </c>
      <c r="E82">
        <v>0</v>
      </c>
      <c r="F82">
        <v>0</v>
      </c>
    </row>
    <row r="83">
      <c r="B83" t="inlineStr">
        <is>
          <t>hwy2_normalSpeed</t>
        </is>
      </c>
      <c r="C83" t="inlineStr">
        <is>
          <t>float</t>
        </is>
      </c>
      <c r="D83">
        <f>'밸런스 조정'!C167</f>
        <v>12</v>
      </c>
      <c r="E83">
        <v>0</v>
      </c>
      <c r="F83">
        <v>0</v>
      </c>
    </row>
    <row r="84">
      <c r="B84" t="inlineStr">
        <is>
          <t>hwy2_swarmSpeed</t>
        </is>
      </c>
      <c r="C84" t="inlineStr">
        <is>
          <t>float</t>
        </is>
      </c>
      <c r="D84">
        <f>'밸런스 조정'!C168</f>
        <v>18</v>
      </c>
      <c r="E84">
        <v>0</v>
      </c>
      <c r="F84">
        <v>0</v>
      </c>
    </row>
    <row r="85">
      <c r="B85" t="inlineStr">
        <is>
          <t>hwy2_swarmCount</t>
        </is>
      </c>
      <c r="C85" t="inlineStr">
        <is>
          <t>float</t>
        </is>
      </c>
      <c r="D85">
        <f>'밸런스 조정'!C169</f>
        <v>12</v>
      </c>
      <c r="E85">
        <v>0</v>
      </c>
      <c r="F85">
        <v>0</v>
      </c>
    </row>
    <row r="86">
      <c r="B86" t="inlineStr">
        <is>
          <t>hwy2_swarmSpacing</t>
        </is>
      </c>
      <c r="C86" t="inlineStr">
        <is>
          <t>float</t>
        </is>
      </c>
      <c r="D86">
        <f>'밸런스 조정'!C170</f>
        <v>24</v>
      </c>
      <c r="E86">
        <v>0</v>
      </c>
      <c r="F86">
        <v>0</v>
      </c>
    </row>
    <row r="87">
      <c r="B87" t="inlineStr">
        <is>
          <t>hwy2_vehicleWidth</t>
        </is>
      </c>
      <c r="C87" t="inlineStr">
        <is>
          <t>float</t>
        </is>
      </c>
      <c r="D87">
        <f>'밸런스 조정'!C171</f>
        <v>3.4</v>
      </c>
      <c r="E87">
        <v>0</v>
      </c>
      <c r="F87">
        <v>0</v>
      </c>
    </row>
    <row r="88">
      <c r="B88" t="inlineStr">
        <is>
          <t>hwy2_truckWidth</t>
        </is>
      </c>
      <c r="C88" t="inlineStr">
        <is>
          <t>float</t>
        </is>
      </c>
      <c r="D88">
        <f>'밸런스 조정'!C172</f>
        <v>3.7</v>
      </c>
      <c r="E88">
        <v>0</v>
      </c>
      <c r="F88">
        <v>0</v>
      </c>
    </row>
    <row r="89">
      <c r="B89" t="inlineStr">
        <is>
          <t>hwy2_busWidth</t>
        </is>
      </c>
      <c r="C89" t="inlineStr">
        <is>
          <t>float</t>
        </is>
      </c>
      <c r="D89">
        <f>'밸런스 조정'!C173</f>
        <v>7.6</v>
      </c>
      <c r="E89">
        <v>0</v>
      </c>
      <c r="F89">
        <v>0</v>
      </c>
    </row>
    <row r="90">
      <c r="B90" t="inlineStr">
        <is>
          <t>hwy2_followGap</t>
        </is>
      </c>
      <c r="C90" t="inlineStr">
        <is>
          <t>float</t>
        </is>
      </c>
      <c r="D90">
        <f>'밸런스 조정'!C174</f>
        <v>3</v>
      </c>
      <c r="E90">
        <v>0</v>
      </c>
      <c r="F90">
        <v>0</v>
      </c>
    </row>
    <row r="91">
      <c r="B91" t="inlineStr">
        <is>
          <t>hwy2_spawnAhead</t>
        </is>
      </c>
      <c r="C91" t="inlineStr">
        <is>
          <t>float</t>
        </is>
      </c>
      <c r="D91">
        <f>'밸런스 조정'!C175</f>
        <v>82</v>
      </c>
      <c r="E91">
        <v>0</v>
      </c>
      <c r="F91">
        <v>0</v>
      </c>
    </row>
    <row r="92">
      <c r="B92" t="inlineStr">
        <is>
          <t>hwy2_arrivalWindow</t>
        </is>
      </c>
      <c r="C92" t="inlineStr">
        <is>
          <t>float</t>
        </is>
      </c>
      <c r="D92">
        <f>'밸런스 조정'!C176</f>
        <v>1.5</v>
      </c>
      <c r="E92">
        <v>0</v>
      </c>
      <c r="F92">
        <v>0</v>
      </c>
    </row>
    <row r="93">
      <c r="B93" t="inlineStr">
        <is>
          <t>hwy2_playerRadius</t>
        </is>
      </c>
      <c r="C93" t="inlineStr">
        <is>
          <t>float</t>
        </is>
      </c>
      <c r="D93">
        <f>'밸런스 조정'!C177</f>
        <v>0.7</v>
      </c>
      <c r="E93">
        <v>0</v>
      </c>
      <c r="F93">
        <v>0</v>
      </c>
    </row>
    <row r="94">
      <c r="B94" t="inlineStr">
        <is>
          <t>hwy2_fastDamage</t>
        </is>
      </c>
      <c r="C94" t="inlineStr">
        <is>
          <t>float</t>
        </is>
      </c>
      <c r="D94">
        <f>'밸런스 조정'!C178</f>
        <v>0.25</v>
      </c>
      <c r="E94">
        <v>0</v>
      </c>
      <c r="F94">
        <v>0</v>
      </c>
    </row>
    <row r="95">
      <c r="B95" t="inlineStr">
        <is>
          <t>hwy2_trafficVisibleAhead</t>
        </is>
      </c>
      <c r="C95" t="inlineStr">
        <is>
          <t>float</t>
        </is>
      </c>
      <c r="D95">
        <f>'밸런스 조정'!C179</f>
        <v>150</v>
      </c>
      <c r="E95">
        <v>0</v>
      </c>
      <c r="F95">
        <v>0</v>
      </c>
    </row>
    <row r="96">
      <c r="B96" t="inlineStr">
        <is>
          <t>hwy2_trafficRecycleBehind</t>
        </is>
      </c>
      <c r="C96" t="inlineStr">
        <is>
          <t>float</t>
        </is>
      </c>
      <c r="D96">
        <f>'밸런스 조정'!C180</f>
        <v>24</v>
      </c>
      <c r="E96">
        <v>0</v>
      </c>
      <c r="F96">
        <v>0</v>
      </c>
    </row>
    <row r="97">
      <c r="B97" t="inlineStr">
        <is>
          <t>hwy2_oppositeSpeed</t>
        </is>
      </c>
      <c r="C97" t="inlineStr">
        <is>
          <t>float</t>
        </is>
      </c>
      <c r="D97">
        <f>'밸런스 조정'!C181</f>
        <v>19</v>
      </c>
      <c r="E97">
        <v>0</v>
      </c>
      <c r="F97">
        <v>0</v>
      </c>
    </row>
    <row r="98">
      <c r="B98" t="inlineStr">
        <is>
          <t>hwy2_oppositeGap</t>
        </is>
      </c>
      <c r="C98" t="inlineStr">
        <is>
          <t>float</t>
        </is>
      </c>
      <c r="D98">
        <f>'밸런스 조정'!C182</f>
        <v>28</v>
      </c>
      <c r="E98">
        <v>0</v>
      </c>
      <c r="F98">
        <v>0</v>
      </c>
    </row>
    <row r="99">
      <c r="B99" t="inlineStr">
        <is>
          <t>hwy2_oppositeCount</t>
        </is>
      </c>
      <c r="C99" t="inlineStr">
        <is>
          <t>float</t>
        </is>
      </c>
      <c r="D99">
        <f>'밸런스 조정'!C183</f>
        <v>18</v>
      </c>
      <c r="E99">
        <v>0</v>
      </c>
      <c r="F99">
        <v>0</v>
      </c>
    </row>
    <row r="100">
      <c r="B100" t="inlineStr">
        <is>
          <t>hwy2_crash1</t>
        </is>
      </c>
      <c r="C100" t="inlineStr">
        <is>
          <t>float</t>
        </is>
      </c>
      <c r="D100">
        <f>'밸런스 조정'!C184</f>
        <v>234</v>
      </c>
      <c r="E100">
        <v>0</v>
      </c>
      <c r="F100">
        <v>0</v>
      </c>
    </row>
    <row r="101">
      <c r="B101" t="inlineStr">
        <is>
          <t>hwy2_crash2</t>
        </is>
      </c>
      <c r="C101" t="inlineStr">
        <is>
          <t>float</t>
        </is>
      </c>
      <c r="D101">
        <f>'밸런스 조정'!C185</f>
        <v>610</v>
      </c>
      <c r="E101">
        <v>0</v>
      </c>
      <c r="F101">
        <v>0</v>
      </c>
    </row>
    <row r="102">
      <c r="B102" t="inlineStr">
        <is>
          <t>hwy2_crash3</t>
        </is>
      </c>
      <c r="C102" t="inlineStr">
        <is>
          <t>float</t>
        </is>
      </c>
      <c r="D102">
        <f>'밸런스 조정'!C186</f>
        <v>945</v>
      </c>
      <c r="E102">
        <v>0</v>
      </c>
      <c r="F102">
        <v>0</v>
      </c>
    </row>
    <row r="103">
      <c r="B103" t="inlineStr">
        <is>
          <t>hwy2_crash4</t>
        </is>
      </c>
      <c r="C103" t="inlineStr">
        <is>
          <t>float</t>
        </is>
      </c>
      <c r="D103">
        <f>'밸런스 조정'!C187</f>
        <v>1248</v>
      </c>
      <c r="E103">
        <v>0</v>
      </c>
      <c r="F103">
        <v>0</v>
      </c>
    </row>
    <row r="104">
      <c r="B104" t="inlineStr">
        <is>
          <t>hwy2_crashLead</t>
        </is>
      </c>
      <c r="C104" t="inlineStr">
        <is>
          <t>float</t>
        </is>
      </c>
      <c r="D104">
        <f>'밸런스 조정'!C188</f>
        <v>40</v>
      </c>
      <c r="E104">
        <v>0</v>
      </c>
      <c r="F104">
        <v>0</v>
      </c>
    </row>
    <row r="105">
      <c r="B105" t="inlineStr">
        <is>
          <t>hwy2_crashTail</t>
        </is>
      </c>
      <c r="C105" t="inlineStr">
        <is>
          <t>float</t>
        </is>
      </c>
      <c r="D105">
        <f>'밸런스 조정'!C189</f>
        <v>60</v>
      </c>
      <c r="E105">
        <v>0</v>
      </c>
      <c r="F105">
        <v>0</v>
      </c>
    </row>
    <row r="106">
      <c r="B106" t="inlineStr">
        <is>
          <t>hwy2_crashQueueGap</t>
        </is>
      </c>
      <c r="C106" t="inlineStr">
        <is>
          <t>float</t>
        </is>
      </c>
      <c r="D106">
        <f>'밸런스 조정'!C190</f>
        <v>18</v>
      </c>
      <c r="E106">
        <v>0</v>
      </c>
      <c r="F106">
        <v>0</v>
      </c>
    </row>
    <row r="107">
      <c r="B107" t="inlineStr">
        <is>
          <t>hwy2_swarmStart</t>
        </is>
      </c>
      <c r="C107" t="inlineStr">
        <is>
          <t>float</t>
        </is>
      </c>
      <c r="D107">
        <f>'밸런스 조정'!C191</f>
        <v>1345</v>
      </c>
      <c r="E107">
        <v>0</v>
      </c>
      <c r="F107">
        <v>0</v>
      </c>
    </row>
    <row r="108">
      <c r="B108" t="inlineStr">
        <is>
          <t>hwy2_swarmEnd</t>
        </is>
      </c>
      <c r="C108" t="inlineStr">
        <is>
          <t>float</t>
        </is>
      </c>
      <c r="D108">
        <f>'밸런스 조정'!C192</f>
        <v>1410</v>
      </c>
      <c r="E108">
        <v>0</v>
      </c>
      <c r="F108">
        <v>0</v>
      </c>
    </row>
    <row r="109">
      <c r="B109" t="inlineStr">
        <is>
          <t>hwy2_logStart</t>
        </is>
      </c>
      <c r="C109" t="inlineStr">
        <is>
          <t>float</t>
        </is>
      </c>
      <c r="D109">
        <f>'밸런스 조정'!C193</f>
        <v>1470</v>
      </c>
      <c r="E109">
        <v>0</v>
      </c>
      <c r="F109">
        <v>0</v>
      </c>
    </row>
    <row r="110">
      <c r="B110" t="inlineStr">
        <is>
          <t>hwy2_logEnd</t>
        </is>
      </c>
      <c r="C110" t="inlineStr">
        <is>
          <t>float</t>
        </is>
      </c>
      <c r="D110">
        <f>'밸런스 조정'!C194</f>
        <v>1545</v>
      </c>
      <c r="E110">
        <v>0</v>
      </c>
      <c r="F110">
        <v>0</v>
      </c>
    </row>
    <row r="111">
      <c r="B111" t="inlineStr">
        <is>
          <t>hwy2_logTruckSpeed</t>
        </is>
      </c>
      <c r="C111" t="inlineStr">
        <is>
          <t>float</t>
        </is>
      </c>
      <c r="D111">
        <f>'밸런스 조정'!C195</f>
        <v>21</v>
      </c>
      <c r="E111">
        <v>0</v>
      </c>
      <c r="F111">
        <v>0</v>
      </c>
    </row>
    <row r="112">
      <c r="B112" t="inlineStr">
        <is>
          <t>hwy2_logReleaseSeconds</t>
        </is>
      </c>
      <c r="C112" t="inlineStr">
        <is>
          <t>float</t>
        </is>
      </c>
      <c r="D112">
        <f>'밸런스 조정'!C196</f>
        <v>2</v>
      </c>
      <c r="E112">
        <v>0</v>
      </c>
      <c r="F112">
        <v>0</v>
      </c>
    </row>
    <row r="113">
      <c r="B113" t="inlineStr">
        <is>
          <t>hwy2_logSeconds</t>
        </is>
      </c>
      <c r="C113" t="inlineStr">
        <is>
          <t>float</t>
        </is>
      </c>
      <c r="D113">
        <f>'밸런스 조정'!C197</f>
        <v>6</v>
      </c>
      <c r="E113">
        <v>0</v>
      </c>
      <c r="F113">
        <v>0</v>
      </c>
    </row>
    <row r="114">
      <c r="B114" t="inlineStr">
        <is>
          <t>hwy2_logLength</t>
        </is>
      </c>
      <c r="C114" t="inlineStr">
        <is>
          <t>float</t>
        </is>
      </c>
      <c r="D114">
        <f>'밸런스 조정'!C271</f>
        <v>5.1</v>
      </c>
      <c r="E114">
        <v>0</v>
      </c>
      <c r="F114">
        <v>0</v>
      </c>
    </row>
    <row r="115">
      <c r="B115" t="inlineStr">
        <is>
          <t>hwy2_logSpeed</t>
        </is>
      </c>
      <c r="C115" t="inlineStr">
        <is>
          <t>float</t>
        </is>
      </c>
      <c r="D115">
        <f>'밸런스 조정'!C198</f>
        <v>12</v>
      </c>
      <c r="E115">
        <v>0</v>
      </c>
      <c r="F115">
        <v>0</v>
      </c>
    </row>
    <row r="116">
      <c r="B116" t="inlineStr">
        <is>
          <t>hwy2_logBounceHeight</t>
        </is>
      </c>
      <c r="C116" t="inlineStr">
        <is>
          <t>float</t>
        </is>
      </c>
      <c r="D116">
        <f>'밸런스 조정'!C199</f>
        <v>3.8</v>
      </c>
      <c r="E116">
        <v>0</v>
      </c>
      <c r="F116">
        <v>0</v>
      </c>
    </row>
    <row r="117">
      <c r="B117" t="inlineStr">
        <is>
          <t>hwy2_logRadius</t>
        </is>
      </c>
      <c r="C117" t="inlineStr">
        <is>
          <t>float</t>
        </is>
      </c>
      <c r="D117">
        <f>'밸런스 조정'!C200</f>
        <v>2.4</v>
      </c>
      <c r="E117">
        <v>0</v>
      </c>
      <c r="F117">
        <v>0</v>
      </c>
    </row>
    <row r="118">
      <c r="B118" t="inlineStr">
        <is>
          <t>hwy2_logDamage</t>
        </is>
      </c>
      <c r="C118" t="inlineStr">
        <is>
          <t>float</t>
        </is>
      </c>
      <c r="D118">
        <f>'밸런스 조정'!C201</f>
        <v>0.25</v>
      </c>
      <c r="E118">
        <v>0</v>
      </c>
      <c r="F118">
        <v>0</v>
      </c>
    </row>
    <row r="119">
      <c r="B119" t="inlineStr">
        <is>
          <t>hwy2_deerAt</t>
        </is>
      </c>
      <c r="C119" t="inlineStr">
        <is>
          <t>float</t>
        </is>
      </c>
      <c r="D119">
        <f>'밸런스 조정'!C202</f>
        <v>1610</v>
      </c>
      <c r="E119">
        <v>0</v>
      </c>
      <c r="F119">
        <v>0</v>
      </c>
    </row>
    <row r="120">
      <c r="B120" t="inlineStr">
        <is>
          <t>hwy2_deerLead</t>
        </is>
      </c>
      <c r="C120" t="inlineStr">
        <is>
          <t>float</t>
        </is>
      </c>
      <c r="D120">
        <f>'밸런스 조정'!C203</f>
        <v>30</v>
      </c>
      <c r="E120">
        <v>0</v>
      </c>
      <c r="F120">
        <v>0</v>
      </c>
    </row>
    <row r="121">
      <c r="B121" t="inlineStr">
        <is>
          <t>hwy2_deerTail</t>
        </is>
      </c>
      <c r="C121" t="inlineStr">
        <is>
          <t>float</t>
        </is>
      </c>
      <c r="D121">
        <f>'밸런스 조정'!C204</f>
        <v>20</v>
      </c>
      <c r="E121">
        <v>0</v>
      </c>
      <c r="F121">
        <v>0</v>
      </c>
    </row>
    <row r="122">
      <c r="B122" t="inlineStr">
        <is>
          <t>hwy2_deerDamage</t>
        </is>
      </c>
      <c r="C122" t="inlineStr">
        <is>
          <t>float</t>
        </is>
      </c>
      <c r="D122">
        <f>'밸런스 조정'!C205</f>
        <v>0.2</v>
      </c>
      <c r="E122">
        <v>0</v>
      </c>
      <c r="F122">
        <v>0</v>
      </c>
    </row>
    <row r="123">
      <c r="B123" t="inlineStr">
        <is>
          <t>hwy2_deerMinSpeed</t>
        </is>
      </c>
      <c r="C123" t="inlineStr">
        <is>
          <t>float</t>
        </is>
      </c>
      <c r="D123">
        <f>'밸런스 조정'!C206</f>
        <v>3.2</v>
      </c>
      <c r="E123">
        <v>0</v>
      </c>
      <c r="F123">
        <v>0</v>
      </c>
    </row>
    <row r="124">
      <c r="B124" t="inlineStr">
        <is>
          <t>hwy2_deerMaxSpeed</t>
        </is>
      </c>
      <c r="C124" t="inlineStr">
        <is>
          <t>float</t>
        </is>
      </c>
      <c r="D124">
        <f>'밸런스 조정'!C207</f>
        <v>5.5</v>
      </c>
      <c r="E124">
        <v>0</v>
      </c>
      <c r="F124">
        <v>0</v>
      </c>
    </row>
    <row r="125">
      <c r="B125" t="inlineStr">
        <is>
          <t>hwy2_deerRadius</t>
        </is>
      </c>
      <c r="C125" t="inlineStr">
        <is>
          <t>float</t>
        </is>
      </c>
      <c r="D125">
        <f>'밸런스 조정'!C208</f>
        <v>1.5</v>
      </c>
      <c r="E125">
        <v>0</v>
      </c>
      <c r="F125">
        <v>0</v>
      </c>
    </row>
    <row r="126">
      <c r="B126" t="inlineStr">
        <is>
          <t>hwy2_deerSpin</t>
        </is>
      </c>
      <c r="C126" t="inlineStr">
        <is>
          <t>float</t>
        </is>
      </c>
      <c r="D126">
        <f>'밸런스 조정'!C209</f>
        <v>0.8</v>
      </c>
      <c r="E126">
        <v>0</v>
      </c>
      <c r="F126">
        <v>0</v>
      </c>
    </row>
    <row r="127">
      <c r="B127" t="inlineStr">
        <is>
          <t>hwy2_holeAt</t>
        </is>
      </c>
      <c r="C127" t="inlineStr">
        <is>
          <t>float</t>
        </is>
      </c>
      <c r="D127">
        <f>'밸런스 조정'!C210</f>
        <v>1690</v>
      </c>
      <c r="E127">
        <v>0</v>
      </c>
      <c r="F127">
        <v>0</v>
      </c>
    </row>
    <row r="128">
      <c r="B128" t="inlineStr">
        <is>
          <t>hwy2_holeLead</t>
        </is>
      </c>
      <c r="C128" t="inlineStr">
        <is>
          <t>float</t>
        </is>
      </c>
      <c r="D128">
        <f>'밸런스 조정'!C211</f>
        <v>20</v>
      </c>
      <c r="E128">
        <v>0</v>
      </c>
      <c r="F128">
        <v>0</v>
      </c>
    </row>
    <row r="129">
      <c r="B129" t="inlineStr">
        <is>
          <t>hwy2_holeTail</t>
        </is>
      </c>
      <c r="C129" t="inlineStr">
        <is>
          <t>float</t>
        </is>
      </c>
      <c r="D129">
        <f>'밸런스 조정'!C212</f>
        <v>20</v>
      </c>
      <c r="E129">
        <v>0</v>
      </c>
      <c r="F129">
        <v>0</v>
      </c>
    </row>
    <row r="130">
      <c r="B130" t="inlineStr">
        <is>
          <t>hwy2_holeLane</t>
        </is>
      </c>
      <c r="C130" t="inlineStr">
        <is>
          <t>float</t>
        </is>
      </c>
      <c r="D130">
        <f>'밸런스 조정'!C213</f>
        <v>2</v>
      </c>
      <c r="E130">
        <v>0</v>
      </c>
      <c r="F130">
        <v>0</v>
      </c>
    </row>
    <row r="131">
      <c r="B131" t="inlineStr">
        <is>
          <t>hwy2_workAt</t>
        </is>
      </c>
      <c r="C131" t="inlineStr">
        <is>
          <t>float</t>
        </is>
      </c>
      <c r="D131">
        <f>'밸런스 조정'!C214</f>
        <v>1790</v>
      </c>
      <c r="E131">
        <v>0</v>
      </c>
      <c r="F131">
        <v>0</v>
      </c>
    </row>
    <row r="132">
      <c r="B132" t="inlineStr">
        <is>
          <t>hwy2_workLead</t>
        </is>
      </c>
      <c r="C132" t="inlineStr">
        <is>
          <t>float</t>
        </is>
      </c>
      <c r="D132">
        <f>'밸런스 조정'!C215</f>
        <v>30</v>
      </c>
      <c r="E132">
        <v>0</v>
      </c>
      <c r="F132">
        <v>0</v>
      </c>
    </row>
    <row r="133">
      <c r="B133" t="inlineStr">
        <is>
          <t>hwy2_workTail</t>
        </is>
      </c>
      <c r="C133" t="inlineStr">
        <is>
          <t>float</t>
        </is>
      </c>
      <c r="D133">
        <f>'밸런스 조정'!C216</f>
        <v>50</v>
      </c>
      <c r="E133">
        <v>0</v>
      </c>
      <c r="F133">
        <v>0</v>
      </c>
    </row>
    <row r="134">
      <c r="B134" t="inlineStr">
        <is>
          <t>hwy2_workLane</t>
        </is>
      </c>
      <c r="C134" t="inlineStr">
        <is>
          <t>float</t>
        </is>
      </c>
      <c r="D134">
        <f>'밸런스 조정'!C217</f>
        <v>2</v>
      </c>
      <c r="E134">
        <v>0</v>
      </c>
      <c r="F134">
        <v>0</v>
      </c>
    </row>
    <row r="135">
      <c r="B135" t="inlineStr">
        <is>
          <t>hwy2_coneInterval</t>
        </is>
      </c>
      <c r="C135" t="inlineStr">
        <is>
          <t>float</t>
        </is>
      </c>
      <c r="D135">
        <f>'밸런스 조정'!C218</f>
        <v>2.4</v>
      </c>
      <c r="E135">
        <v>0</v>
      </c>
      <c r="F135">
        <v>0</v>
      </c>
    </row>
    <row r="136">
      <c r="B136" t="inlineStr">
        <is>
          <t>hwy2_coneDamage</t>
        </is>
      </c>
      <c r="C136" t="inlineStr">
        <is>
          <t>float</t>
        </is>
      </c>
      <c r="D136">
        <f>'밸런스 조정'!C219</f>
        <v>0.08</v>
      </c>
      <c r="E136">
        <v>0</v>
      </c>
      <c r="F136">
        <v>0</v>
      </c>
    </row>
    <row r="137">
      <c r="B137" t="inlineStr">
        <is>
          <t>hwy2_coneFlight</t>
        </is>
      </c>
      <c r="C137" t="inlineStr">
        <is>
          <t>float</t>
        </is>
      </c>
      <c r="D137">
        <f>'밸런스 조정'!C220</f>
        <v>1.1</v>
      </c>
      <c r="E137">
        <v>0</v>
      </c>
      <c r="F137">
        <v>0</v>
      </c>
    </row>
    <row r="138">
      <c r="B138" t="inlineStr">
        <is>
          <t>hwy2_mystery1</t>
        </is>
      </c>
      <c r="C138" t="inlineStr">
        <is>
          <t>float</t>
        </is>
      </c>
      <c r="D138">
        <f>'밸런스 조정'!C221</f>
        <v>1440</v>
      </c>
      <c r="E138">
        <v>0</v>
      </c>
      <c r="F138">
        <v>0</v>
      </c>
    </row>
    <row r="139">
      <c r="B139" t="inlineStr">
        <is>
          <t>hwy2_mystery2</t>
        </is>
      </c>
      <c r="C139" t="inlineStr">
        <is>
          <t>float</t>
        </is>
      </c>
      <c r="D139">
        <f>'밸런스 조정'!C222</f>
        <v>1735</v>
      </c>
      <c r="E139">
        <v>0</v>
      </c>
      <c r="F139">
        <v>0</v>
      </c>
    </row>
    <row r="140">
      <c r="B140" t="inlineStr">
        <is>
          <t>hwy2_mysteryCount</t>
        </is>
      </c>
      <c r="C140" t="inlineStr">
        <is>
          <t>float</t>
        </is>
      </c>
      <c r="D140">
        <f>'밸런스 조정'!C223</f>
        <v>2</v>
      </c>
      <c r="E140">
        <v>0</v>
      </c>
      <c r="F140">
        <v>0</v>
      </c>
    </row>
    <row r="141">
      <c r="B141" t="inlineStr">
        <is>
          <t>hwy2_largeChance</t>
        </is>
      </c>
      <c r="C141" t="inlineStr">
        <is>
          <t>float</t>
        </is>
      </c>
      <c r="D141">
        <f>'밸런스 조정'!C224</f>
        <v>20</v>
      </c>
      <c r="E141">
        <v>0</v>
      </c>
      <c r="F141">
        <v>0</v>
      </c>
    </row>
    <row r="142">
      <c r="B142" t="inlineStr">
        <is>
          <t>hwy2_normalChance</t>
        </is>
      </c>
      <c r="C142" t="inlineStr">
        <is>
          <t>float</t>
        </is>
      </c>
      <c r="D142">
        <f>'밸런스 조정'!C225</f>
        <v>55</v>
      </c>
      <c r="E142">
        <v>0</v>
      </c>
      <c r="F142">
        <v>0</v>
      </c>
    </row>
    <row r="143">
      <c r="B143" t="inlineStr">
        <is>
          <t>hwy2_coinChance</t>
        </is>
      </c>
      <c r="C143" t="inlineStr">
        <is>
          <t>float</t>
        </is>
      </c>
      <c r="D143">
        <f>'밸런스 조정'!C226</f>
        <v>20</v>
      </c>
      <c r="E143">
        <v>0</v>
      </c>
      <c r="F143">
        <v>0</v>
      </c>
    </row>
    <row r="144">
      <c r="B144" t="inlineStr">
        <is>
          <t>hwy2_missChance</t>
        </is>
      </c>
      <c r="C144" t="inlineStr">
        <is>
          <t>float</t>
        </is>
      </c>
      <c r="D144">
        <f>'밸런스 조정'!C227</f>
        <v>5</v>
      </c>
      <c r="E144">
        <v>0</v>
      </c>
      <c r="F144">
        <v>0</v>
      </c>
    </row>
    <row r="145">
      <c r="B145" t="inlineStr">
        <is>
          <t>hwy2_largePercent</t>
        </is>
      </c>
      <c r="C145" t="inlineStr">
        <is>
          <t>float</t>
        </is>
      </c>
      <c r="D145">
        <f>'밸런스 조정'!C228</f>
        <v>30</v>
      </c>
      <c r="E145">
        <v>0</v>
      </c>
      <c r="F145">
        <v>0</v>
      </c>
    </row>
    <row r="146">
      <c r="B146" t="inlineStr">
        <is>
          <t>hwy2_normalPercent</t>
        </is>
      </c>
      <c r="C146" t="inlineStr">
        <is>
          <t>float</t>
        </is>
      </c>
      <c r="D146">
        <f>'밸런스 조정'!C229</f>
        <v>12</v>
      </c>
      <c r="E146">
        <v>0</v>
      </c>
      <c r="F146">
        <v>0</v>
      </c>
    </row>
    <row r="147">
      <c r="B147" t="inlineStr">
        <is>
          <t>hwy2_mysteryCoins</t>
        </is>
      </c>
      <c r="C147" t="inlineStr">
        <is>
          <t>float</t>
        </is>
      </c>
      <c r="D147">
        <f>'밸런스 조정'!C230</f>
        <v>248</v>
      </c>
      <c r="E147">
        <v>0</v>
      </c>
      <c r="F147">
        <v>0</v>
      </c>
    </row>
    <row r="148">
      <c r="B148" t="inlineStr">
        <is>
          <t>hwy2_missDamage</t>
        </is>
      </c>
      <c r="C148" t="inlineStr">
        <is>
          <t>float</t>
        </is>
      </c>
      <c r="D148">
        <f>'밸런스 조정'!C231</f>
        <v>0.05</v>
      </c>
      <c r="E148">
        <v>0</v>
      </c>
      <c r="F148">
        <v>0</v>
      </c>
    </row>
    <row r="149">
      <c r="B149" t="inlineStr">
        <is>
          <t>hwy2_tankerRadius</t>
        </is>
      </c>
      <c r="C149" t="inlineStr">
        <is>
          <t>float</t>
        </is>
      </c>
      <c r="D149">
        <f>'밸런스 조정'!C232</f>
        <v>28</v>
      </c>
      <c r="E149">
        <v>0</v>
      </c>
      <c r="F149">
        <v>0</v>
      </c>
    </row>
    <row r="150">
      <c r="B150" t="inlineStr">
        <is>
          <t>hwy2_chainRadius</t>
        </is>
      </c>
      <c r="C150" t="inlineStr">
        <is>
          <t>float</t>
        </is>
      </c>
      <c r="D150">
        <f>'밸런스 조정'!C233</f>
        <v>10</v>
      </c>
      <c r="E150">
        <v>0</v>
      </c>
      <c r="F150">
        <v>0</v>
      </c>
    </row>
    <row r="151">
      <c r="B151" t="inlineStr">
        <is>
          <t>hwy2_chainDamage</t>
        </is>
      </c>
      <c r="C151" t="inlineStr">
        <is>
          <t>float</t>
        </is>
      </c>
      <c r="D151">
        <f>'밸런스 조정'!C234</f>
        <v>0.75</v>
      </c>
      <c r="E151">
        <v>0</v>
      </c>
      <c r="F151">
        <v>0</v>
      </c>
    </row>
    <row r="152">
      <c r="B152" t="inlineStr">
        <is>
          <t>hwy2_chainBounces</t>
        </is>
      </c>
      <c r="C152" t="inlineStr">
        <is>
          <t>float</t>
        </is>
      </c>
      <c r="D152">
        <f>'밸런스 조정'!C235</f>
        <v>2</v>
      </c>
      <c r="E152">
        <v>0</v>
      </c>
      <c r="F152">
        <v>0</v>
      </c>
    </row>
    <row r="153">
      <c r="B153" t="inlineStr">
        <is>
          <t>hwy2_shatterMultiplier</t>
        </is>
      </c>
      <c r="C153" t="inlineStr">
        <is>
          <t>float</t>
        </is>
      </c>
      <c r="D153">
        <f>'밸런스 조정'!C236</f>
        <v>2</v>
      </c>
      <c r="E153">
        <v>0</v>
      </c>
      <c r="F153">
        <v>0</v>
      </c>
    </row>
    <row r="154">
      <c r="B154" t="inlineStr">
        <is>
          <t>hwy2_shieldThreshold</t>
        </is>
      </c>
      <c r="C154" t="inlineStr">
        <is>
          <t>float</t>
        </is>
      </c>
      <c r="D154">
        <f>'밸런스 조정'!C237</f>
        <v>0.15</v>
      </c>
      <c r="E154">
        <v>0</v>
      </c>
      <c r="F154">
        <v>0</v>
      </c>
    </row>
    <row r="155">
      <c r="B155" t="inlineStr">
        <is>
          <t>hwy2_magnetRadius</t>
        </is>
      </c>
      <c r="C155" t="inlineStr">
        <is>
          <t>float</t>
        </is>
      </c>
      <c r="D155">
        <f>'밸런스 조정'!C238</f>
        <v>12</v>
      </c>
      <c r="E155">
        <v>0</v>
      </c>
      <c r="F155">
        <v>0</v>
      </c>
    </row>
    <row r="156">
      <c r="B156" t="inlineStr">
        <is>
          <t>hwy2_magnetSpeed</t>
        </is>
      </c>
      <c r="C156" t="inlineStr">
        <is>
          <t>float</t>
        </is>
      </c>
      <c r="D156">
        <f>'밸런스 조정'!C239</f>
        <v>24</v>
      </c>
      <c r="E156">
        <v>0</v>
      </c>
      <c r="F156">
        <v>0</v>
      </c>
    </row>
    <row r="157">
      <c r="B157" t="inlineStr">
        <is>
          <t>hwy2_uniqueCarry</t>
        </is>
      </c>
      <c r="C157" t="inlineStr">
        <is>
          <t>float</t>
        </is>
      </c>
      <c r="D157">
        <f>'밸런스 조정'!C240</f>
        <v>0</v>
      </c>
      <c r="E157">
        <v>0</v>
      </c>
      <c r="F157">
        <v>0</v>
      </c>
    </row>
    <row r="158">
      <c r="B158" t="inlineStr">
        <is>
          <t>hwy2_fxMaximum</t>
        </is>
      </c>
      <c r="C158" t="inlineStr">
        <is>
          <t>float</t>
        </is>
      </c>
      <c r="D158">
        <f>'밸런스 조정'!C241</f>
        <v>3</v>
      </c>
      <c r="E158">
        <v>0</v>
      </c>
      <c r="F158">
        <v>0</v>
      </c>
    </row>
    <row r="159">
      <c r="B159" t="inlineStr">
        <is>
          <t>hwy2_smokeSeconds</t>
        </is>
      </c>
      <c r="C159" t="inlineStr">
        <is>
          <t>float</t>
        </is>
      </c>
      <c r="D159">
        <f>'밸런스 조정'!C242</f>
        <v>0.8</v>
      </c>
      <c r="E159">
        <v>0</v>
      </c>
      <c r="F159">
        <v>0</v>
      </c>
    </row>
    <row r="160">
      <c r="B160" t="inlineStr">
        <is>
          <t>hwy2_clearViewAhead</t>
        </is>
      </c>
      <c r="C160" t="inlineStr">
        <is>
          <t>float</t>
        </is>
      </c>
      <c r="D160">
        <f>'밸런스 조정'!C243</f>
        <v>12</v>
      </c>
      <c r="E160">
        <v>0</v>
      </c>
      <c r="F160">
        <v>0</v>
      </c>
    </row>
    <row r="161">
      <c r="B161" t="inlineStr">
        <is>
          <t>hwy2_debrisSeconds</t>
        </is>
      </c>
      <c r="C161" t="inlineStr">
        <is>
          <t>float</t>
        </is>
      </c>
      <c r="D161">
        <f>'밸런스 조정'!C244</f>
        <v>0.8</v>
      </c>
      <c r="E161">
        <v>0</v>
      </c>
      <c r="F161">
        <v>0</v>
      </c>
    </row>
    <row r="162">
      <c r="B162" t="inlineStr">
        <is>
          <t>hwy2_debrisSideSpeed</t>
        </is>
      </c>
      <c r="C162" t="inlineStr">
        <is>
          <t>float</t>
        </is>
      </c>
      <c r="D162">
        <f>'밸런스 조정'!C245</f>
        <v>16</v>
      </c>
      <c r="E162">
        <v>0</v>
      </c>
      <c r="F162">
        <v>0</v>
      </c>
    </row>
    <row r="163">
      <c r="B163" t="inlineStr">
        <is>
          <t>hwy2_debrisUpSpeed</t>
        </is>
      </c>
      <c r="C163" t="inlineStr">
        <is>
          <t>float</t>
        </is>
      </c>
      <c r="D163">
        <f>'밸런스 조정'!C246</f>
        <v>12</v>
      </c>
      <c r="E163">
        <v>0</v>
      </c>
      <c r="F163">
        <v>0</v>
      </c>
    </row>
    <row r="164">
      <c r="B164" t="inlineStr">
        <is>
          <t>hwy2_nearMissDistance</t>
        </is>
      </c>
      <c r="C164" t="inlineStr">
        <is>
          <t>float</t>
        </is>
      </c>
      <c r="D164">
        <f>'밸런스 조정'!C247</f>
        <v>3</v>
      </c>
      <c r="E164">
        <v>0</v>
      </c>
      <c r="F164">
        <v>0</v>
      </c>
    </row>
    <row r="165">
      <c r="B165" t="inlineStr">
        <is>
          <t>hwy2_windSeconds</t>
        </is>
      </c>
      <c r="C165" t="inlineStr">
        <is>
          <t>float</t>
        </is>
      </c>
      <c r="D165">
        <f>'밸런스 조정'!C248</f>
        <v>0.35</v>
      </c>
      <c r="E165">
        <v>0</v>
      </c>
      <c r="F165">
        <v>0</v>
      </c>
    </row>
    <row r="166">
      <c r="B166" t="inlineStr">
        <is>
          <t>hwy2_newsSeconds</t>
        </is>
      </c>
      <c r="C166" t="inlineStr">
        <is>
          <t>float</t>
        </is>
      </c>
      <c r="D166">
        <f>'밸런스 조정'!C249</f>
        <v>3</v>
      </c>
      <c r="E166">
        <v>0</v>
      </c>
      <c r="F166">
        <v>0</v>
      </c>
    </row>
    <row r="167">
      <c r="B167" t="inlineStr">
        <is>
          <t>hwy2_entryAttLevel</t>
        </is>
      </c>
      <c r="C167" t="inlineStr">
        <is>
          <t>float</t>
        </is>
      </c>
      <c r="D167">
        <f>'밸런스 조정'!C250</f>
        <v>10</v>
      </c>
      <c r="E167">
        <v>0</v>
      </c>
      <c r="F167">
        <v>0</v>
      </c>
    </row>
    <row r="168">
      <c r="B168" t="inlineStr">
        <is>
          <t>hwy2_entryHpLevel</t>
        </is>
      </c>
      <c r="C168" t="inlineStr">
        <is>
          <t>float</t>
        </is>
      </c>
      <c r="D168">
        <f>'밸런스 조정'!C251</f>
        <v>12</v>
      </c>
      <c r="E168">
        <v>0</v>
      </c>
      <c r="F168">
        <v>0</v>
      </c>
    </row>
    <row r="169">
      <c r="B169" t="inlineStr">
        <is>
          <t>hwy2_entrySpeedLevel</t>
        </is>
      </c>
      <c r="C169" t="inlineStr">
        <is>
          <t>float</t>
        </is>
      </c>
      <c r="D169">
        <f>'밸런스 조정'!C252</f>
        <v>1</v>
      </c>
      <c r="E169">
        <v>0</v>
      </c>
      <c r="F169">
        <v>0</v>
      </c>
    </row>
    <row r="170">
      <c r="B170" t="inlineStr">
        <is>
          <t>hwy2_clearAttLevel</t>
        </is>
      </c>
      <c r="C170" t="inlineStr">
        <is>
          <t>float</t>
        </is>
      </c>
      <c r="D170">
        <f>'밸런스 조정'!C253</f>
        <v>20</v>
      </c>
      <c r="E170">
        <v>0</v>
      </c>
      <c r="F170">
        <v>0</v>
      </c>
    </row>
    <row r="171">
      <c r="B171" t="inlineStr">
        <is>
          <t>hwy2_clearHpLevel</t>
        </is>
      </c>
      <c r="C171" t="inlineStr">
        <is>
          <t>float</t>
        </is>
      </c>
      <c r="D171">
        <f>'밸런스 조정'!C254</f>
        <v>24</v>
      </c>
      <c r="E171">
        <v>0</v>
      </c>
      <c r="F171">
        <v>0</v>
      </c>
    </row>
    <row r="172">
      <c r="B172" t="inlineStr">
        <is>
          <t>hwy2_clearSpeedLevel</t>
        </is>
      </c>
      <c r="C172" t="inlineStr">
        <is>
          <t>float</t>
        </is>
      </c>
      <c r="D172">
        <f>'밸런스 조정'!C255</f>
        <v>10</v>
      </c>
      <c r="E172">
        <v>0</v>
      </c>
      <c r="F172">
        <v>0</v>
      </c>
    </row>
    <row r="173">
      <c r="B173" t="inlineStr">
        <is>
          <t>hwy2_normalBonusCount</t>
        </is>
      </c>
      <c r="C173" t="inlineStr">
        <is>
          <t>float</t>
        </is>
      </c>
      <c r="D173">
        <f>'밸런스 조정'!C256</f>
        <v>12</v>
      </c>
      <c r="E173">
        <v>0</v>
      </c>
      <c r="F173">
        <v>0</v>
      </c>
    </row>
    <row r="174">
      <c r="B174" t="inlineStr">
        <is>
          <t>hwy2_normalBonusLane</t>
        </is>
      </c>
      <c r="C174" t="inlineStr">
        <is>
          <t>float</t>
        </is>
      </c>
      <c r="D174">
        <f>'밸런스 조정'!C257</f>
        <v>2.4</v>
      </c>
      <c r="E174">
        <v>0</v>
      </c>
      <c r="F174">
        <v>0</v>
      </c>
    </row>
    <row r="175">
      <c r="B175" t="inlineStr">
        <is>
          <t>hwy2_normalBonus1</t>
        </is>
      </c>
      <c r="C175" t="inlineStr">
        <is>
          <t>float</t>
        </is>
      </c>
      <c r="D175">
        <f>'밸런스 조정'!C258</f>
        <v>85</v>
      </c>
      <c r="E175">
        <v>0</v>
      </c>
      <c r="F175">
        <v>0</v>
      </c>
    </row>
    <row r="176">
      <c r="B176" t="inlineStr">
        <is>
          <t>hwy2_normalBonus2</t>
        </is>
      </c>
      <c r="C176" t="inlineStr">
        <is>
          <t>float</t>
        </is>
      </c>
      <c r="D176">
        <f>'밸런스 조정'!C259</f>
        <v>145</v>
      </c>
      <c r="E176">
        <v>0</v>
      </c>
      <c r="F176">
        <v>0</v>
      </c>
    </row>
    <row r="177">
      <c r="B177" t="inlineStr">
        <is>
          <t>hwy2_normalBonus3</t>
        </is>
      </c>
      <c r="C177" t="inlineStr">
        <is>
          <t>float</t>
        </is>
      </c>
      <c r="D177">
        <f>'밸런스 조정'!C260</f>
        <v>330</v>
      </c>
      <c r="E177">
        <v>0</v>
      </c>
      <c r="F177">
        <v>0</v>
      </c>
    </row>
    <row r="178">
      <c r="B178" t="inlineStr">
        <is>
          <t>hwy2_normalBonus4</t>
        </is>
      </c>
      <c r="C178" t="inlineStr">
        <is>
          <t>float</t>
        </is>
      </c>
      <c r="D178">
        <f>'밸런스 조정'!C261</f>
        <v>365</v>
      </c>
      <c r="E178">
        <v>0</v>
      </c>
      <c r="F178">
        <v>0</v>
      </c>
    </row>
    <row r="179">
      <c r="B179" t="inlineStr">
        <is>
          <t>hwy2_normalBonus5</t>
        </is>
      </c>
      <c r="C179" t="inlineStr">
        <is>
          <t>float</t>
        </is>
      </c>
      <c r="D179">
        <f>'밸런스 조정'!C262</f>
        <v>520</v>
      </c>
      <c r="E179">
        <v>0</v>
      </c>
      <c r="F179">
        <v>0</v>
      </c>
    </row>
    <row r="180">
      <c r="B180" t="inlineStr">
        <is>
          <t>hwy2_normalBonus6</t>
        </is>
      </c>
      <c r="C180" t="inlineStr">
        <is>
          <t>float</t>
        </is>
      </c>
      <c r="D180">
        <f>'밸런스 조정'!C263</f>
        <v>765</v>
      </c>
      <c r="E180">
        <v>0</v>
      </c>
      <c r="F180">
        <v>0</v>
      </c>
    </row>
    <row r="181">
      <c r="B181" t="inlineStr">
        <is>
          <t>hwy2_normalBonus7</t>
        </is>
      </c>
      <c r="C181" t="inlineStr">
        <is>
          <t>float</t>
        </is>
      </c>
      <c r="D181">
        <f>'밸런스 조정'!C264</f>
        <v>835</v>
      </c>
      <c r="E181">
        <v>0</v>
      </c>
      <c r="F181">
        <v>0</v>
      </c>
    </row>
    <row r="182">
      <c r="B182" t="inlineStr">
        <is>
          <t>hwy2_normalBonus8</t>
        </is>
      </c>
      <c r="C182" t="inlineStr">
        <is>
          <t>float</t>
        </is>
      </c>
      <c r="D182">
        <f>'밸런스 조정'!C265</f>
        <v>1110</v>
      </c>
      <c r="E182">
        <v>0</v>
      </c>
      <c r="F182">
        <v>0</v>
      </c>
    </row>
    <row r="183">
      <c r="B183" t="inlineStr">
        <is>
          <t>hwy2_normalBonus9</t>
        </is>
      </c>
      <c r="C183" t="inlineStr">
        <is>
          <t>float</t>
        </is>
      </c>
      <c r="D183">
        <f>'밸런스 조정'!C266</f>
        <v>1328</v>
      </c>
      <c r="E183">
        <v>0</v>
      </c>
      <c r="F183">
        <v>0</v>
      </c>
    </row>
    <row r="184">
      <c r="B184" t="inlineStr">
        <is>
          <t>hwy2_normalBonus10</t>
        </is>
      </c>
      <c r="C184" t="inlineStr">
        <is>
          <t>float</t>
        </is>
      </c>
      <c r="D184">
        <f>'밸런스 조정'!C267</f>
        <v>1865</v>
      </c>
      <c r="E184">
        <v>0</v>
      </c>
      <c r="F184">
        <v>0</v>
      </c>
    </row>
    <row r="185">
      <c r="B185" t="inlineStr">
        <is>
          <t>hwy2_normalBonus11</t>
        </is>
      </c>
      <c r="C185" t="inlineStr">
        <is>
          <t>float</t>
        </is>
      </c>
      <c r="D185">
        <f>'밸런스 조정'!C268</f>
        <v>2130</v>
      </c>
      <c r="E185">
        <v>0</v>
      </c>
      <c r="F185">
        <v>0</v>
      </c>
    </row>
    <row r="186">
      <c r="B186" t="inlineStr">
        <is>
          <t>hwy2_normalBonus12</t>
        </is>
      </c>
      <c r="C186" t="inlineStr">
        <is>
          <t>float</t>
        </is>
      </c>
      <c r="D186">
        <f>'밸런스 조정'!C269</f>
        <v>2260</v>
      </c>
      <c r="E186">
        <v>0</v>
      </c>
      <c r="F186">
        <v>0</v>
      </c>
    </row>
    <row r="187">
      <c r="B187" t="inlineStr">
        <is>
          <t>hwy2_sideCarWidth</t>
        </is>
      </c>
      <c r="C187" t="inlineStr">
        <is>
          <t>float</t>
        </is>
      </c>
      <c r="D187">
        <f>'밸런스 조정'!C270</f>
        <v>3</v>
      </c>
      <c r="E187">
        <v>0</v>
      </c>
      <c r="F187">
        <v>0</v>
      </c>
    </row>
    <row r="188">
      <c r="B188" t="inlineStr">
        <is>
          <t>hwy2_revealSeconds</t>
        </is>
      </c>
      <c r="C188" t="inlineStr">
        <is>
          <t>float</t>
        </is>
      </c>
      <c r="D188">
        <f>'밸런스 조정'!C272</f>
        <v>1.5</v>
      </c>
      <c r="E188">
        <v>0</v>
      </c>
      <c r="F188">
        <v>0</v>
      </c>
    </row>
    <row r="189">
      <c r="B189" t="inlineStr">
        <is>
          <t>hwy2_vehicleGroundClearance</t>
        </is>
      </c>
      <c r="C189" t="inlineStr">
        <is>
          <t>float</t>
        </is>
      </c>
      <c r="D189">
        <f>'밸런스 조정'!C273</f>
        <v>0.08</v>
      </c>
      <c r="E189">
        <v>0</v>
      </c>
      <c r="F189">
        <v>0</v>
      </c>
    </row>
    <row r="190">
      <c r="B190" t="inlineStr">
        <is>
          <t>hwy2_entryExtraCars</t>
        </is>
      </c>
      <c r="C190" t="inlineStr">
        <is>
          <t>float</t>
        </is>
      </c>
      <c r="D190">
        <f>'밸런스 조정'!C274</f>
        <v>8</v>
      </c>
      <c r="E190">
        <v>0</v>
      </c>
      <c r="F190">
        <v>0</v>
      </c>
    </row>
    <row r="191">
      <c r="B191" t="inlineStr">
        <is>
          <t>hwy2_entryExtraInterval</t>
        </is>
      </c>
      <c r="C191" t="inlineStr">
        <is>
          <t>float</t>
        </is>
      </c>
      <c r="D191">
        <f>'밸런스 조정'!C275</f>
        <v>14</v>
      </c>
      <c r="E191">
        <v>0</v>
      </c>
      <c r="F191">
        <v>0</v>
      </c>
    </row>
    <row r="192">
      <c r="B192" t="inlineStr">
        <is>
          <t>hwy2_guideWidth</t>
        </is>
      </c>
      <c r="C192" t="inlineStr">
        <is>
          <t>float</t>
        </is>
      </c>
      <c r="D192">
        <f>'밸런스 조정'!C276</f>
        <v>0.65</v>
      </c>
      <c r="E192">
        <v>0</v>
      </c>
      <c r="F192">
        <v>0</v>
      </c>
    </row>
    <row r="193">
      <c r="B193" t="inlineStr">
        <is>
          <t>hwy2_guideAhead</t>
        </is>
      </c>
      <c r="C193" t="inlineStr">
        <is>
          <t>float</t>
        </is>
      </c>
      <c r="D193">
        <f>'밸런스 조정'!C277</f>
        <v>60</v>
      </c>
      <c r="E193">
        <v>0</v>
      </c>
      <c r="F193">
        <v>0</v>
      </c>
    </row>
    <row r="194">
      <c r="B194" t="inlineStr">
        <is>
          <t>hwy2_guideAfter</t>
        </is>
      </c>
      <c r="C194" t="inlineStr">
        <is>
          <t>float</t>
        </is>
      </c>
      <c r="D194">
        <f>'밸런스 조정'!C278</f>
        <v>30</v>
      </c>
      <c r="E194">
        <v>0</v>
      </c>
      <c r="F194">
        <v>0</v>
      </c>
    </row>
    <row r="195">
      <c r="B195" t="inlineStr">
        <is>
          <t>hwy2_branchTransition</t>
        </is>
      </c>
      <c r="C195" t="inlineStr">
        <is>
          <t>float</t>
        </is>
      </c>
      <c r="D195">
        <f>'밸런스 조정'!C279</f>
        <v>220</v>
      </c>
      <c r="E195">
        <v>0</v>
      </c>
      <c r="F195">
        <v>0</v>
      </c>
    </row>
    <row r="196">
      <c r="B196" t="inlineStr">
        <is>
          <t>hwy2_trafficTarget</t>
        </is>
      </c>
      <c r="C196" t="inlineStr">
        <is>
          <t>float</t>
        </is>
      </c>
      <c r="D196">
        <f>'밸런스 조정'!C280</f>
        <v>351</v>
      </c>
      <c r="E196">
        <v>0</v>
      </c>
      <c r="F196">
        <v>0</v>
      </c>
    </row>
    <row r="197">
      <c r="B197" t="inlineStr">
        <is>
          <t>hwy2_entryWaves</t>
        </is>
      </c>
      <c r="C197" t="inlineStr">
        <is>
          <t>float</t>
        </is>
      </c>
      <c r="D197">
        <f>'밸런스 조정'!C281</f>
        <v>6</v>
      </c>
      <c r="E197">
        <v>0</v>
      </c>
      <c r="F197">
        <v>0</v>
      </c>
    </row>
    <row r="198">
      <c r="B198" t="inlineStr">
        <is>
          <t>hwy2_jamWaves</t>
        </is>
      </c>
      <c r="C198" t="inlineStr">
        <is>
          <t>float</t>
        </is>
      </c>
      <c r="D198">
        <f>'밸런스 조정'!C282</f>
        <v>61</v>
      </c>
      <c r="E198">
        <v>0</v>
      </c>
      <c r="F198">
        <v>0</v>
      </c>
    </row>
    <row r="199">
      <c r="B199" t="inlineStr">
        <is>
          <t>hwy2_openWaves</t>
        </is>
      </c>
      <c r="C199" t="inlineStr">
        <is>
          <t>float</t>
        </is>
      </c>
      <c r="D199">
        <f>'밸런스 조정'!C283</f>
        <v>28</v>
      </c>
      <c r="E199">
        <v>0</v>
      </c>
      <c r="F199">
        <v>0</v>
      </c>
    </row>
    <row r="200">
      <c r="B200" t="inlineStr">
        <is>
          <t>hwy2_tollWaves</t>
        </is>
      </c>
      <c r="C200" t="inlineStr">
        <is>
          <t>float</t>
        </is>
      </c>
      <c r="D200">
        <f>'밸런스 조정'!C284</f>
        <v>8</v>
      </c>
      <c r="E200">
        <v>0</v>
      </c>
      <c r="F200">
        <v>0</v>
      </c>
    </row>
    <row r="201">
      <c r="B201" t="inlineStr">
        <is>
          <t>hwy2_openPlayerMultiplier</t>
        </is>
      </c>
      <c r="C201" t="inlineStr">
        <is>
          <t>float</t>
        </is>
      </c>
      <c r="D201">
        <f>'밸런스 조정'!C285</f>
        <v>1.5</v>
      </c>
      <c r="E201">
        <v>0</v>
      </c>
      <c r="F201">
        <v>0</v>
      </c>
    </row>
    <row r="202">
      <c r="B202" t="inlineStr">
        <is>
          <t>hwy2_openVehicleSpeed</t>
        </is>
      </c>
      <c r="C202" t="inlineStr">
        <is>
          <t>float</t>
        </is>
      </c>
      <c r="D202">
        <f>'밸런스 조정'!C286</f>
        <v>5</v>
      </c>
      <c r="E202">
        <v>0</v>
      </c>
      <c r="F202">
        <v>0</v>
      </c>
    </row>
    <row r="203">
      <c r="B203" t="inlineStr">
        <is>
          <t>hwy2_speedLineCount</t>
        </is>
      </c>
      <c r="C203" t="inlineStr">
        <is>
          <t>float</t>
        </is>
      </c>
      <c r="D203">
        <f>'밸런스 조정'!C287</f>
        <v>22</v>
      </c>
      <c r="E203">
        <v>0</v>
      </c>
      <c r="F203">
        <v>0</v>
      </c>
    </row>
    <row r="204">
      <c r="B204" t="inlineStr">
        <is>
          <t>hwy2_healthLabelDistance</t>
        </is>
      </c>
      <c r="C204" t="inlineStr">
        <is>
          <t>float</t>
        </is>
      </c>
      <c r="D204">
        <f>'밸런스 조정'!C288</f>
        <v>115</v>
      </c>
      <c r="E204">
        <v>0</v>
      </c>
      <c r="F204">
        <v>0</v>
      </c>
    </row>
    <row r="205">
      <c r="B205" t="inlineStr">
        <is>
          <t>hwy2_healthLabelPixels</t>
        </is>
      </c>
      <c r="C205" t="inlineStr">
        <is>
          <t>float</t>
        </is>
      </c>
      <c r="D205">
        <f>'밸런스 조정'!C289</f>
        <v>14</v>
      </c>
      <c r="E205">
        <v>0</v>
      </c>
      <c r="F205">
        <v>0</v>
      </c>
    </row>
    <row r="206">
      <c r="B206" t="inlineStr">
        <is>
          <t>hwy2_tollPickupLead</t>
        </is>
      </c>
      <c r="C206" t="inlineStr">
        <is>
          <t>float</t>
        </is>
      </c>
      <c r="D206">
        <f>'밸런스 조정'!C290</f>
        <v>14</v>
      </c>
      <c r="E206">
        <v>0</v>
      </c>
      <c r="F206">
        <v>0</v>
      </c>
    </row>
    <row r="207">
      <c r="B207" t="inlineStr">
        <is>
          <t>hwy2_tollRoofHide</t>
        </is>
      </c>
      <c r="C207" t="inlineStr">
        <is>
          <t>float</t>
        </is>
      </c>
      <c r="D207">
        <f>'밸런스 조정'!C291</f>
        <v>14</v>
      </c>
      <c r="E207">
        <v>0</v>
      </c>
      <c r="F207">
        <v>0</v>
      </c>
    </row>
    <row r="208">
      <c r="B208" t="inlineStr">
        <is>
          <t>hwy2_waveHealthSeconds</t>
        </is>
      </c>
      <c r="C208" t="inlineStr">
        <is>
          <t>float</t>
        </is>
      </c>
      <c r="D208">
        <f>'밸런스 조정'!C292</f>
        <v>1.6</v>
      </c>
      <c r="E208">
        <v>0</v>
      </c>
      <c r="F208">
        <v>0</v>
      </c>
    </row>
    <row r="209">
      <c r="B209" t="inlineStr">
        <is>
          <t>hwy2_swarmHealthSeconds</t>
        </is>
      </c>
      <c r="C209" t="inlineStr">
        <is>
          <t>float</t>
        </is>
      </c>
      <c r="D209">
        <f>'밸런스 조정'!C293</f>
        <v>1.2</v>
      </c>
      <c r="E209">
        <v>0</v>
      </c>
      <c r="F209">
        <v>0</v>
      </c>
    </row>
    <row r="210">
      <c r="B210" t="inlineStr">
        <is>
          <t>hwy2_waveWeakCycle</t>
        </is>
      </c>
      <c r="C210" t="inlineStr">
        <is>
          <t>float</t>
        </is>
      </c>
      <c r="D210">
        <f>'밸런스 조정'!C294</f>
        <v>3</v>
      </c>
      <c r="E210">
        <v>0</v>
      </c>
      <c r="F210">
        <v>0</v>
      </c>
    </row>
    <row r="211">
      <c r="B211" t="inlineStr">
        <is>
          <t>hwy2_rushHealthSeconds</t>
        </is>
      </c>
      <c r="C211" t="inlineStr">
        <is>
          <t>float</t>
        </is>
      </c>
      <c r="D211">
        <f>'밸런스 조정'!C295</f>
        <v>1.1</v>
      </c>
      <c r="E211">
        <v>0</v>
      </c>
      <c r="F211">
        <v>0</v>
      </c>
    </row>
  </sheetData>
  <phoneticPr fontId="1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O17"/>
  <sheetViews>
    <sheetView showGridLines="0" workbookViewId="0">
      <pane ySplit="2" topLeftCell="A3" activePane="bottomLeft" state="frozen"/>
      <selection pane="bottomLeft"/>
    </sheetView>
  </sheetViews>
  <sheetFormatPr defaultRowHeight="16.5"/>
  <cols>
    <col min="2" max="2" width="8" customWidth="1"/>
    <col min="3" max="3" width="12" customWidth="1"/>
    <col min="4" max="7" width="16" customWidth="1"/>
    <col min="8" max="8" width="28" customWidth="1"/>
    <col min="11" max="11" width="7.75" customWidth="1"/>
    <col min="12" max="13" width="11.625" customWidth="1"/>
  </cols>
  <sheetData>
    <row r="2" spans="2:15" ht="24" customHeight="1">
      <c r="B2" s="12" t="s">
        <v>78</v>
      </c>
      <c r="C2" s="12" t="s">
        <v>80</v>
      </c>
      <c r="D2" s="12" t="s">
        <v>119</v>
      </c>
      <c r="E2" s="12" t="s">
        <v>120</v>
      </c>
      <c r="F2" s="12" t="s">
        <v>121</v>
      </c>
      <c r="G2" s="12" t="s">
        <v>122</v>
      </c>
      <c r="H2" s="12" t="s">
        <v>123</v>
      </c>
    </row>
    <row r="3" spans="2:15" ht="20.100000000000001" customHeight="1">
      <c r="B3" s="13">
        <v>1</v>
      </c>
      <c r="C3" s="13" t="s">
        <v>43</v>
      </c>
      <c r="D3" s="15">
        <f>VLOOKUP($C3,$K$5:$O$7,2,FALSE)*$H3</f>
        <v>33</v>
      </c>
      <c r="E3" s="15">
        <f>VLOOKUP($C3,$K$5:$O$7,3,FALSE)*$H3</f>
        <v>330</v>
      </c>
      <c r="F3" s="15">
        <f>VLOOKUP($C3,$K$5:$O$7,4,FALSE)*$H3</f>
        <v>55</v>
      </c>
      <c r="G3" s="15">
        <f>VLOOKUP($C3,$K$5:$O$7,5,FALSE)*$H3</f>
        <v>550</v>
      </c>
      <c r="H3" s="15">
        <v>1</v>
      </c>
    </row>
    <row r="4" spans="2:15" ht="20.100000000000001" customHeight="1">
      <c r="B4" s="13">
        <v>1</v>
      </c>
      <c r="C4" s="13" t="s">
        <v>81</v>
      </c>
      <c r="D4" s="15">
        <f t="shared" ref="D4:D17" si="0">VLOOKUP($C4,$K$5:$O$7,2,FALSE)*$H4</f>
        <v>55</v>
      </c>
      <c r="E4" s="15">
        <f t="shared" ref="E4:E17" si="1">VLOOKUP($C4,$K$5:$O$7,3,FALSE)*$H4</f>
        <v>550</v>
      </c>
      <c r="F4" s="15">
        <f t="shared" ref="F4:F17" si="2">VLOOKUP($C4,$K$5:$O$7,4,FALSE)*$H4</f>
        <v>110</v>
      </c>
      <c r="G4" s="15">
        <f t="shared" ref="G4:G17" si="3">VLOOKUP($C4,$K$5:$O$7,5,FALSE)*$H4</f>
        <v>1100</v>
      </c>
      <c r="H4" s="15">
        <v>1</v>
      </c>
      <c r="K4" s="14" t="s">
        <v>124</v>
      </c>
      <c r="L4" s="14" t="s">
        <v>119</v>
      </c>
      <c r="M4" s="14" t="s">
        <v>120</v>
      </c>
      <c r="N4" s="14" t="s">
        <v>121</v>
      </c>
      <c r="O4" s="14" t="s">
        <v>122</v>
      </c>
    </row>
    <row r="5" spans="2:15" ht="20.100000000000001" customHeight="1">
      <c r="B5" s="13">
        <v>1</v>
      </c>
      <c r="C5" s="13" t="s">
        <v>82</v>
      </c>
      <c r="D5" s="15">
        <f t="shared" si="0"/>
        <v>165</v>
      </c>
      <c r="E5" s="15">
        <f t="shared" si="1"/>
        <v>1650</v>
      </c>
      <c r="F5" s="15">
        <f t="shared" si="2"/>
        <v>190</v>
      </c>
      <c r="G5" s="15">
        <f t="shared" si="3"/>
        <v>1870</v>
      </c>
      <c r="H5" s="15">
        <v>1</v>
      </c>
      <c r="K5" s="13" t="s">
        <v>43</v>
      </c>
      <c r="L5" s="15">
        <v>33</v>
      </c>
      <c r="M5" s="15">
        <v>330</v>
      </c>
      <c r="N5" s="15">
        <v>55</v>
      </c>
      <c r="O5" s="15">
        <v>550</v>
      </c>
    </row>
    <row r="6" spans="2:15">
      <c r="B6" s="13">
        <v>2</v>
      </c>
      <c r="C6" s="13" t="s">
        <v>43</v>
      </c>
      <c r="D6" s="15">
        <f t="shared" si="0"/>
        <v>66</v>
      </c>
      <c r="E6" s="15">
        <f t="shared" si="1"/>
        <v>660</v>
      </c>
      <c r="F6" s="15">
        <f t="shared" si="2"/>
        <v>110</v>
      </c>
      <c r="G6" s="15">
        <f t="shared" si="3"/>
        <v>1100</v>
      </c>
      <c r="H6" s="15">
        <v>2</v>
      </c>
      <c r="K6" s="13" t="s">
        <v>81</v>
      </c>
      <c r="L6" s="15">
        <v>55</v>
      </c>
      <c r="M6" s="15">
        <v>550</v>
      </c>
      <c r="N6" s="15">
        <v>110</v>
      </c>
      <c r="O6" s="15">
        <v>1100</v>
      </c>
    </row>
    <row r="7" spans="2:15">
      <c r="B7" s="13">
        <v>2</v>
      </c>
      <c r="C7" s="13" t="s">
        <v>81</v>
      </c>
      <c r="D7" s="15">
        <f t="shared" si="0"/>
        <v>110</v>
      </c>
      <c r="E7" s="15">
        <f t="shared" si="1"/>
        <v>1100</v>
      </c>
      <c r="F7" s="15">
        <f t="shared" si="2"/>
        <v>220</v>
      </c>
      <c r="G7" s="15">
        <f t="shared" si="3"/>
        <v>2200</v>
      </c>
      <c r="H7" s="15">
        <v>2</v>
      </c>
      <c r="K7" s="13" t="s">
        <v>82</v>
      </c>
      <c r="L7" s="15">
        <v>165</v>
      </c>
      <c r="M7" s="15">
        <v>1650</v>
      </c>
      <c r="N7" s="15">
        <v>190</v>
      </c>
      <c r="O7" s="15">
        <v>1870</v>
      </c>
    </row>
    <row r="8" spans="2:15">
      <c r="B8" s="13">
        <v>2</v>
      </c>
      <c r="C8" s="13" t="s">
        <v>82</v>
      </c>
      <c r="D8" s="15">
        <f t="shared" si="0"/>
        <v>330</v>
      </c>
      <c r="E8" s="15">
        <f t="shared" si="1"/>
        <v>3300</v>
      </c>
      <c r="F8" s="15">
        <f t="shared" si="2"/>
        <v>380</v>
      </c>
      <c r="G8" s="15">
        <f t="shared" si="3"/>
        <v>3740</v>
      </c>
      <c r="H8" s="15">
        <v>2</v>
      </c>
    </row>
    <row r="9" spans="2:15">
      <c r="B9" s="13">
        <v>3</v>
      </c>
      <c r="C9" s="13" t="s">
        <v>43</v>
      </c>
      <c r="D9" s="15">
        <f t="shared" si="0"/>
        <v>99</v>
      </c>
      <c r="E9" s="15">
        <f t="shared" si="1"/>
        <v>990</v>
      </c>
      <c r="F9" s="15">
        <f t="shared" si="2"/>
        <v>165</v>
      </c>
      <c r="G9" s="15">
        <f t="shared" si="3"/>
        <v>1650</v>
      </c>
      <c r="H9" s="15">
        <v>3</v>
      </c>
    </row>
    <row r="10" spans="2:15">
      <c r="B10" s="13">
        <v>3</v>
      </c>
      <c r="C10" s="13" t="s">
        <v>81</v>
      </c>
      <c r="D10" s="15">
        <f t="shared" si="0"/>
        <v>165</v>
      </c>
      <c r="E10" s="15">
        <f t="shared" si="1"/>
        <v>1650</v>
      </c>
      <c r="F10" s="15">
        <f t="shared" si="2"/>
        <v>330</v>
      </c>
      <c r="G10" s="15">
        <f t="shared" si="3"/>
        <v>3300</v>
      </c>
      <c r="H10" s="15">
        <v>3</v>
      </c>
    </row>
    <row r="11" spans="2:15">
      <c r="B11" s="13">
        <v>3</v>
      </c>
      <c r="C11" s="13" t="s">
        <v>82</v>
      </c>
      <c r="D11" s="15">
        <f t="shared" si="0"/>
        <v>495</v>
      </c>
      <c r="E11" s="15">
        <f t="shared" si="1"/>
        <v>4950</v>
      </c>
      <c r="F11" s="15">
        <f t="shared" si="2"/>
        <v>570</v>
      </c>
      <c r="G11" s="15">
        <f t="shared" si="3"/>
        <v>5610</v>
      </c>
      <c r="H11" s="15">
        <v>3</v>
      </c>
    </row>
    <row r="12" spans="2:15">
      <c r="B12" s="13">
        <v>4</v>
      </c>
      <c r="C12" s="13" t="s">
        <v>43</v>
      </c>
      <c r="D12" s="15">
        <f t="shared" si="0"/>
        <v>132</v>
      </c>
      <c r="E12" s="15">
        <f t="shared" si="1"/>
        <v>1320</v>
      </c>
      <c r="F12" s="15">
        <f t="shared" si="2"/>
        <v>220</v>
      </c>
      <c r="G12" s="15">
        <f t="shared" si="3"/>
        <v>2200</v>
      </c>
      <c r="H12" s="15">
        <v>4</v>
      </c>
    </row>
    <row r="13" spans="2:15">
      <c r="B13" s="13">
        <v>4</v>
      </c>
      <c r="C13" s="13" t="s">
        <v>81</v>
      </c>
      <c r="D13" s="15">
        <f t="shared" si="0"/>
        <v>220</v>
      </c>
      <c r="E13" s="15">
        <f t="shared" si="1"/>
        <v>2200</v>
      </c>
      <c r="F13" s="15">
        <f t="shared" si="2"/>
        <v>440</v>
      </c>
      <c r="G13" s="15">
        <f t="shared" si="3"/>
        <v>4400</v>
      </c>
      <c r="H13" s="15">
        <v>4</v>
      </c>
    </row>
    <row r="14" spans="2:15">
      <c r="B14" s="13">
        <v>4</v>
      </c>
      <c r="C14" s="13" t="s">
        <v>82</v>
      </c>
      <c r="D14" s="15">
        <f t="shared" si="0"/>
        <v>660</v>
      </c>
      <c r="E14" s="15">
        <f t="shared" si="1"/>
        <v>6600</v>
      </c>
      <c r="F14" s="15">
        <f t="shared" si="2"/>
        <v>760</v>
      </c>
      <c r="G14" s="15">
        <f t="shared" si="3"/>
        <v>7480</v>
      </c>
      <c r="H14" s="15">
        <v>4</v>
      </c>
    </row>
    <row r="15" spans="2:15">
      <c r="B15" s="13">
        <v>5</v>
      </c>
      <c r="C15" s="13" t="s">
        <v>43</v>
      </c>
      <c r="D15" s="15">
        <f t="shared" si="0"/>
        <v>165</v>
      </c>
      <c r="E15" s="15">
        <f t="shared" si="1"/>
        <v>1650</v>
      </c>
      <c r="F15" s="15">
        <f t="shared" si="2"/>
        <v>275</v>
      </c>
      <c r="G15" s="15">
        <f t="shared" si="3"/>
        <v>2750</v>
      </c>
      <c r="H15" s="15">
        <v>5</v>
      </c>
    </row>
    <row r="16" spans="2:15">
      <c r="B16" s="13">
        <v>5</v>
      </c>
      <c r="C16" s="13" t="s">
        <v>81</v>
      </c>
      <c r="D16" s="15">
        <f t="shared" si="0"/>
        <v>275</v>
      </c>
      <c r="E16" s="15">
        <f t="shared" si="1"/>
        <v>2750</v>
      </c>
      <c r="F16" s="15">
        <f t="shared" si="2"/>
        <v>550</v>
      </c>
      <c r="G16" s="15">
        <f t="shared" si="3"/>
        <v>5500</v>
      </c>
      <c r="H16" s="15">
        <v>5</v>
      </c>
    </row>
    <row r="17" spans="2:8">
      <c r="B17" s="13">
        <v>5</v>
      </c>
      <c r="C17" s="13" t="s">
        <v>82</v>
      </c>
      <c r="D17" s="15">
        <f t="shared" si="0"/>
        <v>825</v>
      </c>
      <c r="E17" s="15">
        <f t="shared" si="1"/>
        <v>8250</v>
      </c>
      <c r="F17" s="15">
        <f t="shared" si="2"/>
        <v>950</v>
      </c>
      <c r="G17" s="15">
        <f t="shared" si="3"/>
        <v>9350</v>
      </c>
      <c r="H17" s="15">
        <v>5</v>
      </c>
    </row>
  </sheetData>
  <phoneticPr fontId="1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mc="http://schemas.openxmlformats.org/markup-compatibility/2006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00000000-0001-0000-0800-000000000000}">
  <dimension ref="B1:Y477"/>
  <sheetViews>
    <sheetView tabSelected="1" workbookViewId="0">
      <pane ySplit="2" topLeftCell="A7" activePane="bottomLeft" state="frozen"/>
      <selection pane="bottomLeft" activeCell="I18" sqref="I18"/>
    </sheetView>
  </sheetViews>
  <sheetFormatPr defaultRowHeight="16.5"/>
  <cols>
    <col min="2" max="2" width="7" customWidth="1"/>
    <col min="3" max="3" width="38" customWidth="1"/>
    <col min="4" max="4" width="61" customWidth="1"/>
    <col min="5" max="11" width="15" customWidth="1"/>
    <col min="12" max="12" width="55" customWidth="1"/>
    <col min="13" max="18" width="14" customWidth="1"/>
  </cols>
  <sheetData>
    <row r="1" spans="2:18">
      <c r="B1" s="16" t="s">
        <v>182</v>
      </c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2:18" ht="27.95" customHeight="1">
      <c r="B2" s="17" t="s">
        <v>77</v>
      </c>
      <c r="C2" s="17" t="s">
        <v>183</v>
      </c>
      <c r="D2" s="17" t="s">
        <v>184</v>
      </c>
      <c r="E2" s="17" t="s">
        <v>185</v>
      </c>
      <c r="F2" s="17" t="s">
        <v>186</v>
      </c>
      <c r="G2" s="17" t="s">
        <v>187</v>
      </c>
      <c r="H2" s="17" t="s">
        <v>188</v>
      </c>
      <c r="I2" s="17" t="s">
        <v>189</v>
      </c>
      <c r="J2" s="17" t="s">
        <v>190</v>
      </c>
      <c r="K2" s="17" t="s">
        <v>191</v>
      </c>
      <c r="L2" s="17" t="s">
        <v>192</v>
      </c>
      <c r="M2" s="23" t="s">
        <v>193</v>
      </c>
      <c r="N2" s="23" t="s">
        <v>15</v>
      </c>
      <c r="O2" s="23" t="s">
        <v>22</v>
      </c>
      <c r="P2" s="23" t="s">
        <v>194</v>
      </c>
      <c r="Q2" s="23" t="s">
        <v>195</v>
      </c>
      <c r="R2" s="23" t="s">
        <v>196</v>
      </c>
      <c r="S2" t="inlineStr">
        <is>
          <t>차종</t>
        </is>
      </c>
      <c r="T2" t="inlineStr">
        <is>
          <t>차량경로</t>
        </is>
      </c>
      <c r="U2" t="inlineStr">
        <is>
          <t>차량거리</t>
        </is>
      </c>
      <c r="V2" t="inlineStr">
        <is>
          <t>차로번호</t>
        </is>
      </c>
      <c r="W2" t="inlineStr">
        <is>
          <t>등장거리</t>
        </is>
      </c>
      <c r="X2" t="inlineStr">
        <is>
          <t>사건ID</t>
        </is>
      </c>
      <c r="Y2" t="inlineStr">
        <is>
          <t>사고앞줄</t>
        </is>
      </c>
    </row>
    <row r="3" spans="2:18" ht="30" customHeight="1">
      <c r="B3" s="19">
        <v>1</v>
      </c>
      <c r="C3" s="16" t="s">
        <v>197</v>
      </c>
      <c r="D3" s="16" t="s">
        <v>198</v>
      </c>
      <c r="E3" s="20">
        <v>1</v>
      </c>
      <c r="F3" s="21" t="s">
        <v>199</v>
      </c>
      <c r="G3" s="21">
        <v>1.8</v>
      </c>
      <c r="H3" s="21">
        <v>2</v>
      </c>
      <c r="I3" s="21">
        <v>12</v>
      </c>
      <c r="J3" s="21">
        <v>2</v>
      </c>
      <c r="K3" s="21">
        <v>12</v>
      </c>
      <c r="L3" s="18" t="s">
        <v>200</v>
      </c>
      <c r="M3" s="25" t="s">
        <v>43</v>
      </c>
      <c r="N3" s="26">
        <f>'밸런스 조정'!$C$15</f>
        <v>8</v>
      </c>
      <c r="O3" s="26">
        <f>'밸런스 조정'!$C$16</f>
        <v>45</v>
      </c>
      <c r="P3" s="27" t="n">
        <f>'밸런스 조정'!$C$18</f>
        <v>0.16</v>
      </c>
      <c r="Q3" s="41">
        <f>'밸런스 조정'!$C$64</f>
        <v>0</v>
      </c>
      <c r="R3" s="41">
        <f>'밸런스 조정'!$C$65*IF(M3="Boss",5,IF(M3="Elite",2,1))</f>
        <v>10</v>
      </c>
    </row>
    <row r="4" spans="2:18" ht="30" customHeight="1">
      <c r="B4" s="19">
        <v>2</v>
      </c>
      <c r="C4" s="16" t="s">
        <v>197</v>
      </c>
      <c r="D4" s="16" t="s">
        <v>201</v>
      </c>
      <c r="E4" s="20">
        <v>1</v>
      </c>
      <c r="F4" s="21" t="s">
        <v>202</v>
      </c>
      <c r="G4" s="21">
        <v>2</v>
      </c>
      <c r="H4" s="21">
        <v>0</v>
      </c>
      <c r="I4" s="21">
        <v>5</v>
      </c>
      <c r="J4" s="21">
        <v>2</v>
      </c>
      <c r="K4" s="21">
        <v>12</v>
      </c>
      <c r="L4" s="18" t="s">
        <v>203</v>
      </c>
      <c r="M4" s="25" t="s">
        <v>43</v>
      </c>
      <c r="N4" s="26">
        <f>N3</f>
        <v>8</v>
      </c>
      <c r="O4" s="26">
        <f>ROUND(O3*(1+P4),0)</f>
        <v>52</v>
      </c>
      <c r="P4" s="27">
        <v>0.15</v>
      </c>
      <c r="Q4" s="41">
        <f>'밸런스 조정'!$C$64</f>
        <v>0</v>
      </c>
      <c r="R4" s="41">
        <f>'밸런스 조정'!$C$65*IF(M4="Boss",5,IF(M4="Elite",2,1))</f>
        <v>10</v>
      </c>
    </row>
    <row r="5" spans="2:18" ht="30" customHeight="1">
      <c r="B5" s="19">
        <v>3</v>
      </c>
      <c r="C5" s="16" t="s">
        <v>197</v>
      </c>
      <c r="D5" s="16" t="s">
        <v>204</v>
      </c>
      <c r="E5" s="20">
        <v>1</v>
      </c>
      <c r="F5" s="21" t="s">
        <v>205</v>
      </c>
      <c r="G5" s="21">
        <v>2</v>
      </c>
      <c r="H5" s="21">
        <v>0</v>
      </c>
      <c r="I5" s="21">
        <v>8</v>
      </c>
      <c r="J5" s="21">
        <v>2</v>
      </c>
      <c r="K5" s="21">
        <v>12</v>
      </c>
      <c r="L5" s="18" t="s">
        <v>200</v>
      </c>
      <c r="M5" s="25" t="s">
        <v>43</v>
      </c>
      <c r="N5" s="26">
        <f>ROUND(N3*(1+'밸런스 조정'!$C$17),0)</f>
        <v>8</v>
      </c>
      <c r="O5" s="26">
        <f>'밸런스 조정'!$C$23</f>
        <v>55</v>
      </c>
      <c r="P5" s="27" t="n">
        <f>'밸런스 조정'!$C$18</f>
        <v>0.16</v>
      </c>
      <c r="Q5" s="41">
        <f>'밸런스 조정'!$C$64</f>
        <v>0</v>
      </c>
      <c r="R5" s="41">
        <f>'밸런스 조정'!$C$65*IF(M5="Boss",5,IF(M5="Elite",2,1))</f>
        <v>10</v>
      </c>
    </row>
    <row r="6" spans="2:18" ht="30" customHeight="1">
      <c r="B6" s="19">
        <v>4</v>
      </c>
      <c r="C6" s="16" t="s">
        <v>197</v>
      </c>
      <c r="D6" s="16" t="s">
        <v>206</v>
      </c>
      <c r="E6" s="20">
        <v>1</v>
      </c>
      <c r="F6" s="21" t="s">
        <v>205</v>
      </c>
      <c r="G6" s="21">
        <v>2</v>
      </c>
      <c r="H6" s="21">
        <v>0</v>
      </c>
      <c r="I6" s="21">
        <v>5</v>
      </c>
      <c r="J6" s="21">
        <v>2</v>
      </c>
      <c r="K6" s="21">
        <v>12</v>
      </c>
      <c r="L6" s="18" t="s">
        <v>203</v>
      </c>
      <c r="M6" s="25" t="s">
        <v>43</v>
      </c>
      <c r="N6" s="26">
        <f>N5</f>
        <v>8</v>
      </c>
      <c r="O6" s="26">
        <f>ROUND(O5*(1+P6),0)</f>
        <v>63</v>
      </c>
      <c r="P6" s="27">
        <v>0.15</v>
      </c>
      <c r="Q6" s="41">
        <f>'밸런스 조정'!$C$64</f>
        <v>0</v>
      </c>
      <c r="R6" s="41">
        <f>'밸런스 조정'!$C$65*IF(M6="Boss",5,IF(M6="Elite",2,1))</f>
        <v>10</v>
      </c>
    </row>
    <row r="7" spans="2:18" ht="30" customHeight="1">
      <c r="B7" s="19">
        <v>5</v>
      </c>
      <c r="C7" s="16" t="s">
        <v>197</v>
      </c>
      <c r="D7" s="16" t="s">
        <v>207</v>
      </c>
      <c r="E7" s="20">
        <v>1</v>
      </c>
      <c r="F7" s="21" t="s">
        <v>208</v>
      </c>
      <c r="G7" s="21">
        <v>2.5</v>
      </c>
      <c r="H7" s="21">
        <v>8</v>
      </c>
      <c r="I7" s="21">
        <v>18</v>
      </c>
      <c r="J7" s="21">
        <v>2</v>
      </c>
      <c r="K7" s="21">
        <v>12</v>
      </c>
      <c r="L7" s="18" t="s">
        <v>200</v>
      </c>
      <c r="M7" s="25" t="s">
        <v>43</v>
      </c>
      <c r="N7" s="26">
        <f>ROUND(N5*(1+'밸런스 조정'!$C$17),0)</f>
        <v>8</v>
      </c>
      <c r="O7" s="26">
        <f>'밸런스 조정'!$C$24</f>
        <v>130</v>
      </c>
      <c r="P7" s="27" t="n">
        <f>'밸런스 조정'!$C$18</f>
        <v>0.16</v>
      </c>
      <c r="Q7" s="41">
        <f>'밸런스 조정'!$C$64</f>
        <v>0</v>
      </c>
      <c r="R7" s="41">
        <f>'밸런스 조정'!$C$65*IF(M7="Boss",5,IF(M7="Elite",2,1))</f>
        <v>10</v>
      </c>
    </row>
    <row r="8" spans="2:18" ht="30" customHeight="1">
      <c r="B8" s="19">
        <v>6</v>
      </c>
      <c r="C8" s="16" t="s">
        <v>197</v>
      </c>
      <c r="D8" s="16" t="s">
        <v>209</v>
      </c>
      <c r="E8" s="20">
        <v>1</v>
      </c>
      <c r="F8" s="21" t="s">
        <v>208</v>
      </c>
      <c r="G8" s="21">
        <v>2.5</v>
      </c>
      <c r="H8" s="21">
        <v>8</v>
      </c>
      <c r="I8" s="21">
        <v>14</v>
      </c>
      <c r="J8" s="21">
        <v>2</v>
      </c>
      <c r="K8" s="21">
        <v>12</v>
      </c>
      <c r="L8" s="18" t="s">
        <v>203</v>
      </c>
      <c r="M8" s="25" t="s">
        <v>43</v>
      </c>
      <c r="N8" s="26">
        <f>N7</f>
        <v>8</v>
      </c>
      <c r="O8" s="26">
        <f>ROUND(O7*(1+P8),0)</f>
        <v>150</v>
      </c>
      <c r="P8" s="27">
        <v>0.15</v>
      </c>
      <c r="Q8" s="41">
        <f>'밸런스 조정'!$C$64</f>
        <v>0</v>
      </c>
      <c r="R8" s="41">
        <f>'밸런스 조정'!$C$65*IF(M8="Boss",5,IF(M8="Elite",2,1))</f>
        <v>10</v>
      </c>
    </row>
    <row r="9" spans="2:18" ht="30" customHeight="1">
      <c r="B9" s="19">
        <v>7</v>
      </c>
      <c r="C9" s="16" t="s">
        <v>197</v>
      </c>
      <c r="D9" s="16" t="s">
        <v>210</v>
      </c>
      <c r="E9" s="20">
        <v>1</v>
      </c>
      <c r="F9" s="21" t="s">
        <v>205</v>
      </c>
      <c r="G9" s="21">
        <v>2</v>
      </c>
      <c r="H9" s="21">
        <v>0</v>
      </c>
      <c r="I9" s="21">
        <v>8</v>
      </c>
      <c r="J9" s="21">
        <v>2</v>
      </c>
      <c r="K9" s="21">
        <v>12</v>
      </c>
      <c r="L9" s="18" t="s">
        <v>200</v>
      </c>
      <c r="M9" s="25" t="s">
        <v>43</v>
      </c>
      <c r="N9" s="26">
        <f>ROUND(N7*(1+'밸런스 조정'!$C$17),0)</f>
        <v>8</v>
      </c>
      <c r="O9" s="26" t="n">
        <f>ROUND(O7*(1+P9),0)</f>
        <v>151</v>
      </c>
      <c r="P9" s="27" t="n">
        <f>'밸런스 조정'!$C$18</f>
        <v>0.16</v>
      </c>
      <c r="Q9" s="41">
        <f>'밸런스 조정'!$C$64</f>
        <v>0</v>
      </c>
      <c r="R9" s="41">
        <f>'밸런스 조정'!$C$65*IF(M9="Boss",5,IF(M9="Elite",2,1))</f>
        <v>10</v>
      </c>
    </row>
    <row r="10" spans="2:18" ht="30" customHeight="1">
      <c r="B10" s="19">
        <v>8</v>
      </c>
      <c r="C10" s="16" t="s">
        <v>197</v>
      </c>
      <c r="D10" s="16" t="s">
        <v>211</v>
      </c>
      <c r="E10" s="20">
        <v>1</v>
      </c>
      <c r="F10" s="21" t="s">
        <v>205</v>
      </c>
      <c r="G10" s="21">
        <v>2</v>
      </c>
      <c r="H10" s="21">
        <v>0</v>
      </c>
      <c r="I10" s="21">
        <v>5</v>
      </c>
      <c r="J10" s="21">
        <v>2</v>
      </c>
      <c r="K10" s="21">
        <v>12</v>
      </c>
      <c r="L10" s="18" t="s">
        <v>203</v>
      </c>
      <c r="M10" s="25" t="s">
        <v>43</v>
      </c>
      <c r="N10" s="26">
        <f>N9</f>
        <v>8</v>
      </c>
      <c r="O10" s="26" t="n">
        <f>ROUND(O9*(1+P10),0)</f>
        <v>174</v>
      </c>
      <c r="P10" s="27">
        <v>0.15</v>
      </c>
      <c r="Q10" s="41">
        <f>'밸런스 조정'!$C$64</f>
        <v>0</v>
      </c>
      <c r="R10" s="41">
        <f>'밸런스 조정'!$C$65*IF(M10="Boss",5,IF(M10="Elite",2,1))</f>
        <v>10</v>
      </c>
    </row>
    <row r="11" spans="2:18" ht="30" customHeight="1">
      <c r="B11" s="19">
        <v>9</v>
      </c>
      <c r="C11" s="16" t="s">
        <v>197</v>
      </c>
      <c r="D11" s="16" t="s">
        <v>212</v>
      </c>
      <c r="E11" s="20">
        <v>1</v>
      </c>
      <c r="F11" s="21" t="s">
        <v>213</v>
      </c>
      <c r="G11" s="21">
        <v>3</v>
      </c>
      <c r="H11" s="21">
        <v>4</v>
      </c>
      <c r="I11" s="21">
        <v>36</v>
      </c>
      <c r="J11" s="21">
        <v>0.45</v>
      </c>
      <c r="K11" s="21">
        <v>11.9</v>
      </c>
      <c r="L11" s="18" t="s">
        <v>200</v>
      </c>
      <c r="M11" s="25" t="s">
        <v>43</v>
      </c>
      <c r="N11" s="26">
        <f>(ROUND(N9*(1+'밸런스 조정'!$C$17),0))*0.45</f>
        <v>3.6</v>
      </c>
      <c r="O11" s="26" t="n">
        <f>ROUND(O9*(1+P11),0)</f>
        <v>175</v>
      </c>
      <c r="P11" s="27" t="n">
        <f>'밸런스 조정'!$C$18</f>
        <v>0.16</v>
      </c>
      <c r="Q11" s="41">
        <f>'밸런스 조정'!$C$64</f>
        <v>0</v>
      </c>
      <c r="R11" s="41">
        <f>'밸런스 조정'!$C$65*IF(M11="Boss",5,IF(M11="Elite",2,1))</f>
        <v>10</v>
      </c>
    </row>
    <row r="12" spans="2:18" ht="30" customHeight="1">
      <c r="B12" s="19">
        <v>10</v>
      </c>
      <c r="C12" s="16" t="s">
        <v>197</v>
      </c>
      <c r="D12" s="16" t="s">
        <v>214</v>
      </c>
      <c r="E12" s="20">
        <v>1</v>
      </c>
      <c r="F12" s="21" t="s">
        <v>213</v>
      </c>
      <c r="G12" s="21">
        <v>3</v>
      </c>
      <c r="H12" s="21">
        <v>4</v>
      </c>
      <c r="I12" s="21">
        <v>36</v>
      </c>
      <c r="J12" s="21">
        <v>0.45</v>
      </c>
      <c r="K12" s="21">
        <v>11.9</v>
      </c>
      <c r="L12" s="18" t="s">
        <v>203</v>
      </c>
      <c r="M12" s="25" t="s">
        <v>43</v>
      </c>
      <c r="N12" s="26">
        <f>N11</f>
        <v>3.6</v>
      </c>
      <c r="O12" s="26" t="n">
        <f>ROUND(O11*(1+P12),0)</f>
        <v>201</v>
      </c>
      <c r="P12" s="27">
        <v>0.15</v>
      </c>
      <c r="Q12" s="41">
        <f>'밸런스 조정'!$C$64</f>
        <v>0</v>
      </c>
      <c r="R12" s="41">
        <f>'밸런스 조정'!$C$65*IF(M12="Boss",5,IF(M12="Elite",2,1))</f>
        <v>10</v>
      </c>
    </row>
    <row r="13" spans="2:18" ht="30" customHeight="1">
      <c r="B13" s="19">
        <v>11</v>
      </c>
      <c r="C13" s="16" t="s">
        <v>197</v>
      </c>
      <c r="D13" s="16" t="s">
        <v>215</v>
      </c>
      <c r="E13" s="20">
        <v>0</v>
      </c>
      <c r="F13" s="21" t="s">
        <v>205</v>
      </c>
      <c r="G13" s="21">
        <v>2</v>
      </c>
      <c r="H13" s="21">
        <v>0</v>
      </c>
      <c r="I13" s="21">
        <v>8</v>
      </c>
      <c r="J13" s="21">
        <v>2</v>
      </c>
      <c r="K13" s="21">
        <v>12</v>
      </c>
      <c r="L13" s="18" t="s">
        <v>200</v>
      </c>
      <c r="M13" s="25" t="s">
        <v>43</v>
      </c>
      <c r="N13" s="26">
        <f>ROUND(N11*(1+'밸런스 조정'!$C$17),0)</f>
        <v>4</v>
      </c>
      <c r="O13" s="26" t="n">
        <f>ROUND(O11*(1+P13),0)</f>
        <v>203</v>
      </c>
      <c r="P13" s="27" t="n">
        <f>'밸런스 조정'!$C$18</f>
        <v>0.16</v>
      </c>
      <c r="Q13" s="41">
        <f>'밸런스 조정'!$C$64</f>
        <v>0</v>
      </c>
      <c r="R13" s="41">
        <f>'밸런스 조정'!$C$65*IF(M13="Boss",5,IF(M13="Elite",2,1))</f>
        <v>10</v>
      </c>
    </row>
    <row r="14" spans="2:18" ht="30" customHeight="1">
      <c r="B14" s="19">
        <v>12</v>
      </c>
      <c r="C14" s="16" t="s">
        <v>197</v>
      </c>
      <c r="D14" s="16" t="s">
        <v>216</v>
      </c>
      <c r="E14" s="20">
        <v>1</v>
      </c>
      <c r="F14" s="21" t="s">
        <v>205</v>
      </c>
      <c r="G14" s="21">
        <v>2</v>
      </c>
      <c r="H14" s="21">
        <v>0</v>
      </c>
      <c r="I14" s="21">
        <v>5</v>
      </c>
      <c r="J14" s="21">
        <v>2</v>
      </c>
      <c r="K14" s="21">
        <v>12</v>
      </c>
      <c r="L14" s="18" t="s">
        <v>203</v>
      </c>
      <c r="M14" s="25" t="s">
        <v>82</v>
      </c>
      <c r="N14" s="26">
        <f>N13</f>
        <v>4</v>
      </c>
      <c r="O14" s="26" t="n">
        <f>ROUND(O13*3,0)</f>
        <v>609</v>
      </c>
      <c r="P14" s="27">
        <v>0.15</v>
      </c>
      <c r="Q14" s="41">
        <f>'밸런스 조정'!$C$64</f>
        <v>0</v>
      </c>
      <c r="R14" s="41">
        <f>'밸런스 조정'!$C$65*IF(M14="Boss",5,IF(M14="Elite",2,1))</f>
        <v>50</v>
      </c>
    </row>
    <row r="15" spans="2:18" ht="30" customHeight="1">
      <c r="B15" s="19">
        <v>13</v>
      </c>
      <c r="C15" s="16" t="s">
        <v>197</v>
      </c>
      <c r="D15" s="16" t="s">
        <v>217</v>
      </c>
      <c r="E15" s="20">
        <v>1</v>
      </c>
      <c r="F15" s="21" t="s">
        <v>208</v>
      </c>
      <c r="G15" s="21">
        <v>2.5</v>
      </c>
      <c r="H15" s="21">
        <v>8</v>
      </c>
      <c r="I15" s="21">
        <v>18</v>
      </c>
      <c r="J15" s="21">
        <v>2</v>
      </c>
      <c r="K15" s="21">
        <v>12</v>
      </c>
      <c r="L15" s="18" t="s">
        <v>200</v>
      </c>
      <c r="M15" s="25" t="s">
        <v>43</v>
      </c>
      <c r="N15" s="26">
        <f>ROUND(N13*(1+'밸런스 조정'!$C$17),0)</f>
        <v>4</v>
      </c>
      <c r="O15" s="26" t="n">
        <f>ROUND(O13*(1+P15),0)</f>
        <v>235</v>
      </c>
      <c r="P15" s="27" t="n">
        <f>'밸런스 조정'!$C$18</f>
        <v>0.16</v>
      </c>
      <c r="Q15" s="41">
        <f>'밸런스 조정'!$C$64</f>
        <v>0</v>
      </c>
      <c r="R15" s="41">
        <f>'밸런스 조정'!$C$65*IF(M15="Boss",5,IF(M15="Elite",2,1))</f>
        <v>10</v>
      </c>
    </row>
    <row r="16" spans="2:18" ht="30" customHeight="1">
      <c r="B16" s="19">
        <v>14</v>
      </c>
      <c r="C16" s="16" t="s">
        <v>197</v>
      </c>
      <c r="D16" s="16" t="s">
        <v>218</v>
      </c>
      <c r="E16" s="20">
        <v>1</v>
      </c>
      <c r="F16" s="21" t="s">
        <v>208</v>
      </c>
      <c r="G16" s="21">
        <v>2.5</v>
      </c>
      <c r="H16" s="21">
        <v>8</v>
      </c>
      <c r="I16" s="21">
        <v>14</v>
      </c>
      <c r="J16" s="21">
        <v>2</v>
      </c>
      <c r="K16" s="21">
        <v>12</v>
      </c>
      <c r="L16" s="18" t="s">
        <v>203</v>
      </c>
      <c r="M16" s="25" t="s">
        <v>43</v>
      </c>
      <c r="N16" s="26">
        <f>N15</f>
        <v>4</v>
      </c>
      <c r="O16" s="26" t="n">
        <f>ROUND(O15*(1+P16),0)</f>
        <v>270</v>
      </c>
      <c r="P16" s="27">
        <v>0.15</v>
      </c>
      <c r="Q16" s="41">
        <f>'밸런스 조정'!$C$64</f>
        <v>0</v>
      </c>
      <c r="R16" s="41">
        <f>'밸런스 조정'!$C$65*IF(M16="Boss",5,IF(M16="Elite",2,1))</f>
        <v>10</v>
      </c>
    </row>
    <row r="17" spans="2:18" ht="30" customHeight="1">
      <c r="B17" s="19">
        <v>15</v>
      </c>
      <c r="C17" s="16" t="s">
        <v>197</v>
      </c>
      <c r="D17" s="16" t="s">
        <v>219</v>
      </c>
      <c r="E17" s="20">
        <v>1</v>
      </c>
      <c r="F17" s="21" t="s">
        <v>220</v>
      </c>
      <c r="G17" s="21">
        <v>0</v>
      </c>
      <c r="H17" s="21">
        <v>0</v>
      </c>
      <c r="I17" s="21">
        <v>20</v>
      </c>
      <c r="J17" s="21">
        <v>0.62</v>
      </c>
      <c r="K17" s="21">
        <v>18</v>
      </c>
      <c r="L17" s="18" t="s">
        <v>200</v>
      </c>
      <c r="M17" s="25" t="s">
        <v>81</v>
      </c>
      <c r="N17" s="26">
        <v>100</v>
      </c>
      <c r="O17" s="26" t="n">
        <f>ROUND(O15*'밸런스 조정'!$C$20,0)</f>
        <v>423</v>
      </c>
      <c r="P17" s="27"/>
      <c r="Q17" s="41">
        <f>'밸런스 조정'!$C$64</f>
        <v>0</v>
      </c>
      <c r="R17" s="41">
        <f>'밸런스 조정'!$C$65*IF(M17="Boss",5,IF(M17="Elite",2,1))</f>
        <v>20</v>
      </c>
    </row>
    <row r="18" spans="2:18" ht="30" customHeight="1">
      <c r="B18" s="19">
        <v>16</v>
      </c>
      <c r="C18" s="16" t="s">
        <v>197</v>
      </c>
      <c r="D18" s="16" t="s">
        <v>221</v>
      </c>
      <c r="E18" s="20">
        <v>1</v>
      </c>
      <c r="F18" s="21" t="s">
        <v>220</v>
      </c>
      <c r="G18" s="21">
        <v>0</v>
      </c>
      <c r="H18" s="21">
        <v>0</v>
      </c>
      <c r="I18" s="21">
        <v>20</v>
      </c>
      <c r="J18" s="21">
        <v>0.62</v>
      </c>
      <c r="K18" s="21">
        <v>18</v>
      </c>
      <c r="L18" s="18" t="s">
        <v>203</v>
      </c>
      <c r="M18" s="25" t="s">
        <v>81</v>
      </c>
      <c r="N18" s="26">
        <v>100</v>
      </c>
      <c r="O18" s="26" t="n">
        <f>ROUND(O17*(1+P18),0)</f>
        <v>486</v>
      </c>
      <c r="P18" s="27">
        <v>0.15</v>
      </c>
      <c r="Q18" s="41">
        <f>'밸런스 조정'!$C$64</f>
        <v>0</v>
      </c>
      <c r="R18" s="41">
        <f>'밸런스 조정'!$C$65*IF(M18="Boss",5,IF(M18="Elite",2,1))</f>
        <v>20</v>
      </c>
    </row>
    <row r="19" spans="2:18" ht="30" customHeight="1">
      <c r="B19" s="19">
        <v>17</v>
      </c>
      <c r="C19" s="16" t="s">
        <v>197</v>
      </c>
      <c r="D19" s="16" t="s">
        <v>222</v>
      </c>
      <c r="E19" s="20">
        <v>1</v>
      </c>
      <c r="F19" s="21" t="s">
        <v>205</v>
      </c>
      <c r="G19" s="21">
        <v>2</v>
      </c>
      <c r="H19" s="21">
        <v>0</v>
      </c>
      <c r="I19" s="21">
        <v>8</v>
      </c>
      <c r="J19" s="21">
        <v>2</v>
      </c>
      <c r="K19" s="21">
        <v>12</v>
      </c>
      <c r="L19" s="18" t="s">
        <v>200</v>
      </c>
      <c r="M19" s="25" t="s">
        <v>43</v>
      </c>
      <c r="N19" s="26">
        <f>ROUND(N15*(1+'밸런스 조정'!$C$17),0)</f>
        <v>4</v>
      </c>
      <c r="O19" s="26" t="n">
        <f>ROUND(O15*(1+P19),0)</f>
        <v>273</v>
      </c>
      <c r="P19" s="27" t="n">
        <f>'밸런스 조정'!$C$18</f>
        <v>0.16</v>
      </c>
      <c r="Q19" s="41">
        <f>'밸런스 조정'!$C$64</f>
        <v>0</v>
      </c>
      <c r="R19" s="41">
        <f>'밸런스 조정'!$C$65*IF(M19="Boss",5,IF(M19="Elite",2,1))</f>
        <v>10</v>
      </c>
    </row>
    <row r="20" spans="2:18" ht="30" customHeight="1">
      <c r="B20" s="19">
        <v>18</v>
      </c>
      <c r="C20" s="16" t="s">
        <v>197</v>
      </c>
      <c r="D20" s="16" t="s">
        <v>223</v>
      </c>
      <c r="E20" s="20">
        <v>1</v>
      </c>
      <c r="F20" s="21" t="s">
        <v>205</v>
      </c>
      <c r="G20" s="21">
        <v>2</v>
      </c>
      <c r="H20" s="21">
        <v>0</v>
      </c>
      <c r="I20" s="21">
        <v>5</v>
      </c>
      <c r="J20" s="21">
        <v>2</v>
      </c>
      <c r="K20" s="21">
        <v>12</v>
      </c>
      <c r="L20" s="18" t="s">
        <v>203</v>
      </c>
      <c r="M20" s="25" t="s">
        <v>43</v>
      </c>
      <c r="N20" s="26">
        <f>N19</f>
        <v>4</v>
      </c>
      <c r="O20" s="26" t="n">
        <f>ROUND(O19*(1+P20),0)</f>
        <v>314</v>
      </c>
      <c r="P20" s="27">
        <v>0.15</v>
      </c>
      <c r="Q20" s="41">
        <f>'밸런스 조정'!$C$64</f>
        <v>0</v>
      </c>
      <c r="R20" s="41">
        <f>'밸런스 조정'!$C$65*IF(M20="Boss",5,IF(M20="Elite",2,1))</f>
        <v>10</v>
      </c>
    </row>
    <row r="21" spans="2:18" ht="30" customHeight="1">
      <c r="B21" s="19">
        <v>19</v>
      </c>
      <c r="C21" s="16" t="s">
        <v>197</v>
      </c>
      <c r="D21" s="16" t="s">
        <v>224</v>
      </c>
      <c r="E21" s="20">
        <v>1</v>
      </c>
      <c r="F21" s="21" t="s">
        <v>208</v>
      </c>
      <c r="G21" s="21">
        <v>1.4</v>
      </c>
      <c r="H21" s="21">
        <v>2</v>
      </c>
      <c r="I21" s="21">
        <v>18</v>
      </c>
      <c r="J21" s="21">
        <v>2</v>
      </c>
      <c r="K21" s="21">
        <v>12</v>
      </c>
      <c r="L21" s="18" t="s">
        <v>200</v>
      </c>
      <c r="M21" s="25" t="s">
        <v>43</v>
      </c>
      <c r="N21" s="26">
        <f>ROUND(N19*(1+'밸런스 조정'!$C$17),0)</f>
        <v>4</v>
      </c>
      <c r="O21" s="26" t="n">
        <f>ROUND(O19*(1+P21),0)</f>
        <v>317</v>
      </c>
      <c r="P21" s="27" t="n">
        <f>'밸런스 조정'!$C$18</f>
        <v>0.16</v>
      </c>
      <c r="Q21" s="41">
        <f>'밸런스 조정'!$C$64</f>
        <v>0</v>
      </c>
      <c r="R21" s="41">
        <f>'밸런스 조정'!$C$65*IF(M21="Boss",5,IF(M21="Elite",2,1))</f>
        <v>10</v>
      </c>
    </row>
    <row r="22" spans="2:18" ht="30" customHeight="1">
      <c r="B22" s="19">
        <v>20</v>
      </c>
      <c r="C22" s="16" t="s">
        <v>197</v>
      </c>
      <c r="D22" s="16" t="s">
        <v>225</v>
      </c>
      <c r="E22" s="20">
        <v>1</v>
      </c>
      <c r="F22" s="21" t="s">
        <v>208</v>
      </c>
      <c r="G22" s="21">
        <v>1.4</v>
      </c>
      <c r="H22" s="21">
        <v>2</v>
      </c>
      <c r="I22" s="21">
        <v>14</v>
      </c>
      <c r="J22" s="21">
        <v>2</v>
      </c>
      <c r="K22" s="21">
        <v>12</v>
      </c>
      <c r="L22" s="18" t="s">
        <v>203</v>
      </c>
      <c r="M22" s="25" t="s">
        <v>43</v>
      </c>
      <c r="N22" s="26">
        <f>N21</f>
        <v>4</v>
      </c>
      <c r="O22" s="26" t="n">
        <f>ROUND(O21*(1+P22),0)</f>
        <v>365</v>
      </c>
      <c r="P22" s="27">
        <v>0.15</v>
      </c>
      <c r="Q22" s="41">
        <f>'밸런스 조정'!$C$64</f>
        <v>0</v>
      </c>
      <c r="R22" s="41">
        <f>'밸런스 조정'!$C$65*IF(M22="Boss",5,IF(M22="Elite",2,1))</f>
        <v>10</v>
      </c>
    </row>
    <row r="23" spans="2:18" ht="30" customHeight="1">
      <c r="B23" s="19">
        <v>21</v>
      </c>
      <c r="C23" s="16" t="s">
        <v>197</v>
      </c>
      <c r="D23" s="16" t="s">
        <v>226</v>
      </c>
      <c r="E23" s="20">
        <v>1</v>
      </c>
      <c r="F23" s="21" t="s">
        <v>205</v>
      </c>
      <c r="G23" s="21">
        <v>2</v>
      </c>
      <c r="H23" s="21">
        <v>0</v>
      </c>
      <c r="I23" s="21">
        <v>8</v>
      </c>
      <c r="J23" s="21">
        <v>2</v>
      </c>
      <c r="K23" s="21">
        <v>12</v>
      </c>
      <c r="L23" s="18" t="s">
        <v>200</v>
      </c>
      <c r="M23" s="25" t="s">
        <v>43</v>
      </c>
      <c r="N23" s="26">
        <f>ROUND(N21*(1+'밸런스 조정'!$C$17),0)</f>
        <v>4</v>
      </c>
      <c r="O23" s="26" t="n">
        <f>ROUND(O21*(1+P23),0)</f>
        <v>368</v>
      </c>
      <c r="P23" s="27" t="n">
        <f>'밸런스 조정'!$C$18</f>
        <v>0.16</v>
      </c>
      <c r="Q23" s="41">
        <f>'밸런스 조정'!$C$64</f>
        <v>0</v>
      </c>
      <c r="R23" s="41">
        <f>'밸런스 조정'!$C$65*IF(M23="Boss",5,IF(M23="Elite",2,1))</f>
        <v>10</v>
      </c>
    </row>
    <row r="24" spans="2:18" ht="30" customHeight="1">
      <c r="B24" s="19">
        <v>22</v>
      </c>
      <c r="C24" s="16" t="s">
        <v>197</v>
      </c>
      <c r="D24" s="16" t="s">
        <v>227</v>
      </c>
      <c r="E24" s="20">
        <v>1</v>
      </c>
      <c r="F24" s="21" t="s">
        <v>205</v>
      </c>
      <c r="G24" s="21">
        <v>2</v>
      </c>
      <c r="H24" s="21">
        <v>0</v>
      </c>
      <c r="I24" s="21">
        <v>5</v>
      </c>
      <c r="J24" s="21">
        <v>2</v>
      </c>
      <c r="K24" s="21">
        <v>12</v>
      </c>
      <c r="L24" s="18" t="s">
        <v>203</v>
      </c>
      <c r="M24" s="25" t="s">
        <v>43</v>
      </c>
      <c r="N24" s="26">
        <f>N23</f>
        <v>4</v>
      </c>
      <c r="O24" s="26" t="n">
        <f>ROUND(O23*(1+P24),0)</f>
        <v>423</v>
      </c>
      <c r="P24" s="27">
        <v>0.15</v>
      </c>
      <c r="Q24" s="41">
        <f>'밸런스 조정'!$C$64</f>
        <v>0</v>
      </c>
      <c r="R24" s="41">
        <f>'밸런스 조정'!$C$65*IF(M24="Boss",5,IF(M24="Elite",2,1))</f>
        <v>10</v>
      </c>
    </row>
    <row r="25" spans="2:18" ht="30" customHeight="1">
      <c r="B25" s="19">
        <v>23</v>
      </c>
      <c r="C25" s="16" t="s">
        <v>197</v>
      </c>
      <c r="D25" s="16" t="s">
        <v>228</v>
      </c>
      <c r="E25" s="20">
        <v>1</v>
      </c>
      <c r="F25" s="21" t="s">
        <v>220</v>
      </c>
      <c r="G25" s="21">
        <v>0</v>
      </c>
      <c r="H25" s="21">
        <v>0</v>
      </c>
      <c r="I25" s="21">
        <v>16</v>
      </c>
      <c r="J25" s="21">
        <v>0.62</v>
      </c>
      <c r="K25" s="21">
        <v>18</v>
      </c>
      <c r="L25" s="18" t="s">
        <v>200</v>
      </c>
      <c r="M25" s="25" t="s">
        <v>81</v>
      </c>
      <c r="N25" s="26">
        <v>100</v>
      </c>
      <c r="O25" s="26" t="n">
        <f>ROUND(O23*'밸런스 조정'!$C$20,0)</f>
        <v>662</v>
      </c>
      <c r="P25" s="27"/>
      <c r="Q25" s="41">
        <f>'밸런스 조정'!$C$64</f>
        <v>0</v>
      </c>
      <c r="R25" s="41">
        <f>'밸런스 조정'!$C$65*IF(M25="Boss",5,IF(M25="Elite",2,1))</f>
        <v>20</v>
      </c>
    </row>
    <row r="26" spans="2:18" ht="30" customHeight="1">
      <c r="B26" s="19">
        <v>24</v>
      </c>
      <c r="C26" s="16" t="s">
        <v>197</v>
      </c>
      <c r="D26" s="16" t="s">
        <v>229</v>
      </c>
      <c r="E26" s="20">
        <v>1</v>
      </c>
      <c r="F26" s="21" t="s">
        <v>220</v>
      </c>
      <c r="G26" s="21">
        <v>0</v>
      </c>
      <c r="H26" s="21">
        <v>0</v>
      </c>
      <c r="I26" s="21">
        <v>16</v>
      </c>
      <c r="J26" s="21">
        <v>0.62</v>
      </c>
      <c r="K26" s="21">
        <v>18</v>
      </c>
      <c r="L26" s="18" t="s">
        <v>203</v>
      </c>
      <c r="M26" s="25" t="s">
        <v>81</v>
      </c>
      <c r="N26" s="26">
        <v>100</v>
      </c>
      <c r="O26" s="26" t="n">
        <f>ROUND(O25*(1+P26),0)</f>
        <v>761</v>
      </c>
      <c r="P26" s="27">
        <v>0.15</v>
      </c>
      <c r="Q26" s="41">
        <f>'밸런스 조정'!$C$64</f>
        <v>0</v>
      </c>
      <c r="R26" s="41">
        <f>'밸런스 조정'!$C$65*IF(M26="Boss",5,IF(M26="Elite",2,1))</f>
        <v>20</v>
      </c>
    </row>
    <row r="27" spans="2:18" ht="30" customHeight="1">
      <c r="B27" s="19">
        <v>25</v>
      </c>
      <c r="C27" s="16" t="s">
        <v>197</v>
      </c>
      <c r="D27" s="16" t="s">
        <v>230</v>
      </c>
      <c r="E27" s="20">
        <v>1</v>
      </c>
      <c r="F27" s="21" t="s">
        <v>205</v>
      </c>
      <c r="G27" s="21">
        <v>2</v>
      </c>
      <c r="H27" s="21">
        <v>0</v>
      </c>
      <c r="I27" s="21">
        <v>8</v>
      </c>
      <c r="J27" s="21">
        <v>2</v>
      </c>
      <c r="K27" s="21">
        <v>12</v>
      </c>
      <c r="L27" s="18" t="s">
        <v>200</v>
      </c>
      <c r="M27" s="25" t="s">
        <v>43</v>
      </c>
      <c r="N27" s="26">
        <f>ROUND(N23*(1+'밸런스 조정'!$C$17),0)</f>
        <v>4</v>
      </c>
      <c r="O27" s="26" t="n">
        <f>ROUND(O23*(1+P27),0)</f>
        <v>427</v>
      </c>
      <c r="P27" s="27" t="n">
        <f>'밸런스 조정'!$C$18</f>
        <v>0.16</v>
      </c>
      <c r="Q27" s="41">
        <f>'밸런스 조정'!$C$64</f>
        <v>0</v>
      </c>
      <c r="R27" s="41">
        <f>'밸런스 조정'!$C$65*IF(M27="Boss",5,IF(M27="Elite",2,1))</f>
        <v>10</v>
      </c>
    </row>
    <row r="28" spans="2:18" ht="30" customHeight="1">
      <c r="B28" s="19">
        <v>26</v>
      </c>
      <c r="C28" s="16" t="s">
        <v>197</v>
      </c>
      <c r="D28" s="16" t="s">
        <v>231</v>
      </c>
      <c r="E28" s="20">
        <v>1</v>
      </c>
      <c r="F28" s="21" t="s">
        <v>205</v>
      </c>
      <c r="G28" s="21">
        <v>2</v>
      </c>
      <c r="H28" s="21">
        <v>0</v>
      </c>
      <c r="I28" s="21">
        <v>5</v>
      </c>
      <c r="J28" s="21">
        <v>2</v>
      </c>
      <c r="K28" s="21">
        <v>12</v>
      </c>
      <c r="L28" s="18" t="s">
        <v>203</v>
      </c>
      <c r="M28" s="25" t="s">
        <v>43</v>
      </c>
      <c r="N28" s="26">
        <f>N27</f>
        <v>4</v>
      </c>
      <c r="O28" s="26" t="n">
        <f>ROUND(O27*(1+P28),0)</f>
        <v>491</v>
      </c>
      <c r="P28" s="27">
        <v>0.15</v>
      </c>
      <c r="Q28" s="41">
        <f>'밸런스 조정'!$C$64</f>
        <v>0</v>
      </c>
      <c r="R28" s="41">
        <f>'밸런스 조정'!$C$65*IF(M28="Boss",5,IF(M28="Elite",2,1))</f>
        <v>10</v>
      </c>
    </row>
    <row r="29" spans="2:18" ht="30" customHeight="1">
      <c r="B29" s="19">
        <v>27</v>
      </c>
      <c r="C29" s="16" t="s">
        <v>197</v>
      </c>
      <c r="D29" s="16" t="s">
        <v>232</v>
      </c>
      <c r="E29" s="20">
        <v>1</v>
      </c>
      <c r="F29" s="21" t="s">
        <v>205</v>
      </c>
      <c r="G29" s="21">
        <v>2</v>
      </c>
      <c r="H29" s="21">
        <v>0</v>
      </c>
      <c r="I29" s="21">
        <v>8</v>
      </c>
      <c r="J29" s="21">
        <v>2</v>
      </c>
      <c r="K29" s="21">
        <v>12</v>
      </c>
      <c r="L29" s="18" t="s">
        <v>200</v>
      </c>
      <c r="M29" s="25" t="s">
        <v>43</v>
      </c>
      <c r="N29" s="26">
        <f>ROUND(N27*(1+'밸런스 조정'!$C$17),0)</f>
        <v>4</v>
      </c>
      <c r="O29" s="26" t="n">
        <f>ROUND(O27*(1+P29),0)</f>
        <v>495</v>
      </c>
      <c r="P29" s="27" t="n">
        <f>'밸런스 조정'!$C$18</f>
        <v>0.16</v>
      </c>
      <c r="Q29" s="41">
        <f>'밸런스 조정'!$C$64</f>
        <v>0</v>
      </c>
      <c r="R29" s="41">
        <f>'밸런스 조정'!$C$65*IF(M29="Boss",5,IF(M29="Elite",2,1))</f>
        <v>10</v>
      </c>
    </row>
    <row r="30" spans="2:18">
      <c r="B30">
        <v>28</v>
      </c>
      <c r="C30" t="s">
        <v>197</v>
      </c>
      <c r="D30" t="s">
        <v>233</v>
      </c>
      <c r="E30">
        <v>1</v>
      </c>
      <c r="F30" t="s">
        <v>205</v>
      </c>
      <c r="G30">
        <v>2</v>
      </c>
      <c r="H30">
        <v>0</v>
      </c>
      <c r="I30">
        <v>5</v>
      </c>
      <c r="J30">
        <v>2</v>
      </c>
      <c r="K30">
        <v>12</v>
      </c>
      <c r="L30" t="s">
        <v>203</v>
      </c>
      <c r="M30" t="s">
        <v>43</v>
      </c>
      <c r="N30">
        <f>N29</f>
        <v>4</v>
      </c>
      <c r="O30" t="n">
        <f>ROUND(O29*(1+P30),0)</f>
        <v>569</v>
      </c>
      <c r="P30">
        <v>0.15</v>
      </c>
      <c r="Q30" s="41">
        <f>'밸런스 조정'!$C$64</f>
        <v>0</v>
      </c>
      <c r="R30" s="41">
        <f>'밸런스 조정'!$C$65*IF(M30="Boss",5,IF(M30="Elite",2,1))</f>
        <v>10</v>
      </c>
    </row>
    <row r="31" spans="2:18">
      <c r="B31">
        <v>29</v>
      </c>
      <c r="C31" t="s">
        <v>197</v>
      </c>
      <c r="D31" t="s">
        <v>234</v>
      </c>
      <c r="E31">
        <v>1</v>
      </c>
      <c r="F31" t="s">
        <v>208</v>
      </c>
      <c r="G31">
        <v>2.5</v>
      </c>
      <c r="H31">
        <v>8</v>
      </c>
      <c r="I31">
        <v>18</v>
      </c>
      <c r="J31">
        <v>2</v>
      </c>
      <c r="K31">
        <v>12</v>
      </c>
      <c r="L31" t="s">
        <v>200</v>
      </c>
      <c r="M31" t="s">
        <v>43</v>
      </c>
      <c r="N31">
        <f>ROUND(N29*(1+'밸런스 조정'!$C$17),0)</f>
        <v>4</v>
      </c>
      <c r="O31" t="n">
        <f>ROUND(O29*(1+P31),0)</f>
        <v>574</v>
      </c>
      <c r="P31" t="n">
        <f>'밸런스 조정'!$C$18</f>
        <v>0.16</v>
      </c>
      <c r="Q31" s="41">
        <f>'밸런스 조정'!$C$64</f>
        <v>0</v>
      </c>
      <c r="R31" s="41">
        <f>'밸런스 조정'!$C$65*IF(M31="Boss",5,IF(M31="Elite",2,1))</f>
        <v>10</v>
      </c>
    </row>
    <row r="32" spans="2:18">
      <c r="B32">
        <v>30</v>
      </c>
      <c r="C32" t="s">
        <v>197</v>
      </c>
      <c r="D32" t="s">
        <v>235</v>
      </c>
      <c r="E32">
        <v>1</v>
      </c>
      <c r="F32" t="s">
        <v>208</v>
      </c>
      <c r="G32">
        <v>2.5</v>
      </c>
      <c r="H32">
        <v>8</v>
      </c>
      <c r="I32">
        <v>14</v>
      </c>
      <c r="J32">
        <v>2</v>
      </c>
      <c r="K32">
        <v>12</v>
      </c>
      <c r="L32" t="s">
        <v>203</v>
      </c>
      <c r="M32" t="s">
        <v>43</v>
      </c>
      <c r="N32">
        <f>N31</f>
        <v>4</v>
      </c>
      <c r="O32" t="n">
        <f>ROUND(O31*(1+P32),0)</f>
        <v>660</v>
      </c>
      <c r="P32">
        <v>0.15</v>
      </c>
      <c r="Q32" s="41">
        <f>'밸런스 조정'!$C$64</f>
        <v>0</v>
      </c>
      <c r="R32" s="41">
        <f>'밸런스 조정'!$C$65*IF(M32="Boss",5,IF(M32="Elite",2,1))</f>
        <v>10</v>
      </c>
    </row>
    <row r="33" spans="2:18">
      <c r="B33">
        <v>31</v>
      </c>
      <c r="C33" t="s">
        <v>197</v>
      </c>
      <c r="D33" t="s">
        <v>236</v>
      </c>
      <c r="E33">
        <v>1</v>
      </c>
      <c r="F33" t="s">
        <v>205</v>
      </c>
      <c r="G33">
        <v>2</v>
      </c>
      <c r="H33">
        <v>0</v>
      </c>
      <c r="I33">
        <v>8</v>
      </c>
      <c r="J33">
        <v>2</v>
      </c>
      <c r="K33">
        <v>12</v>
      </c>
      <c r="L33" t="s">
        <v>200</v>
      </c>
      <c r="M33" t="s">
        <v>43</v>
      </c>
      <c r="N33">
        <f>ROUND(N31*(1+'밸런스 조정'!$C$17),0)</f>
        <v>4</v>
      </c>
      <c r="O33" t="n">
        <f>ROUND(O31*(1+P33),0)</f>
        <v>666</v>
      </c>
      <c r="P33" t="n">
        <f>'밸런스 조정'!$C$18</f>
        <v>0.16</v>
      </c>
      <c r="Q33" s="41">
        <f>'밸런스 조정'!$C$64</f>
        <v>0</v>
      </c>
      <c r="R33" s="41">
        <f>'밸런스 조정'!$C$65*IF(M33="Boss",5,IF(M33="Elite",2,1))</f>
        <v>10</v>
      </c>
    </row>
    <row r="34" spans="2:18">
      <c r="B34">
        <v>32</v>
      </c>
      <c r="C34" t="s">
        <v>197</v>
      </c>
      <c r="D34" t="s">
        <v>237</v>
      </c>
      <c r="E34">
        <v>1</v>
      </c>
      <c r="F34" t="s">
        <v>205</v>
      </c>
      <c r="G34">
        <v>2</v>
      </c>
      <c r="H34">
        <v>0</v>
      </c>
      <c r="I34">
        <v>5</v>
      </c>
      <c r="J34">
        <v>2</v>
      </c>
      <c r="K34">
        <v>12</v>
      </c>
      <c r="L34" t="s">
        <v>203</v>
      </c>
      <c r="M34" t="s">
        <v>43</v>
      </c>
      <c r="N34">
        <f>N33</f>
        <v>4</v>
      </c>
      <c r="O34" t="n">
        <f>ROUND(O33*(1+P34),0)</f>
        <v>766</v>
      </c>
      <c r="P34">
        <v>0.15</v>
      </c>
      <c r="Q34" s="41">
        <f>'밸런스 조정'!$C$64</f>
        <v>0</v>
      </c>
      <c r="R34" s="41">
        <f>'밸런스 조정'!$C$65*IF(M34="Boss",5,IF(M34="Elite",2,1))</f>
        <v>10</v>
      </c>
    </row>
    <row r="35" spans="2:18">
      <c r="B35">
        <v>33</v>
      </c>
      <c r="C35" t="s">
        <v>197</v>
      </c>
      <c r="D35" t="s">
        <v>238</v>
      </c>
      <c r="E35">
        <v>1</v>
      </c>
      <c r="F35" t="s">
        <v>213</v>
      </c>
      <c r="G35">
        <v>3</v>
      </c>
      <c r="H35">
        <v>8</v>
      </c>
      <c r="I35">
        <v>16</v>
      </c>
      <c r="J35">
        <v>0.45</v>
      </c>
      <c r="K35">
        <v>11.9</v>
      </c>
      <c r="L35" t="s">
        <v>200</v>
      </c>
      <c r="M35" t="s">
        <v>43</v>
      </c>
      <c r="N35">
        <f>(ROUND(N33*(1+'밸런스 조정'!$C$17),0))*0.45</f>
        <v>1.8</v>
      </c>
      <c r="O35" t="n">
        <f>ROUND(O33*(1+P35),0)</f>
        <v>773</v>
      </c>
      <c r="P35" t="n">
        <f>'밸런스 조정'!$C$18</f>
        <v>0.16</v>
      </c>
      <c r="Q35" s="41">
        <f>'밸런스 조정'!$C$64</f>
        <v>0</v>
      </c>
      <c r="R35" s="41">
        <f>'밸런스 조정'!$C$65*IF(M35="Boss",5,IF(M35="Elite",2,1))</f>
        <v>10</v>
      </c>
    </row>
    <row r="36" spans="2:18">
      <c r="B36">
        <v>34</v>
      </c>
      <c r="C36" t="s">
        <v>197</v>
      </c>
      <c r="D36" t="s">
        <v>239</v>
      </c>
      <c r="E36">
        <v>1</v>
      </c>
      <c r="F36" t="s">
        <v>213</v>
      </c>
      <c r="G36">
        <v>3</v>
      </c>
      <c r="H36">
        <v>8</v>
      </c>
      <c r="I36">
        <v>12</v>
      </c>
      <c r="J36">
        <v>0.45</v>
      </c>
      <c r="K36">
        <v>11.9</v>
      </c>
      <c r="L36" t="s">
        <v>203</v>
      </c>
      <c r="M36" t="s">
        <v>43</v>
      </c>
      <c r="N36">
        <f>N35</f>
        <v>1.8</v>
      </c>
      <c r="O36" t="n">
        <f>ROUND(O35*(1+P36),0)</f>
        <v>889</v>
      </c>
      <c r="P36">
        <v>0.15</v>
      </c>
      <c r="Q36" s="41">
        <f>'밸런스 조정'!$C$64</f>
        <v>0</v>
      </c>
      <c r="R36" s="41">
        <f>'밸런스 조정'!$C$65*IF(M36="Boss",5,IF(M36="Elite",2,1))</f>
        <v>10</v>
      </c>
    </row>
    <row r="37" spans="2:18">
      <c r="B37">
        <v>35</v>
      </c>
      <c r="C37" t="s">
        <v>197</v>
      </c>
      <c r="D37" t="s">
        <v>240</v>
      </c>
      <c r="E37">
        <v>1</v>
      </c>
      <c r="F37" t="s">
        <v>205</v>
      </c>
      <c r="G37">
        <v>2</v>
      </c>
      <c r="H37">
        <v>0</v>
      </c>
      <c r="I37">
        <v>8</v>
      </c>
      <c r="J37">
        <v>2</v>
      </c>
      <c r="K37">
        <v>12</v>
      </c>
      <c r="L37" t="s">
        <v>200</v>
      </c>
      <c r="M37" t="s">
        <v>43</v>
      </c>
      <c r="N37">
        <f>ROUND(N35*(1+'밸런스 조정'!$C$17),0)</f>
        <v>2</v>
      </c>
      <c r="O37" t="n">
        <f>ROUND(O35*(1+P37),0)</f>
        <v>897</v>
      </c>
      <c r="P37" t="n">
        <f>'밸런스 조정'!$C$18</f>
        <v>0.16</v>
      </c>
      <c r="Q37" s="41">
        <f>'밸런스 조정'!$C$64</f>
        <v>0</v>
      </c>
      <c r="R37" s="41">
        <f>'밸런스 조정'!$C$65*IF(M37="Boss",5,IF(M37="Elite",2,1))</f>
        <v>10</v>
      </c>
    </row>
    <row r="38" spans="2:18">
      <c r="B38">
        <v>36</v>
      </c>
      <c r="C38" t="s">
        <v>197</v>
      </c>
      <c r="D38" t="s">
        <v>241</v>
      </c>
      <c r="E38">
        <v>1</v>
      </c>
      <c r="F38" t="s">
        <v>205</v>
      </c>
      <c r="G38">
        <v>2</v>
      </c>
      <c r="H38">
        <v>0</v>
      </c>
      <c r="I38">
        <v>5</v>
      </c>
      <c r="J38">
        <v>2</v>
      </c>
      <c r="K38">
        <v>12</v>
      </c>
      <c r="L38" t="s">
        <v>203</v>
      </c>
      <c r="M38" t="s">
        <v>43</v>
      </c>
      <c r="N38">
        <f>N37</f>
        <v>2</v>
      </c>
      <c r="O38" t="n">
        <f>ROUND(O37*(1+P38),0)</f>
        <v>1032</v>
      </c>
      <c r="P38">
        <v>0.15</v>
      </c>
      <c r="Q38" s="41">
        <f>'밸런스 조정'!$C$64</f>
        <v>0</v>
      </c>
      <c r="R38" s="41">
        <f>'밸런스 조정'!$C$65*IF(M38="Boss",5,IF(M38="Elite",2,1))</f>
        <v>10</v>
      </c>
    </row>
    <row r="39" spans="2:18">
      <c r="B39">
        <v>37</v>
      </c>
      <c r="C39" t="s">
        <v>197</v>
      </c>
      <c r="D39" t="s">
        <v>242</v>
      </c>
      <c r="E39">
        <v>1</v>
      </c>
      <c r="F39" t="s">
        <v>208</v>
      </c>
      <c r="G39">
        <v>1.4</v>
      </c>
      <c r="H39">
        <v>2</v>
      </c>
      <c r="I39">
        <v>18</v>
      </c>
      <c r="J39">
        <v>2</v>
      </c>
      <c r="K39">
        <v>12</v>
      </c>
      <c r="L39" t="s">
        <v>200</v>
      </c>
      <c r="M39" t="s">
        <v>43</v>
      </c>
      <c r="N39">
        <f>ROUND(N37*(1+'밸런스 조정'!$C$17),0)</f>
        <v>2</v>
      </c>
      <c r="O39" t="n">
        <f>ROUND(O37*(1+P39),0)</f>
        <v>1041</v>
      </c>
      <c r="P39" t="n">
        <f>'밸런스 조정'!$C$18</f>
        <v>0.16</v>
      </c>
      <c r="Q39" s="41">
        <f>'밸런스 조정'!$C$64</f>
        <v>0</v>
      </c>
      <c r="R39" s="41">
        <f>'밸런스 조정'!$C$65*IF(M39="Boss",5,IF(M39="Elite",2,1))</f>
        <v>10</v>
      </c>
    </row>
    <row r="40" spans="2:18">
      <c r="B40">
        <v>38</v>
      </c>
      <c r="C40" t="s">
        <v>197</v>
      </c>
      <c r="D40" t="s">
        <v>243</v>
      </c>
      <c r="E40">
        <v>1</v>
      </c>
      <c r="F40" t="s">
        <v>208</v>
      </c>
      <c r="G40">
        <v>1.4</v>
      </c>
      <c r="H40">
        <v>2</v>
      </c>
      <c r="I40">
        <v>14</v>
      </c>
      <c r="J40">
        <v>2</v>
      </c>
      <c r="K40">
        <v>12</v>
      </c>
      <c r="L40" t="s">
        <v>203</v>
      </c>
      <c r="M40" t="s">
        <v>43</v>
      </c>
      <c r="N40">
        <f>N39</f>
        <v>2</v>
      </c>
      <c r="O40" t="n">
        <f>ROUND(O39*(1+P40),0)</f>
        <v>1197</v>
      </c>
      <c r="P40">
        <v>0.15</v>
      </c>
      <c r="Q40" s="41">
        <f>'밸런스 조정'!$C$64</f>
        <v>0</v>
      </c>
      <c r="R40" s="41">
        <f>'밸런스 조정'!$C$65*IF(M40="Boss",5,IF(M40="Elite",2,1))</f>
        <v>10</v>
      </c>
    </row>
    <row r="41" spans="2:18">
      <c r="B41">
        <v>39</v>
      </c>
      <c r="C41" t="s">
        <v>197</v>
      </c>
      <c r="D41" t="s">
        <v>244</v>
      </c>
      <c r="E41">
        <v>1</v>
      </c>
      <c r="F41" t="s">
        <v>205</v>
      </c>
      <c r="G41">
        <v>2</v>
      </c>
      <c r="H41">
        <v>0</v>
      </c>
      <c r="I41">
        <v>8</v>
      </c>
      <c r="J41">
        <v>2</v>
      </c>
      <c r="K41">
        <v>12</v>
      </c>
      <c r="L41" t="s">
        <v>200</v>
      </c>
      <c r="M41" t="s">
        <v>43</v>
      </c>
      <c r="N41">
        <f>ROUND(N39*(1+'밸런스 조정'!$C$17),0)</f>
        <v>2</v>
      </c>
      <c r="O41" t="n">
        <f>ROUND(O39*(1+P41),0)</f>
        <v>1208</v>
      </c>
      <c r="P41" t="n">
        <f>'밸런스 조정'!$C$18</f>
        <v>0.16</v>
      </c>
      <c r="Q41" s="41">
        <f>'밸런스 조정'!$C$64</f>
        <v>0</v>
      </c>
      <c r="R41" s="41">
        <f>'밸런스 조정'!$C$65*IF(M41="Boss",5,IF(M41="Elite",2,1))</f>
        <v>10</v>
      </c>
    </row>
    <row r="42" spans="2:18">
      <c r="B42">
        <v>40</v>
      </c>
      <c r="C42" t="s">
        <v>197</v>
      </c>
      <c r="D42" t="s">
        <v>245</v>
      </c>
      <c r="E42">
        <v>1</v>
      </c>
      <c r="F42" t="s">
        <v>205</v>
      </c>
      <c r="G42">
        <v>2</v>
      </c>
      <c r="H42">
        <v>0</v>
      </c>
      <c r="I42">
        <v>5</v>
      </c>
      <c r="J42">
        <v>2</v>
      </c>
      <c r="K42">
        <v>12</v>
      </c>
      <c r="L42" t="s">
        <v>203</v>
      </c>
      <c r="M42" t="s">
        <v>43</v>
      </c>
      <c r="N42">
        <f>N41</f>
        <v>2</v>
      </c>
      <c r="O42" t="n">
        <f>ROUND(O41*(1+P42),0)</f>
        <v>1389</v>
      </c>
      <c r="P42">
        <v>0.15</v>
      </c>
      <c r="Q42" s="41">
        <f>'밸런스 조정'!$C$64</f>
        <v>0</v>
      </c>
      <c r="R42" s="41">
        <f>'밸런스 조정'!$C$65*IF(M42="Boss",5,IF(M42="Elite",2,1))</f>
        <v>10</v>
      </c>
    </row>
    <row r="43" spans="2:18">
      <c r="B43">
        <v>41</v>
      </c>
      <c r="C43" t="s">
        <v>197</v>
      </c>
      <c r="D43" t="s">
        <v>246</v>
      </c>
      <c r="E43">
        <v>1</v>
      </c>
      <c r="F43" t="s">
        <v>205</v>
      </c>
      <c r="G43">
        <v>2</v>
      </c>
      <c r="H43">
        <v>0</v>
      </c>
      <c r="I43">
        <v>8</v>
      </c>
      <c r="J43">
        <v>2</v>
      </c>
      <c r="K43">
        <v>12</v>
      </c>
      <c r="L43" t="s">
        <v>200</v>
      </c>
      <c r="M43" t="s">
        <v>43</v>
      </c>
      <c r="N43">
        <f>ROUND(N41*(1+'밸런스 조정'!$C$17),0)</f>
        <v>2</v>
      </c>
      <c r="O43" t="n">
        <f>ROUND(O41*(1+P43),0)</f>
        <v>1401</v>
      </c>
      <c r="P43" t="n">
        <f>'밸런스 조정'!$C$18</f>
        <v>0.16</v>
      </c>
      <c r="Q43" s="41">
        <f>'밸런스 조정'!$C$64</f>
        <v>0</v>
      </c>
      <c r="R43" s="41">
        <f>'밸런스 조정'!$C$65*IF(M43="Boss",5,IF(M43="Elite",2,1))</f>
        <v>10</v>
      </c>
    </row>
    <row r="44" spans="2:18">
      <c r="B44">
        <v>42</v>
      </c>
      <c r="C44" t="s">
        <v>197</v>
      </c>
      <c r="D44" t="s">
        <v>247</v>
      </c>
      <c r="E44">
        <v>1</v>
      </c>
      <c r="F44" t="s">
        <v>205</v>
      </c>
      <c r="G44">
        <v>2</v>
      </c>
      <c r="H44">
        <v>0</v>
      </c>
      <c r="I44">
        <v>5</v>
      </c>
      <c r="J44">
        <v>2</v>
      </c>
      <c r="K44">
        <v>12</v>
      </c>
      <c r="L44" t="s">
        <v>203</v>
      </c>
      <c r="M44" t="s">
        <v>43</v>
      </c>
      <c r="N44">
        <f>N43</f>
        <v>2</v>
      </c>
      <c r="O44" t="n">
        <f>ROUND(O43*(1+P44),0)</f>
        <v>1611</v>
      </c>
      <c r="P44">
        <v>0.15</v>
      </c>
      <c r="Q44" s="41">
        <f>'밸런스 조정'!$C$64</f>
        <v>0</v>
      </c>
      <c r="R44" s="41">
        <f>'밸런스 조정'!$C$65*IF(M44="Boss",5,IF(M44="Elite",2,1))</f>
        <v>10</v>
      </c>
    </row>
    <row r="45" spans="2:18">
      <c r="B45">
        <v>43</v>
      </c>
      <c r="C45" t="s">
        <v>197</v>
      </c>
      <c r="D45" t="s">
        <v>248</v>
      </c>
      <c r="E45">
        <v>1</v>
      </c>
      <c r="F45" t="s">
        <v>205</v>
      </c>
      <c r="G45">
        <v>2</v>
      </c>
      <c r="H45">
        <v>0</v>
      </c>
      <c r="I45">
        <v>8</v>
      </c>
      <c r="J45">
        <v>2</v>
      </c>
      <c r="K45">
        <v>12</v>
      </c>
      <c r="L45" t="s">
        <v>200</v>
      </c>
      <c r="M45" t="s">
        <v>43</v>
      </c>
      <c r="N45">
        <f>ROUND(N43*(1+'밸런스 조정'!$C$17),0)</f>
        <v>2</v>
      </c>
      <c r="O45" t="n">
        <f>ROUND(O43*(1+P45),0)</f>
        <v>1625</v>
      </c>
      <c r="P45" t="n">
        <f>'밸런스 조정'!$C$18</f>
        <v>0.16</v>
      </c>
      <c r="Q45" s="41">
        <f>'밸런스 조정'!$C$64</f>
        <v>0</v>
      </c>
      <c r="R45" s="41">
        <f>'밸런스 조정'!$C$65*IF(M45="Boss",5,IF(M45="Elite",2,1))</f>
        <v>10</v>
      </c>
    </row>
    <row r="46" spans="2:18">
      <c r="B46">
        <v>44</v>
      </c>
      <c r="C46" t="s">
        <v>197</v>
      </c>
      <c r="D46" t="s">
        <v>249</v>
      </c>
      <c r="E46">
        <v>1</v>
      </c>
      <c r="F46" t="s">
        <v>205</v>
      </c>
      <c r="G46">
        <v>2</v>
      </c>
      <c r="H46">
        <v>0</v>
      </c>
      <c r="I46">
        <v>5</v>
      </c>
      <c r="J46">
        <v>2</v>
      </c>
      <c r="K46">
        <v>12</v>
      </c>
      <c r="L46" t="s">
        <v>203</v>
      </c>
      <c r="M46" t="s">
        <v>43</v>
      </c>
      <c r="N46">
        <f>N45</f>
        <v>2</v>
      </c>
      <c r="O46" t="n">
        <f>ROUND(O45*(1+P46),0)</f>
        <v>1869</v>
      </c>
      <c r="P46">
        <v>0.15</v>
      </c>
      <c r="Q46" s="41">
        <f>'밸런스 조정'!$C$64</f>
        <v>0</v>
      </c>
      <c r="R46" s="41">
        <f>'밸런스 조정'!$C$65*IF(M46="Boss",5,IF(M46="Elite",2,1))</f>
        <v>10</v>
      </c>
    </row>
    <row r="47" spans="2:18">
      <c r="B47">
        <v>45</v>
      </c>
      <c r="C47" t="s">
        <v>197</v>
      </c>
      <c r="D47" t="s">
        <v>250</v>
      </c>
      <c r="E47">
        <v>1</v>
      </c>
      <c r="F47" t="s">
        <v>205</v>
      </c>
      <c r="G47">
        <v>2</v>
      </c>
      <c r="H47">
        <v>0</v>
      </c>
      <c r="I47">
        <v>8</v>
      </c>
      <c r="J47">
        <v>2</v>
      </c>
      <c r="K47">
        <v>12</v>
      </c>
      <c r="L47" t="s">
        <v>200</v>
      </c>
      <c r="M47" t="s">
        <v>43</v>
      </c>
      <c r="N47">
        <f>ROUND(N45*(1+'밸런스 조정'!$C$17),0)</f>
        <v>2</v>
      </c>
      <c r="O47" t="n">
        <f>ROUND(O45*(1+P47),0)</f>
        <v>1885</v>
      </c>
      <c r="P47" t="n">
        <f>'밸런스 조정'!$C$18</f>
        <v>0.16</v>
      </c>
      <c r="Q47" s="41">
        <f>'밸런스 조정'!$C$64</f>
        <v>0</v>
      </c>
      <c r="R47" s="41">
        <f>'밸런스 조정'!$C$65*IF(M47="Boss",5,IF(M47="Elite",2,1))</f>
        <v>10</v>
      </c>
    </row>
    <row r="48" spans="2:18">
      <c r="B48">
        <v>46</v>
      </c>
      <c r="C48" t="s">
        <v>197</v>
      </c>
      <c r="D48" t="s">
        <v>251</v>
      </c>
      <c r="E48">
        <v>1</v>
      </c>
      <c r="F48" t="s">
        <v>205</v>
      </c>
      <c r="G48">
        <v>2</v>
      </c>
      <c r="H48">
        <v>0</v>
      </c>
      <c r="I48">
        <v>5</v>
      </c>
      <c r="J48">
        <v>2</v>
      </c>
      <c r="K48">
        <v>12</v>
      </c>
      <c r="L48" t="s">
        <v>203</v>
      </c>
      <c r="M48" t="s">
        <v>43</v>
      </c>
      <c r="N48">
        <f>N47</f>
        <v>2</v>
      </c>
      <c r="O48" t="n">
        <f>ROUND(O47*(1+P48),0)</f>
        <v>2168</v>
      </c>
      <c r="P48">
        <v>0.15</v>
      </c>
      <c r="Q48" s="41">
        <f>'밸런스 조정'!$C$64</f>
        <v>0</v>
      </c>
      <c r="R48" s="41">
        <f>'밸런스 조정'!$C$65*IF(M48="Boss",5,IF(M48="Elite",2,1))</f>
        <v>10</v>
      </c>
    </row>
    <row r="49" spans="2:18">
      <c r="B49">
        <v>47</v>
      </c>
      <c r="C49" t="s">
        <v>197</v>
      </c>
      <c r="D49" t="s">
        <v>252</v>
      </c>
      <c r="E49">
        <v>1</v>
      </c>
      <c r="F49" t="s">
        <v>220</v>
      </c>
      <c r="G49">
        <v>0</v>
      </c>
      <c r="H49">
        <v>0</v>
      </c>
      <c r="I49">
        <v>16</v>
      </c>
      <c r="J49">
        <v>0.62</v>
      </c>
      <c r="K49">
        <v>18</v>
      </c>
      <c r="L49" t="s">
        <v>200</v>
      </c>
      <c r="M49" t="s">
        <v>81</v>
      </c>
      <c r="N49">
        <v>100</v>
      </c>
      <c r="O49" t="n">
        <f>ROUND(O47*'밸런스 조정'!$C$20,0)</f>
        <v>3393</v>
      </c>
      <c r="Q49" s="41">
        <f>'밸런스 조정'!$C$64</f>
        <v>0</v>
      </c>
      <c r="R49" s="41">
        <f>'밸런스 조정'!$C$65*IF(M49="Boss",5,IF(M49="Elite",2,1))</f>
        <v>20</v>
      </c>
    </row>
    <row r="50" spans="2:18">
      <c r="B50">
        <v>48</v>
      </c>
      <c r="C50" t="s">
        <v>197</v>
      </c>
      <c r="D50" t="s">
        <v>253</v>
      </c>
      <c r="E50">
        <v>1</v>
      </c>
      <c r="F50" t="s">
        <v>220</v>
      </c>
      <c r="G50">
        <v>0</v>
      </c>
      <c r="H50">
        <v>0</v>
      </c>
      <c r="I50">
        <v>16</v>
      </c>
      <c r="J50">
        <v>0.62</v>
      </c>
      <c r="K50">
        <v>18</v>
      </c>
      <c r="L50" t="s">
        <v>203</v>
      </c>
      <c r="M50" t="s">
        <v>81</v>
      </c>
      <c r="N50">
        <v>100</v>
      </c>
      <c r="O50" t="n">
        <f>ROUND(O49*(1+P50),0)</f>
        <v>3902</v>
      </c>
      <c r="P50">
        <v>0.15</v>
      </c>
      <c r="Q50" s="41">
        <f>'밸런스 조정'!$C$64</f>
        <v>0</v>
      </c>
      <c r="R50" s="41">
        <f>'밸런스 조정'!$C$65*IF(M50="Boss",5,IF(M50="Elite",2,1))</f>
        <v>20</v>
      </c>
    </row>
    <row r="51" spans="2:18">
      <c r="B51">
        <v>49</v>
      </c>
      <c r="C51" t="s">
        <v>197</v>
      </c>
      <c r="D51" t="s">
        <v>254</v>
      </c>
      <c r="E51">
        <v>1</v>
      </c>
      <c r="F51" t="s">
        <v>205</v>
      </c>
      <c r="G51">
        <v>2</v>
      </c>
      <c r="H51">
        <v>0</v>
      </c>
      <c r="I51">
        <v>8</v>
      </c>
      <c r="J51">
        <v>2</v>
      </c>
      <c r="K51">
        <v>12</v>
      </c>
      <c r="L51" t="s">
        <v>200</v>
      </c>
      <c r="M51" t="s">
        <v>82</v>
      </c>
      <c r="N51">
        <f>ROUND(N47*'밸런스 조정'!$C$21,0)</f>
        <v>6</v>
      </c>
      <c r="O51" t="n">
        <f>ROUND((ROUND(O47*'밸런스 조정'!$C$22,0))*1.5,0)</f>
        <v>3704</v>
      </c>
      <c r="Q51" s="41">
        <f>'밸런스 조정'!$C$64</f>
        <v>0</v>
      </c>
      <c r="R51" s="41">
        <f>'밸런스 조정'!$C$65*IF(M51="Boss",5,IF(M51="Elite",2,1))</f>
        <v>50</v>
      </c>
    </row>
    <row r="52" spans="2:18">
      <c r="B52">
        <v>50</v>
      </c>
      <c r="C52" t="s">
        <v>197</v>
      </c>
      <c r="D52" t="s">
        <v>255</v>
      </c>
      <c r="E52">
        <v>0</v>
      </c>
      <c r="F52" t="s">
        <v>205</v>
      </c>
      <c r="G52">
        <v>2</v>
      </c>
      <c r="H52">
        <v>0</v>
      </c>
      <c r="I52">
        <v>5</v>
      </c>
      <c r="J52">
        <v>2</v>
      </c>
      <c r="K52">
        <v>12</v>
      </c>
      <c r="L52" t="s">
        <v>203</v>
      </c>
      <c r="M52" t="s">
        <v>82</v>
      </c>
      <c r="N52">
        <f>N51</f>
        <v>6</v>
      </c>
      <c r="O52" t="n">
        <f>ROUND(O51*(1+P52),0)</f>
        <v>4260</v>
      </c>
      <c r="P52">
        <v>0.15</v>
      </c>
      <c r="Q52" s="41">
        <f>'밸런스 조정'!$C$64</f>
        <v>0</v>
      </c>
      <c r="R52" s="41">
        <f>'밸런스 조정'!$C$65*IF(M52="Boss",5,IF(M52="Elite",2,1))</f>
        <v>50</v>
      </c>
    </row>
    <row r="103" spans="2:18">
      <c r="B103">
        <v>111</v>
      </c>
      <c r="C103" t="s">
        <v>307</v>
      </c>
      <c r="D103" t="s">
        <v>319</v>
      </c>
      <c r="E103">
        <v>1</v>
      </c>
      <c r="F103" t="s">
        <v>208</v>
      </c>
      <c r="G103">
        <v>2.2000000000000002</v>
      </c>
      <c r="H103">
        <v>1.2</v>
      </c>
      <c r="I103">
        <v>32</v>
      </c>
      <c r="J103">
        <v>0.65</v>
      </c>
      <c r="K103">
        <v>12</v>
      </c>
      <c r="L103" t="s">
        <v>309</v>
      </c>
      <c r="M103" t="s">
        <v>43</v>
      </c>
      <c r="N103">
        <f>ROUND('밸런스 조정'!$C$72*(1+'밸런스 조정'!$C$74)^5*IF(M113="Boss",'밸런스 조정'!$C$78,IF(M113="Elite",'밸런스 조정'!$C$76,1)),0)</f>
        <v>772</v>
      </c>
      <c r="O103" t="n">
        <f>ROUND('밸런스 조정'!$C$73*(1+'밸런스 조정'!$C$75)^5*IF(M113="Boss",'밸런스 조정'!$C$79,IF(M113="Elite",'밸런스 조정'!$C$77,1)),0)</f>
        <v>2553</v>
      </c>
      <c r="P103" t="n">
        <f>'밸런스 조정'!$C$75</f>
        <v>0.05</v>
      </c>
      <c r="Q103">
        <f>'밸런스 조정'!$C$64</f>
        <v>0</v>
      </c>
      <c r="R103" t="n">
        <f>'밸런스 조정'!$C$90*IF(M113="Boss",5,IF(M113="Elite",2,1))</f>
        <v>350</v>
      </c>
    </row>
    <row r="104" spans="2:18">
      <c r="B104">
        <v>112</v>
      </c>
      <c r="C104" t="s">
        <v>307</v>
      </c>
      <c r="D104" t="s">
        <v>320</v>
      </c>
      <c r="E104">
        <v>1</v>
      </c>
      <c r="F104" t="s">
        <v>208</v>
      </c>
      <c r="G104">
        <v>2.2000000000000002</v>
      </c>
      <c r="H104">
        <v>1.2</v>
      </c>
      <c r="I104">
        <v>28</v>
      </c>
      <c r="J104">
        <v>0.65</v>
      </c>
      <c r="K104">
        <v>12</v>
      </c>
      <c r="L104" t="s">
        <v>203</v>
      </c>
      <c r="M104" t="s">
        <v>43</v>
      </c>
      <c r="N104">
        <f>ROUND('밸런스 조정'!$C$72*(1+'밸런스 조정'!$C$74)^5*IF(M114="Boss",'밸런스 조정'!$C$78,IF(M114="Elite",'밸런스 조정'!$C$76,1)),0)</f>
        <v>772</v>
      </c>
      <c r="O104" t="n">
        <f>ROUND(O113*(1+P114),0)</f>
        <v>2936</v>
      </c>
      <c r="P104">
        <v>0.15</v>
      </c>
      <c r="Q104">
        <f>'밸런스 조정'!$C$64</f>
        <v>0</v>
      </c>
      <c r="R104" t="n">
        <f>'밸런스 조정'!$C$90*IF(M114="Boss",5,IF(M114="Elite",2,1))</f>
        <v>350</v>
      </c>
    </row>
    <row r="105" spans="2:18">
      <c r="B105">
        <v>113</v>
      </c>
      <c r="C105" t="s">
        <v>307</v>
      </c>
      <c r="D105" t="s">
        <v>321</v>
      </c>
      <c r="E105">
        <v>1</v>
      </c>
      <c r="F105" t="s">
        <v>208</v>
      </c>
      <c r="G105">
        <v>2.2000000000000002</v>
      </c>
      <c r="H105">
        <v>1.2</v>
      </c>
      <c r="I105">
        <v>32</v>
      </c>
      <c r="J105">
        <v>0.65</v>
      </c>
      <c r="K105">
        <v>12</v>
      </c>
      <c r="L105" t="s">
        <v>309</v>
      </c>
      <c r="M105" t="s">
        <v>43</v>
      </c>
      <c r="N105">
        <f>ROUND('밸런스 조정'!$C$72*(1+'밸런스 조정'!$C$74)^6*IF(M115="Boss",'밸런스 조정'!$C$78,IF(M115="Elite",'밸런스 조정'!$C$76,1)),0)</f>
        <v>799</v>
      </c>
      <c r="O105" t="n">
        <f>ROUND('밸런스 조정'!$C$73*(1+'밸런스 조정'!$C$75)^6*IF(M115="Boss",'밸런스 조정'!$C$79,IF(M115="Elite",'밸런스 조정'!$C$77,1)),0)</f>
        <v>2680</v>
      </c>
      <c r="P105" t="n">
        <f>'밸런스 조정'!$C$75</f>
        <v>0.05</v>
      </c>
      <c r="Q105">
        <f>'밸런스 조정'!$C$64</f>
        <v>0</v>
      </c>
      <c r="R105" t="n">
        <f>'밸런스 조정'!$C$90*IF(M115="Boss",5,IF(M115="Elite",2,1))</f>
        <v>350</v>
      </c>
    </row>
    <row r="106" spans="2:18">
      <c r="B106">
        <v>114</v>
      </c>
      <c r="C106" t="s">
        <v>307</v>
      </c>
      <c r="D106" t="s">
        <v>322</v>
      </c>
      <c r="E106">
        <v>1</v>
      </c>
      <c r="F106" t="s">
        <v>208</v>
      </c>
      <c r="G106">
        <v>2.2000000000000002</v>
      </c>
      <c r="H106">
        <v>1.2</v>
      </c>
      <c r="I106">
        <v>28</v>
      </c>
      <c r="J106">
        <v>0.65</v>
      </c>
      <c r="K106">
        <v>12</v>
      </c>
      <c r="L106" t="s">
        <v>203</v>
      </c>
      <c r="M106" t="s">
        <v>43</v>
      </c>
      <c r="N106">
        <f>ROUND('밸런스 조정'!$C$72*(1+'밸런스 조정'!$C$74)^6*IF(M116="Boss",'밸런스 조정'!$C$78,IF(M116="Elite",'밸런스 조정'!$C$76,1)),0)</f>
        <v>799</v>
      </c>
      <c r="O106" t="n">
        <f>ROUND(O115*(1+P116),0)</f>
        <v>3082</v>
      </c>
      <c r="P106">
        <v>0.15</v>
      </c>
      <c r="Q106">
        <f>'밸런스 조정'!$C$64</f>
        <v>0</v>
      </c>
      <c r="R106" t="n">
        <f>'밸런스 조정'!$C$90*IF(M116="Boss",5,IF(M116="Elite",2,1))</f>
        <v>350</v>
      </c>
    </row>
    <row r="107" spans="2:18">
      <c r="B107">
        <v>115</v>
      </c>
      <c r="C107" t="s">
        <v>307</v>
      </c>
      <c r="D107" t="s">
        <v>323</v>
      </c>
      <c r="E107">
        <v>1</v>
      </c>
      <c r="F107" t="s">
        <v>220</v>
      </c>
      <c r="G107">
        <v>2.2000000000000002</v>
      </c>
      <c r="H107">
        <v>0</v>
      </c>
      <c r="I107">
        <v>16</v>
      </c>
      <c r="J107" t="n">
        <v>0.6</v>
      </c>
      <c r="K107">
        <v>10.199999999999999</v>
      </c>
      <c r="L107" t="s">
        <v>309</v>
      </c>
      <c r="M107" t="s">
        <v>43</v>
      </c>
      <c r="N107">
        <f>(ROUND('밸런스 조정'!$C$72*(1+'밸런스 조정'!$C$74)^7*IF(M117="Boss",'밸런스 조정'!$C$78,IF(M117="Elite",'밸런스 조정'!$C$76,1)),0))*0.45</f>
        <v>372.15000000000003</v>
      </c>
      <c r="O107" t="n">
        <f>ROUND('밸런스 조정'!$C$73*(1+'밸런스 조정'!$C$75)^7*IF(M117="Boss",'밸런스 조정'!$C$79,IF(M117="Elite",'밸런스 조정'!$C$77,1)),0)</f>
        <v>2814</v>
      </c>
      <c r="P107" t="n">
        <f>'밸런스 조정'!$C$75</f>
        <v>0.05</v>
      </c>
      <c r="Q107">
        <f>'밸런스 조정'!$C$64</f>
        <v>0</v>
      </c>
      <c r="R107" t="n">
        <f>'밸런스 조정'!$C$90*IF(M117="Boss",5,IF(M117="Elite",2,1))</f>
        <v>350</v>
      </c>
    </row>
    <row r="108" spans="2:18">
      <c r="B108">
        <v>116</v>
      </c>
      <c r="C108" t="s">
        <v>307</v>
      </c>
      <c r="D108" t="s">
        <v>324</v>
      </c>
      <c r="E108">
        <v>1</v>
      </c>
      <c r="F108" t="s">
        <v>220</v>
      </c>
      <c r="G108">
        <v>2.2000000000000002</v>
      </c>
      <c r="H108">
        <v>0</v>
      </c>
      <c r="I108">
        <v>12</v>
      </c>
      <c r="J108" t="n">
        <v>0.6</v>
      </c>
      <c r="K108">
        <v>10.199999999999999</v>
      </c>
      <c r="L108" t="s">
        <v>203</v>
      </c>
      <c r="M108" t="s">
        <v>43</v>
      </c>
      <c r="N108">
        <f>(ROUND('밸런스 조정'!$C$72*(1+'밸런스 조정'!$C$74)^7*IF(M118="Boss",'밸런스 조정'!$C$78,IF(M118="Elite",'밸런스 조정'!$C$76,1)),0))*0.45</f>
        <v>372.15000000000003</v>
      </c>
      <c r="O108" t="n">
        <f>ROUND(O117*(1+P118),0)</f>
        <v>3236</v>
      </c>
      <c r="P108">
        <v>0.15</v>
      </c>
      <c r="Q108">
        <f>'밸런스 조정'!$C$64</f>
        <v>0</v>
      </c>
      <c r="R108" t="n">
        <f>'밸런스 조정'!$C$90*IF(M118="Boss",5,IF(M118="Elite",2,1))</f>
        <v>350</v>
      </c>
    </row>
    <row r="109" spans="2:18">
      <c r="B109">
        <v>117</v>
      </c>
      <c r="C109" t="s">
        <v>307</v>
      </c>
      <c r="D109" t="s">
        <v>325</v>
      </c>
      <c r="E109">
        <v>1</v>
      </c>
      <c r="F109" t="s">
        <v>220</v>
      </c>
      <c r="G109">
        <v>2.2000000000000002</v>
      </c>
      <c r="H109">
        <v>0</v>
      </c>
      <c r="I109">
        <v>16</v>
      </c>
      <c r="J109">
        <v>0.65</v>
      </c>
      <c r="K109">
        <v>10.199999999999999</v>
      </c>
      <c r="L109" t="s">
        <v>309</v>
      </c>
      <c r="M109" t="s">
        <v>43</v>
      </c>
      <c r="N109">
        <f>(ROUND('밸런스 조정'!$C$72*(1+'밸런스 조정'!$C$74)^8*IF(M119="Boss",'밸런스 조정'!$C$78,IF(M119="Elite",'밸런스 조정'!$C$76,1)),0))*0.45</f>
        <v>385.2</v>
      </c>
      <c r="O109" t="n">
        <f>ROUND('밸런스 조정'!$C$73*(1+'밸런스 조정'!$C$75)^8*IF(M119="Boss",'밸런스 조정'!$C$79,IF(M119="Elite",'밸런스 조정'!$C$77,1)),0)</f>
        <v>2955</v>
      </c>
      <c r="P109" t="n">
        <f>'밸런스 조정'!$C$75</f>
        <v>0.05</v>
      </c>
      <c r="Q109">
        <f>'밸런스 조정'!$C$64</f>
        <v>0</v>
      </c>
      <c r="R109" t="n">
        <f>'밸런스 조정'!$C$90*IF(M119="Boss",5,IF(M119="Elite",2,1))</f>
        <v>350</v>
      </c>
    </row>
    <row r="110" spans="2:18">
      <c r="B110">
        <v>118</v>
      </c>
      <c r="C110" t="s">
        <v>307</v>
      </c>
      <c r="D110" t="s">
        <v>326</v>
      </c>
      <c r="E110">
        <v>1</v>
      </c>
      <c r="F110" t="s">
        <v>220</v>
      </c>
      <c r="G110">
        <v>2.2000000000000002</v>
      </c>
      <c r="H110">
        <v>0</v>
      </c>
      <c r="I110">
        <v>12</v>
      </c>
      <c r="J110">
        <v>0.9</v>
      </c>
      <c r="K110">
        <v>10.199999999999999</v>
      </c>
      <c r="L110" t="s">
        <v>203</v>
      </c>
      <c r="M110" t="s">
        <v>43</v>
      </c>
      <c r="N110">
        <f>(ROUND('밸런스 조정'!$C$72*(1+'밸런스 조정'!$C$74)^8*IF(M120="Boss",'밸런스 조정'!$C$78,IF(M120="Elite",'밸런스 조정'!$C$76,1)),0))*0.45</f>
        <v>385.2</v>
      </c>
      <c r="O110" t="n">
        <f>ROUND(O119*(1+P120),0)</f>
        <v>3398</v>
      </c>
      <c r="P110">
        <v>0.15</v>
      </c>
      <c r="Q110">
        <f>'밸런스 조정'!$C$64</f>
        <v>0</v>
      </c>
      <c r="R110" t="n">
        <f>'밸런스 조정'!$C$90*IF(M120="Boss",5,IF(M120="Elite",2,1))</f>
        <v>350</v>
      </c>
    </row>
    <row r="111" spans="2:18">
      <c r="B111">
        <v>119</v>
      </c>
      <c r="C111" t="s">
        <v>307</v>
      </c>
      <c r="D111" t="s">
        <v>327</v>
      </c>
      <c r="E111">
        <v>1</v>
      </c>
      <c r="F111" t="s">
        <v>220</v>
      </c>
      <c r="G111">
        <v>2.2000000000000002</v>
      </c>
      <c r="H111">
        <v>0</v>
      </c>
      <c r="I111">
        <v>16</v>
      </c>
      <c r="J111">
        <v>0.65</v>
      </c>
      <c r="K111">
        <v>10.199999999999999</v>
      </c>
      <c r="L111" t="s">
        <v>309</v>
      </c>
      <c r="M111" t="s">
        <v>81</v>
      </c>
      <c r="N111">
        <f>(ROUND('밸런스 조정'!$C$72*(1+'밸런스 조정'!$C$74)^9*IF(M121="Boss",'밸런스 조정'!$C$78,IF(M121="Elite",'밸런스 조정'!$C$76,1)),0))*0.45</f>
        <v>498.15000000000003</v>
      </c>
      <c r="O111" t="n">
        <f>ROUND('밸런스 조정'!$C$73*(1+'밸런스 조정'!$C$75)^9*IF(M121="Boss",'밸런스 조정'!$C$79,IF(M121="Elite",'밸런스 조정'!$C$77,1)),0)</f>
        <v>4654</v>
      </c>
      <c r="P111" t="n">
        <f>'밸런스 조정'!$C$75</f>
        <v>0.05</v>
      </c>
      <c r="Q111">
        <f>'밸런스 조정'!$C$64</f>
        <v>0</v>
      </c>
      <c r="R111" t="n">
        <f>'밸런스 조정'!$C$90*IF(M121="Boss",5,IF(M121="Elite",2,1))</f>
        <v>700</v>
      </c>
    </row>
    <row r="112" spans="2:18">
      <c r="B112">
        <v>120</v>
      </c>
      <c r="C112" t="s">
        <v>307</v>
      </c>
      <c r="D112" t="s">
        <v>328</v>
      </c>
      <c r="E112">
        <v>1</v>
      </c>
      <c r="F112" t="s">
        <v>220</v>
      </c>
      <c r="G112">
        <v>2.2000000000000002</v>
      </c>
      <c r="H112">
        <v>0</v>
      </c>
      <c r="I112">
        <v>12</v>
      </c>
      <c r="J112">
        <v>0.9</v>
      </c>
      <c r="K112">
        <v>10.199999999999999</v>
      </c>
      <c r="L112" t="s">
        <v>203</v>
      </c>
      <c r="M112" t="s">
        <v>81</v>
      </c>
      <c r="N112">
        <f>(ROUND('밸런스 조정'!$C$72*(1+'밸런스 조정'!$C$74)^9*IF(M122="Boss",'밸런스 조정'!$C$78,IF(M122="Elite",'밸런스 조정'!$C$76,1)),0))*0.45</f>
        <v>498.15000000000003</v>
      </c>
      <c r="O112" t="n">
        <f>ROUND(O121*(1+P122),0)</f>
        <v>5352</v>
      </c>
      <c r="P112">
        <v>0.15</v>
      </c>
      <c r="Q112">
        <f>'밸런스 조정'!$C$64</f>
        <v>0</v>
      </c>
      <c r="R112" t="n">
        <f>'밸런스 조정'!$C$90*IF(M122="Boss",5,IF(M122="Elite",2,1))</f>
        <v>700</v>
      </c>
    </row>
    <row r="113" spans="2:18">
      <c r="B113">
        <v>121</v>
      </c>
      <c r="C113" t="s">
        <v>307</v>
      </c>
      <c r="D113" t="s">
        <v>329</v>
      </c>
      <c r="E113">
        <v>0</v>
      </c>
      <c r="F113" t="s">
        <v>208</v>
      </c>
      <c r="G113">
        <v>2.2000000000000002</v>
      </c>
      <c r="H113">
        <v>1.2</v>
      </c>
      <c r="I113">
        <v>32</v>
      </c>
      <c r="J113">
        <v>0.65</v>
      </c>
      <c r="K113">
        <v>12</v>
      </c>
      <c r="L113" t="s">
        <v>309</v>
      </c>
      <c r="M113" t="s">
        <v>43</v>
      </c>
      <c r="N113">
        <f>ROUND('밸런스 조정'!$C$72*(1+'밸런스 조정'!$C$74)^10*IF(M123="Boss",'밸런스 조정'!$C$78,IF(M123="Elite",'밸런스 조정'!$C$76,1)),0)</f>
        <v>917</v>
      </c>
      <c r="O113" t="n">
        <f>ROUND('밸런스 조정'!$C$73*(1+'밸런스 조정'!$C$75)^10*IF(M123="Boss",'밸런스 조정'!$C$79,IF(M123="Elite",'밸런스 조정'!$C$77,1)),0)</f>
        <v>3258</v>
      </c>
      <c r="P113" t="n">
        <f>'밸런스 조정'!$C$75</f>
        <v>0.05</v>
      </c>
      <c r="Q113">
        <f>'밸런스 조정'!$C$64</f>
        <v>0</v>
      </c>
      <c r="R113" t="n">
        <f>'밸런스 조정'!$C$90*IF(M123="Boss",5,IF(M123="Elite",2,1))</f>
        <v>350</v>
      </c>
    </row>
    <row r="114" spans="2:18">
      <c r="B114">
        <v>122</v>
      </c>
      <c r="C114" t="s">
        <v>307</v>
      </c>
      <c r="D114" t="s">
        <v>330</v>
      </c>
      <c r="E114">
        <v>0</v>
      </c>
      <c r="F114" t="s">
        <v>208</v>
      </c>
      <c r="G114">
        <v>2.2000000000000002</v>
      </c>
      <c r="H114">
        <v>1.2</v>
      </c>
      <c r="I114">
        <v>28</v>
      </c>
      <c r="J114">
        <v>0.65</v>
      </c>
      <c r="K114">
        <v>12</v>
      </c>
      <c r="L114" t="s">
        <v>203</v>
      </c>
      <c r="M114" t="s">
        <v>43</v>
      </c>
      <c r="N114">
        <f>ROUND('밸런스 조정'!$C$72*(1+'밸런스 조정'!$C$74)^10*IF(M124="Boss",'밸런스 조정'!$C$78,IF(M124="Elite",'밸런스 조정'!$C$76,1)),0)</f>
        <v>917</v>
      </c>
      <c r="O114" t="n">
        <f>ROUND(O123*(1+P124),0)</f>
        <v>3747</v>
      </c>
      <c r="P114">
        <v>0.15</v>
      </c>
      <c r="Q114">
        <f>'밸런스 조정'!$C$64</f>
        <v>0</v>
      </c>
      <c r="R114" t="n">
        <f>'밸런스 조정'!$C$90*IF(M124="Boss",5,IF(M124="Elite",2,1))</f>
        <v>350</v>
      </c>
    </row>
    <row r="115" spans="2:18">
      <c r="B115">
        <v>123</v>
      </c>
      <c r="C115" t="s">
        <v>307</v>
      </c>
      <c r="D115" t="s">
        <v>331</v>
      </c>
      <c r="E115">
        <v>0</v>
      </c>
      <c r="F115" t="s">
        <v>208</v>
      </c>
      <c r="G115">
        <v>2.2000000000000002</v>
      </c>
      <c r="H115">
        <v>1.2</v>
      </c>
      <c r="I115">
        <v>32</v>
      </c>
      <c r="J115">
        <v>0.65</v>
      </c>
      <c r="K115">
        <v>12</v>
      </c>
      <c r="L115" t="s">
        <v>309</v>
      </c>
      <c r="M115" t="s">
        <v>43</v>
      </c>
      <c r="N115">
        <f>ROUND('밸런스 조정'!$C$72*(1+'밸런스 조정'!$C$74)^11*IF(M125="Boss",'밸런스 조정'!$C$78,IF(M125="Elite",'밸런스 조정'!$C$76,1)),0)</f>
        <v>949</v>
      </c>
      <c r="O115" t="n">
        <f>ROUND('밸런스 조정'!$C$73*(1+'밸런스 조정'!$C$75)^11*IF(M125="Boss",'밸런스 조정'!$C$79,IF(M125="Elite",'밸런스 조정'!$C$77,1)),0)</f>
        <v>3421</v>
      </c>
      <c r="P115" t="n">
        <f>'밸런스 조정'!$C$75</f>
        <v>0.05</v>
      </c>
      <c r="Q115">
        <f>'밸런스 조정'!$C$64</f>
        <v>0</v>
      </c>
      <c r="R115" t="n">
        <f>'밸런스 조정'!$C$90*IF(M125="Boss",5,IF(M125="Elite",2,1))</f>
        <v>350</v>
      </c>
    </row>
    <row r="116" spans="2:18">
      <c r="B116">
        <v>124</v>
      </c>
      <c r="C116" t="s">
        <v>307</v>
      </c>
      <c r="D116" t="s">
        <v>332</v>
      </c>
      <c r="E116">
        <v>0</v>
      </c>
      <c r="F116" t="s">
        <v>208</v>
      </c>
      <c r="G116">
        <v>2.2000000000000002</v>
      </c>
      <c r="H116">
        <v>1.2</v>
      </c>
      <c r="I116">
        <v>28</v>
      </c>
      <c r="J116">
        <v>0.65</v>
      </c>
      <c r="K116">
        <v>12</v>
      </c>
      <c r="L116" t="s">
        <v>203</v>
      </c>
      <c r="M116" t="s">
        <v>43</v>
      </c>
      <c r="N116">
        <f>ROUND('밸런스 조정'!$C$72*(1+'밸런스 조정'!$C$74)^11*IF(M126="Boss",'밸런스 조정'!$C$78,IF(M126="Elite",'밸런스 조정'!$C$76,1)),0)</f>
        <v>949</v>
      </c>
      <c r="O116" t="n">
        <f>ROUND(O125*(1+P126),0)</f>
        <v>3934</v>
      </c>
      <c r="P116">
        <v>0.15</v>
      </c>
      <c r="Q116">
        <f>'밸런스 조정'!$C$64</f>
        <v>0</v>
      </c>
      <c r="R116" t="n">
        <f>'밸런스 조정'!$C$90*IF(M126="Boss",5,IF(M126="Elite",2,1))</f>
        <v>350</v>
      </c>
    </row>
    <row r="117" spans="2:18">
      <c r="B117">
        <v>125</v>
      </c>
      <c r="C117" t="s">
        <v>307</v>
      </c>
      <c r="D117" t="s">
        <v>333</v>
      </c>
      <c r="E117">
        <v>1</v>
      </c>
      <c r="F117" t="s">
        <v>220</v>
      </c>
      <c r="G117">
        <v>2.2000000000000002</v>
      </c>
      <c r="H117">
        <v>0</v>
      </c>
      <c r="I117">
        <v>16</v>
      </c>
      <c r="J117" t="n">
        <v>0.6</v>
      </c>
      <c r="K117">
        <v>10.199999999999999</v>
      </c>
      <c r="L117" t="s">
        <v>309</v>
      </c>
      <c r="M117" t="s">
        <v>43</v>
      </c>
      <c r="N117">
        <f>(ROUND('밸런스 조정'!$C$72*(1+'밸런스 조정'!$C$74)^12*IF(M127="Boss",'밸런스 조정'!$C$78,IF(M127="Elite",'밸런스 조정'!$C$76,1)),0))*0.45</f>
        <v>441.90000000000003</v>
      </c>
      <c r="O117" t="n">
        <f>ROUND('밸런스 조정'!$C$73*(1+'밸런스 조정'!$C$75)^12*IF(M127="Boss",'밸런스 조정'!$C$79,IF(M127="Elite",'밸런스 조정'!$C$77,1)),0)</f>
        <v>3592</v>
      </c>
      <c r="P117" t="n">
        <f>'밸런스 조정'!$C$75</f>
        <v>0.05</v>
      </c>
      <c r="Q117">
        <f>'밸런스 조정'!$C$64</f>
        <v>0</v>
      </c>
      <c r="R117" t="n">
        <f>'밸런스 조정'!$C$90*IF(M127="Boss",5,IF(M127="Elite",2,1))</f>
        <v>350</v>
      </c>
    </row>
    <row r="118" spans="2:18">
      <c r="B118">
        <v>126</v>
      </c>
      <c r="C118" t="s">
        <v>307</v>
      </c>
      <c r="D118" t="s">
        <v>334</v>
      </c>
      <c r="E118">
        <v>1</v>
      </c>
      <c r="F118" t="s">
        <v>220</v>
      </c>
      <c r="G118">
        <v>2.2000000000000002</v>
      </c>
      <c r="H118">
        <v>0</v>
      </c>
      <c r="I118">
        <v>12</v>
      </c>
      <c r="J118" t="n">
        <v>0.6</v>
      </c>
      <c r="K118">
        <v>10.199999999999999</v>
      </c>
      <c r="L118" t="s">
        <v>203</v>
      </c>
      <c r="M118" t="s">
        <v>43</v>
      </c>
      <c r="N118">
        <f>(ROUND('밸런스 조정'!$C$72*(1+'밸런스 조정'!$C$74)^12*IF(M128="Boss",'밸런스 조정'!$C$78,IF(M128="Elite",'밸런스 조정'!$C$76,1)),0))*0.45</f>
        <v>441.90000000000003</v>
      </c>
      <c r="O118" t="n">
        <f>ROUND(O127*(1+P128),0)</f>
        <v>4131</v>
      </c>
      <c r="P118">
        <v>0.15</v>
      </c>
      <c r="Q118">
        <f>'밸런스 조정'!$C$64</f>
        <v>0</v>
      </c>
      <c r="R118" t="n">
        <f>'밸런스 조정'!$C$90*IF(M128="Boss",5,IF(M128="Elite",2,1))</f>
        <v>350</v>
      </c>
    </row>
    <row r="119" spans="2:18">
      <c r="B119">
        <v>127</v>
      </c>
      <c r="C119" t="s">
        <v>307</v>
      </c>
      <c r="D119" t="s">
        <v>335</v>
      </c>
      <c r="E119">
        <v>1</v>
      </c>
      <c r="F119" t="s">
        <v>220</v>
      </c>
      <c r="G119">
        <v>2.2000000000000002</v>
      </c>
      <c r="H119">
        <v>0</v>
      </c>
      <c r="I119">
        <v>16</v>
      </c>
      <c r="J119">
        <v>0.65</v>
      </c>
      <c r="K119">
        <v>10.199999999999999</v>
      </c>
      <c r="L119" t="s">
        <v>309</v>
      </c>
      <c r="M119" t="s">
        <v>43</v>
      </c>
      <c r="N119">
        <f>(ROUND('밸런스 조정'!$C$72*(1+'밸런스 조정'!$C$74)^13*IF(M129="Boss",'밸런스 조정'!$C$78,IF(M129="Elite",'밸런스 조정'!$C$76,1)),0))*0.45</f>
        <v>457.65000000000003</v>
      </c>
      <c r="O119" t="n">
        <f>ROUND('밸런스 조정'!$C$73*(1+'밸런스 조정'!$C$75)^13*IF(M129="Boss",'밸런스 조정'!$C$79,IF(M129="Elite",'밸런스 조정'!$C$77,1)),0)</f>
        <v>3771</v>
      </c>
      <c r="P119" t="n">
        <f>'밸런스 조정'!$C$75</f>
        <v>0.05</v>
      </c>
      <c r="Q119">
        <f>'밸런스 조정'!$C$64</f>
        <v>0</v>
      </c>
      <c r="R119" t="n">
        <f>'밸런스 조정'!$C$90*IF(M129="Boss",5,IF(M129="Elite",2,1))</f>
        <v>350</v>
      </c>
    </row>
    <row r="120" spans="2:18">
      <c r="B120">
        <v>128</v>
      </c>
      <c r="C120" t="s">
        <v>307</v>
      </c>
      <c r="D120" t="s">
        <v>336</v>
      </c>
      <c r="E120">
        <v>1</v>
      </c>
      <c r="F120" t="s">
        <v>220</v>
      </c>
      <c r="G120">
        <v>2.2000000000000002</v>
      </c>
      <c r="H120">
        <v>0</v>
      </c>
      <c r="I120">
        <v>12</v>
      </c>
      <c r="J120">
        <v>0.9</v>
      </c>
      <c r="K120">
        <v>10.199999999999999</v>
      </c>
      <c r="L120" t="s">
        <v>203</v>
      </c>
      <c r="M120" t="s">
        <v>43</v>
      </c>
      <c r="N120">
        <f>(ROUND('밸런스 조정'!$C$72*(1+'밸런스 조정'!$C$74)^13*IF(M130="Boss",'밸런스 조정'!$C$78,IF(M130="Elite",'밸런스 조정'!$C$76,1)),0))*0.45</f>
        <v>457.65000000000003</v>
      </c>
      <c r="O120" t="n">
        <f>ROUND(O129*(1+P130),0)</f>
        <v>4337</v>
      </c>
      <c r="P120">
        <v>0.15</v>
      </c>
      <c r="Q120">
        <f>'밸런스 조정'!$C$64</f>
        <v>0</v>
      </c>
      <c r="R120" t="n">
        <f>'밸런스 조정'!$C$90*IF(M130="Boss",5,IF(M130="Elite",2,1))</f>
        <v>350</v>
      </c>
    </row>
    <row r="121" spans="2:18">
      <c r="B121">
        <v>129</v>
      </c>
      <c r="C121" t="s">
        <v>307</v>
      </c>
      <c r="D121" t="s">
        <v>337</v>
      </c>
      <c r="E121">
        <v>1</v>
      </c>
      <c r="F121" t="s">
        <v>220</v>
      </c>
      <c r="G121">
        <v>2.2000000000000002</v>
      </c>
      <c r="H121">
        <v>0</v>
      </c>
      <c r="I121">
        <v>16</v>
      </c>
      <c r="J121">
        <v>0.65</v>
      </c>
      <c r="K121">
        <v>10.199999999999999</v>
      </c>
      <c r="L121" t="s">
        <v>309</v>
      </c>
      <c r="M121" t="s">
        <v>81</v>
      </c>
      <c r="N121">
        <f>(ROUND('밸런스 조정'!$C$72*(1+'밸런스 조정'!$C$74)^14*IF(M131="Boss",'밸런스 조정'!$C$78,IF(M131="Elite",'밸런스 조정'!$C$76,1)),0))*0.45</f>
        <v>591.75</v>
      </c>
      <c r="O121" t="n">
        <f>ROUND('밸런스 조정'!$C$73*(1+'밸런스 조정'!$C$75)^14*IF(M131="Boss",'밸런스 조정'!$C$79,IF(M131="Elite",'밸런스 조정'!$C$77,1)),0)</f>
        <v>5940</v>
      </c>
      <c r="P121" t="n">
        <f>'밸런스 조정'!$C$75</f>
        <v>0.05</v>
      </c>
      <c r="Q121">
        <f>'밸런스 조정'!$C$64</f>
        <v>0</v>
      </c>
      <c r="R121" t="n">
        <f>'밸런스 조정'!$C$90*IF(M131="Boss",5,IF(M131="Elite",2,1))</f>
        <v>700</v>
      </c>
    </row>
    <row r="122" spans="2:18">
      <c r="B122">
        <v>130</v>
      </c>
      <c r="C122" t="s">
        <v>307</v>
      </c>
      <c r="D122" t="s">
        <v>338</v>
      </c>
      <c r="E122">
        <v>1</v>
      </c>
      <c r="F122" t="s">
        <v>220</v>
      </c>
      <c r="G122">
        <v>2.2000000000000002</v>
      </c>
      <c r="H122">
        <v>0</v>
      </c>
      <c r="I122">
        <v>12</v>
      </c>
      <c r="J122">
        <v>0.9</v>
      </c>
      <c r="K122">
        <v>10.199999999999999</v>
      </c>
      <c r="L122" t="s">
        <v>203</v>
      </c>
      <c r="M122" t="s">
        <v>81</v>
      </c>
      <c r="N122">
        <f>(ROUND('밸런스 조정'!$C$72*(1+'밸런스 조정'!$C$74)^14*IF(M132="Boss",'밸런스 조정'!$C$78,IF(M132="Elite",'밸런스 조정'!$C$76,1)),0))*0.45</f>
        <v>591.75</v>
      </c>
      <c r="O122" t="n">
        <f>ROUND(O131*(1+P132),0)</f>
        <v>6831</v>
      </c>
      <c r="P122">
        <v>0.15</v>
      </c>
      <c r="Q122">
        <f>'밸런스 조정'!$C$64</f>
        <v>0</v>
      </c>
      <c r="R122" t="n">
        <f>'밸런스 조정'!$C$90*IF(M132="Boss",5,IF(M132="Elite",2,1))</f>
        <v>700</v>
      </c>
    </row>
    <row r="123" spans="2:18">
      <c r="B123">
        <v>131</v>
      </c>
      <c r="C123" t="s">
        <v>307</v>
      </c>
      <c r="D123" t="s">
        <v>339</v>
      </c>
      <c r="E123">
        <v>1</v>
      </c>
      <c r="F123" t="s">
        <v>208</v>
      </c>
      <c r="G123">
        <v>2.2000000000000002</v>
      </c>
      <c r="H123">
        <v>1.2</v>
      </c>
      <c r="I123">
        <v>32</v>
      </c>
      <c r="J123">
        <v>0.65</v>
      </c>
      <c r="K123">
        <v>12</v>
      </c>
      <c r="L123" t="s">
        <v>309</v>
      </c>
      <c r="M123" t="s">
        <v>43</v>
      </c>
      <c r="N123">
        <f>ROUND('밸런스 조정'!$C$72*(1+'밸런스 조정'!$C$74)^15*IF(M133="Boss",'밸런스 조정'!$C$78,IF(M133="Elite",'밸런스 조정'!$C$76,1)),0)</f>
        <v>1089</v>
      </c>
      <c r="O123" t="n">
        <f>ROUND('밸런스 조정'!$C$73*(1+'밸런스 조정'!$C$75)^15*IF(M133="Boss",'밸런스 조정'!$C$79,IF(M133="Elite",'밸런스 조정'!$C$77,1)),0)</f>
        <v>4158</v>
      </c>
      <c r="P123" t="n">
        <f>'밸런스 조정'!$C$75</f>
        <v>0.05</v>
      </c>
      <c r="Q123">
        <f>'밸런스 조정'!$C$64</f>
        <v>0</v>
      </c>
      <c r="R123" t="n">
        <f>'밸런스 조정'!$C$90*IF(M133="Boss",5,IF(M133="Elite",2,1))</f>
        <v>350</v>
      </c>
    </row>
    <row r="124" spans="2:18">
      <c r="B124">
        <v>132</v>
      </c>
      <c r="C124" t="s">
        <v>307</v>
      </c>
      <c r="D124" t="s">
        <v>340</v>
      </c>
      <c r="E124">
        <v>1</v>
      </c>
      <c r="F124" t="s">
        <v>208</v>
      </c>
      <c r="G124">
        <v>2.2000000000000002</v>
      </c>
      <c r="H124">
        <v>1.2</v>
      </c>
      <c r="I124">
        <v>28</v>
      </c>
      <c r="J124">
        <v>0.65</v>
      </c>
      <c r="K124">
        <v>12</v>
      </c>
      <c r="L124" t="s">
        <v>203</v>
      </c>
      <c r="M124" t="s">
        <v>43</v>
      </c>
      <c r="N124">
        <f>ROUND('밸런스 조정'!$C$72*(1+'밸런스 조정'!$C$74)^15*IF(M134="Boss",'밸런스 조정'!$C$78,IF(M134="Elite",'밸런스 조정'!$C$76,1)),0)</f>
        <v>1089</v>
      </c>
      <c r="O124" t="n">
        <f>ROUND(O133*(1+P134),0)</f>
        <v>4782</v>
      </c>
      <c r="P124">
        <v>0.15</v>
      </c>
      <c r="Q124">
        <f>'밸런스 조정'!$C$64</f>
        <v>0</v>
      </c>
      <c r="R124" t="n">
        <f>'밸런스 조정'!$C$90*IF(M134="Boss",5,IF(M134="Elite",2,1))</f>
        <v>350</v>
      </c>
    </row>
    <row r="125" spans="2:18">
      <c r="B125">
        <v>133</v>
      </c>
      <c r="C125" t="s">
        <v>307</v>
      </c>
      <c r="D125" t="s">
        <v>341</v>
      </c>
      <c r="E125">
        <v>1</v>
      </c>
      <c r="F125" t="s">
        <v>208</v>
      </c>
      <c r="G125">
        <v>2.2000000000000002</v>
      </c>
      <c r="H125">
        <v>1.2</v>
      </c>
      <c r="I125">
        <v>32</v>
      </c>
      <c r="J125">
        <v>0.65</v>
      </c>
      <c r="K125">
        <v>12</v>
      </c>
      <c r="L125" t="s">
        <v>309</v>
      </c>
      <c r="M125" t="s">
        <v>43</v>
      </c>
      <c r="N125">
        <f>ROUND('밸런스 조정'!$C$72*(1+'밸런스 조정'!$C$74)^16*IF(M135="Boss",'밸런스 조정'!$C$78,IF(M135="Elite",'밸런스 조정'!$C$76,1)),0)</f>
        <v>1127</v>
      </c>
      <c r="O125" t="n">
        <f>ROUND('밸런스 조정'!$C$73*(1+'밸런스 조정'!$C$75)^16*IF(M135="Boss",'밸런스 조정'!$C$79,IF(M135="Elite",'밸런스 조정'!$C$77,1)),0)</f>
        <v>4366</v>
      </c>
      <c r="P125" t="n">
        <f>'밸런스 조정'!$C$75</f>
        <v>0.05</v>
      </c>
      <c r="Q125">
        <f>'밸런스 조정'!$C$64</f>
        <v>0</v>
      </c>
      <c r="R125" t="n">
        <f>'밸런스 조정'!$C$90*IF(M135="Boss",5,IF(M135="Elite",2,1))</f>
        <v>350</v>
      </c>
    </row>
    <row r="126" spans="2:18">
      <c r="B126">
        <v>134</v>
      </c>
      <c r="C126" t="s">
        <v>307</v>
      </c>
      <c r="D126" t="s">
        <v>342</v>
      </c>
      <c r="E126">
        <v>1</v>
      </c>
      <c r="F126" t="s">
        <v>208</v>
      </c>
      <c r="G126">
        <v>2.2000000000000002</v>
      </c>
      <c r="H126">
        <v>1.2</v>
      </c>
      <c r="I126">
        <v>28</v>
      </c>
      <c r="J126">
        <v>0.65</v>
      </c>
      <c r="K126">
        <v>12</v>
      </c>
      <c r="L126" t="s">
        <v>203</v>
      </c>
      <c r="M126" t="s">
        <v>43</v>
      </c>
      <c r="N126">
        <f>ROUND('밸런스 조정'!$C$72*(1+'밸런스 조정'!$C$74)^16*IF(M136="Boss",'밸런스 조정'!$C$78,IF(M136="Elite",'밸런스 조정'!$C$76,1)),0)</f>
        <v>1127</v>
      </c>
      <c r="O126" t="n">
        <f>ROUND(O135*(1+P136),0)</f>
        <v>5021</v>
      </c>
      <c r="P126">
        <v>0.15</v>
      </c>
      <c r="Q126">
        <f>'밸런스 조정'!$C$64</f>
        <v>0</v>
      </c>
      <c r="R126" t="n">
        <f>'밸런스 조정'!$C$90*IF(M136="Boss",5,IF(M136="Elite",2,1))</f>
        <v>350</v>
      </c>
    </row>
    <row r="127">
      <c r="B127">
        <v>135</v>
      </c>
      <c r="C127" t="inlineStr">
        <is>
          <t>HighWay</t>
        </is>
      </c>
      <c r="D127" t="inlineStr">
        <is>
          <t>HWY3_001_Sedan</t>
        </is>
      </c>
      <c r="E127">
        <v>1</v>
      </c>
      <c r="F127" t="inlineStr">
        <is>
          <t>공격 반복</t>
        </is>
      </c>
      <c r="G127">
        <v>12</v>
      </c>
      <c r="H127">
        <v>0</v>
      </c>
      <c r="I127">
        <v>150</v>
      </c>
      <c r="J127">
        <v>0</v>
      </c>
      <c r="K127">
        <v>0</v>
      </c>
      <c r="L127" t="inlineStr">
        <is>
          <t>차량 적 · 원본 전투/성장/코인 시스템</t>
        </is>
      </c>
      <c r="M127" t="inlineStr">
        <is>
          <t>Normal</t>
        </is>
      </c>
      <c r="N127">
        <v>0</v>
      </c>
      <c r="O127">
        <f>'밸런스 조정'!C154*'밸런스 조정'!C292*'밸런스 조정'!C145*(1+('몬스터 성장'!G6/'몬스터 성장'!F6-1)*(U127/'밸런스 조정'!C119)^'몬스터 성장'!H6)</f>
        <v>103.531718606</v>
      </c>
      <c r="P127">
        <v>0</v>
      </c>
      <c r="Q127">
        <v>0</v>
      </c>
      <c r="R127">
        <v>62</v>
      </c>
      <c r="S127" t="inlineStr">
        <is>
          <t>Sedan</t>
        </is>
      </c>
      <c r="T127" t="inlineStr">
        <is>
          <t>Common</t>
        </is>
      </c>
      <c r="U127">
        <v>82</v>
      </c>
      <c r="V127">
        <v>0</v>
      </c>
      <c r="W127">
        <v>0</v>
      </c>
      <c r="X127">
        <v>101</v>
      </c>
      <c r="Y127">
        <v>0</v>
      </c>
    </row>
    <row r="128">
      <c r="B128">
        <v>136</v>
      </c>
      <c r="C128" t="inlineStr">
        <is>
          <t>HighWay</t>
        </is>
      </c>
      <c r="D128" t="inlineStr">
        <is>
          <t>HWY3_002_Box</t>
        </is>
      </c>
      <c r="E128">
        <v>1</v>
      </c>
      <c r="F128" t="inlineStr">
        <is>
          <t>공격 반복</t>
        </is>
      </c>
      <c r="G128">
        <v>12</v>
      </c>
      <c r="H128">
        <v>0</v>
      </c>
      <c r="I128">
        <v>150</v>
      </c>
      <c r="J128">
        <v>0</v>
      </c>
      <c r="K128">
        <v>0</v>
      </c>
      <c r="L128" t="inlineStr">
        <is>
          <t>차량 적 · 원본 전투/성장/코인 시스템</t>
        </is>
      </c>
      <c r="M128" t="inlineStr">
        <is>
          <t>Normal</t>
        </is>
      </c>
      <c r="N128">
        <v>0</v>
      </c>
      <c r="O128">
        <f>'밸런스 조정'!C154*'밸런스 조정'!C292*'밸런스 조정'!C148*(1+('몬스터 성장'!G6/'몬스터 성장'!F6-1)*(U128/'밸런스 조정'!C119)^'몬스터 성장'!H6)</f>
        <v>165.65074977</v>
      </c>
      <c r="P128">
        <v>0</v>
      </c>
      <c r="Q128">
        <v>0</v>
      </c>
      <c r="R128">
        <v>62</v>
      </c>
      <c r="S128" t="inlineStr">
        <is>
          <t>Box</t>
        </is>
      </c>
      <c r="T128" t="inlineStr">
        <is>
          <t>Common</t>
        </is>
      </c>
      <c r="U128">
        <v>82</v>
      </c>
      <c r="V128">
        <v>1</v>
      </c>
      <c r="W128">
        <v>0</v>
      </c>
      <c r="X128">
        <v>101</v>
      </c>
      <c r="Y128">
        <v>0</v>
      </c>
    </row>
    <row r="129">
      <c r="B129">
        <v>137</v>
      </c>
      <c r="C129" t="inlineStr">
        <is>
          <t>HighWay</t>
        </is>
      </c>
      <c r="D129" t="inlineStr">
        <is>
          <t>HWY3_003_Tanker</t>
        </is>
      </c>
      <c r="E129">
        <v>1</v>
      </c>
      <c r="F129" t="inlineStr">
        <is>
          <t>공격 반복</t>
        </is>
      </c>
      <c r="G129">
        <v>12</v>
      </c>
      <c r="H129">
        <v>0</v>
      </c>
      <c r="I129">
        <v>150</v>
      </c>
      <c r="J129">
        <v>0</v>
      </c>
      <c r="K129">
        <v>0</v>
      </c>
      <c r="L129" t="inlineStr">
        <is>
          <t>차량 적 · 원본 전투/성장/코인 시스템</t>
        </is>
      </c>
      <c r="M129" t="inlineStr">
        <is>
          <t>Normal</t>
        </is>
      </c>
      <c r="N129">
        <v>0</v>
      </c>
      <c r="O129">
        <f>'밸런스 조정'!C154*'밸런스 조정'!C292*'밸런스 조정'!C149*(1+('몬스터 성장'!G6/'몬스터 성장'!F6-1)*(U129/'밸런스 조정'!C119)^'몬스터 성장'!H6)</f>
        <v>207.063437212</v>
      </c>
      <c r="P129">
        <v>0</v>
      </c>
      <c r="Q129">
        <v>0</v>
      </c>
      <c r="R129">
        <v>124</v>
      </c>
      <c r="S129" t="inlineStr">
        <is>
          <t>Tanker</t>
        </is>
      </c>
      <c r="T129" t="inlineStr">
        <is>
          <t>Common</t>
        </is>
      </c>
      <c r="U129">
        <v>82</v>
      </c>
      <c r="V129">
        <v>2</v>
      </c>
      <c r="W129">
        <v>0</v>
      </c>
      <c r="X129">
        <v>101</v>
      </c>
      <c r="Y129">
        <v>0</v>
      </c>
    </row>
    <row r="130">
      <c r="B130">
        <v>138</v>
      </c>
      <c r="C130" t="inlineStr">
        <is>
          <t>HighWay</t>
        </is>
      </c>
      <c r="D130" t="inlineStr">
        <is>
          <t>HWY3_004_Taxi</t>
        </is>
      </c>
      <c r="E130">
        <v>1</v>
      </c>
      <c r="F130" t="inlineStr">
        <is>
          <t>공격 반복</t>
        </is>
      </c>
      <c r="G130">
        <v>12</v>
      </c>
      <c r="H130">
        <v>0</v>
      </c>
      <c r="I130">
        <v>150</v>
      </c>
      <c r="J130">
        <v>0</v>
      </c>
      <c r="K130">
        <v>0</v>
      </c>
      <c r="L130" t="inlineStr">
        <is>
          <t>차량 적 · 원본 전투/성장/코인 시스템</t>
        </is>
      </c>
      <c r="M130" t="inlineStr">
        <is>
          <t>Normal</t>
        </is>
      </c>
      <c r="N130">
        <v>0</v>
      </c>
      <c r="O130">
        <f>'밸런스 조정'!C154*'밸런스 조정'!C292*'밸런스 조정'!C146*(1+('몬스터 성장'!G6/'몬스터 성장'!F6-1)*(U130/'밸런스 조정'!C119)^'몬스터 성장'!H6)</f>
        <v>105.029848784</v>
      </c>
      <c r="P130">
        <v>0</v>
      </c>
      <c r="Q130">
        <v>0</v>
      </c>
      <c r="R130">
        <v>62</v>
      </c>
      <c r="S130" t="inlineStr">
        <is>
          <t>Taxi</t>
        </is>
      </c>
      <c r="T130" t="inlineStr">
        <is>
          <t>Common</t>
        </is>
      </c>
      <c r="U130">
        <v>125</v>
      </c>
      <c r="V130">
        <v>0</v>
      </c>
      <c r="W130">
        <v>13.3</v>
      </c>
      <c r="X130">
        <v>102</v>
      </c>
      <c r="Y130">
        <v>0</v>
      </c>
    </row>
    <row r="131">
      <c r="B131">
        <v>139</v>
      </c>
      <c r="C131" t="inlineStr">
        <is>
          <t>HighWay</t>
        </is>
      </c>
      <c r="D131" t="inlineStr">
        <is>
          <t>HWY3_005_Tanker</t>
        </is>
      </c>
      <c r="E131">
        <v>1</v>
      </c>
      <c r="F131" t="inlineStr">
        <is>
          <t>공격 반복</t>
        </is>
      </c>
      <c r="G131">
        <v>12</v>
      </c>
      <c r="H131">
        <v>0</v>
      </c>
      <c r="I131">
        <v>150</v>
      </c>
      <c r="J131">
        <v>0</v>
      </c>
      <c r="K131">
        <v>0</v>
      </c>
      <c r="L131" t="inlineStr">
        <is>
          <t>차량 적 · 원본 전투/성장/코인 시스템</t>
        </is>
      </c>
      <c r="M131" t="inlineStr">
        <is>
          <t>Normal</t>
        </is>
      </c>
      <c r="N131">
        <v>0</v>
      </c>
      <c r="O131">
        <f>'밸런스 조정'!C154*'밸런스 조정'!C292*'밸런스 조정'!C149*(1+('몬스터 성장'!G6/'몬스터 성장'!F6-1)*(U131/'밸런스 조정'!C119)^'몬스터 성장'!H6)</f>
        <v>210.059697567</v>
      </c>
      <c r="P131">
        <v>0</v>
      </c>
      <c r="Q131">
        <v>0</v>
      </c>
      <c r="R131">
        <v>124</v>
      </c>
      <c r="S131" t="inlineStr">
        <is>
          <t>Tanker</t>
        </is>
      </c>
      <c r="T131" t="inlineStr">
        <is>
          <t>Common</t>
        </is>
      </c>
      <c r="U131">
        <v>125</v>
      </c>
      <c r="V131">
        <v>1</v>
      </c>
      <c r="W131">
        <v>13.3</v>
      </c>
      <c r="X131">
        <v>102</v>
      </c>
      <c r="Y131">
        <v>0</v>
      </c>
    </row>
    <row r="132">
      <c r="B132">
        <v>140</v>
      </c>
      <c r="C132" t="inlineStr">
        <is>
          <t>HighWay</t>
        </is>
      </c>
      <c r="D132" t="inlineStr">
        <is>
          <t>HWY3_006_OneTon</t>
        </is>
      </c>
      <c r="E132">
        <v>1</v>
      </c>
      <c r="F132" t="inlineStr">
        <is>
          <t>공격 반복</t>
        </is>
      </c>
      <c r="G132">
        <v>12</v>
      </c>
      <c r="H132">
        <v>0</v>
      </c>
      <c r="I132">
        <v>150</v>
      </c>
      <c r="J132">
        <v>0</v>
      </c>
      <c r="K132">
        <v>0</v>
      </c>
      <c r="L132" t="inlineStr">
        <is>
          <t>차량 적 · 원본 전투/성장/코인 시스템</t>
        </is>
      </c>
      <c r="M132" t="inlineStr">
        <is>
          <t>Normal</t>
        </is>
      </c>
      <c r="N132">
        <v>0</v>
      </c>
      <c r="O132">
        <f>'밸런스 조정'!C154*'밸런스 조정'!C292*'밸런스 조정'!C147*(1+('몬스터 성장'!G6/'몬스터 성장'!F6-1)*(U132/'밸런스 조정'!C119)^'몬스터 성장'!H6)</f>
        <v>136.538803419</v>
      </c>
      <c r="P132">
        <v>0</v>
      </c>
      <c r="Q132">
        <v>0</v>
      </c>
      <c r="R132">
        <v>62</v>
      </c>
      <c r="S132" t="inlineStr">
        <is>
          <t>OneTon</t>
        </is>
      </c>
      <c r="T132" t="inlineStr">
        <is>
          <t>Common</t>
        </is>
      </c>
      <c r="U132">
        <v>125</v>
      </c>
      <c r="V132">
        <v>2</v>
      </c>
      <c r="W132">
        <v>13.3</v>
      </c>
      <c r="X132">
        <v>102</v>
      </c>
      <c r="Y132">
        <v>0</v>
      </c>
    </row>
    <row r="133">
      <c r="B133">
        <v>141</v>
      </c>
      <c r="C133" t="inlineStr">
        <is>
          <t>HighWay</t>
        </is>
      </c>
      <c r="D133" t="inlineStr">
        <is>
          <t>HWY3_007_Sedan</t>
        </is>
      </c>
      <c r="E133">
        <v>1</v>
      </c>
      <c r="F133" t="inlineStr">
        <is>
          <t>공격 반복</t>
        </is>
      </c>
      <c r="G133">
        <v>12</v>
      </c>
      <c r="H133">
        <v>0</v>
      </c>
      <c r="I133">
        <v>150</v>
      </c>
      <c r="J133">
        <v>0</v>
      </c>
      <c r="K133">
        <v>0</v>
      </c>
      <c r="L133" t="inlineStr">
        <is>
          <t>차량 적 · 원본 전투/성장/코인 시스템</t>
        </is>
      </c>
      <c r="M133" t="inlineStr">
        <is>
          <t>Normal</t>
        </is>
      </c>
      <c r="N133">
        <v>0</v>
      </c>
      <c r="O133">
        <f>'밸런스 조정'!C154*'밸런스 조정'!C292*'밸런스 조정'!C145*(1+('몬스터 성장'!G6/'몬스터 성장'!F6-1)*(U133/'밸런스 조정'!C119)^'몬스터 성장'!H6)</f>
        <v>106.186982249</v>
      </c>
      <c r="P133">
        <v>0</v>
      </c>
      <c r="Q133">
        <v>0</v>
      </c>
      <c r="R133">
        <v>62</v>
      </c>
      <c r="S133" t="inlineStr">
        <is>
          <t>Sedan</t>
        </is>
      </c>
      <c r="T133" t="inlineStr">
        <is>
          <t>Common</t>
        </is>
      </c>
      <c r="U133">
        <v>150</v>
      </c>
      <c r="V133">
        <v>0</v>
      </c>
      <c r="W133">
        <v>38.3</v>
      </c>
      <c r="X133">
        <v>103</v>
      </c>
      <c r="Y133">
        <v>0</v>
      </c>
    </row>
    <row r="134">
      <c r="B134">
        <v>142</v>
      </c>
      <c r="C134" t="inlineStr">
        <is>
          <t>HighWay</t>
        </is>
      </c>
      <c r="D134" t="inlineStr">
        <is>
          <t>HWY3_008_OneTon</t>
        </is>
      </c>
      <c r="E134">
        <v>1</v>
      </c>
      <c r="F134" t="inlineStr">
        <is>
          <t>공격 반복</t>
        </is>
      </c>
      <c r="G134">
        <v>12</v>
      </c>
      <c r="H134">
        <v>0</v>
      </c>
      <c r="I134">
        <v>150</v>
      </c>
      <c r="J134">
        <v>0</v>
      </c>
      <c r="K134">
        <v>0</v>
      </c>
      <c r="L134" t="inlineStr">
        <is>
          <t>차량 적 · 원본 전투/성장/코인 시스템</t>
        </is>
      </c>
      <c r="M134" t="inlineStr">
        <is>
          <t>Normal</t>
        </is>
      </c>
      <c r="N134">
        <v>0</v>
      </c>
      <c r="O134">
        <f>'밸런스 조정'!C154*'밸런스 조정'!C292*'밸런스 조정'!C147*(1+('몬스터 성장'!G6/'몬스터 성장'!F6-1)*(U134/'밸런스 조정'!C119)^'몬스터 성장'!H6)</f>
        <v>138.043076923</v>
      </c>
      <c r="P134">
        <v>0</v>
      </c>
      <c r="Q134">
        <v>0</v>
      </c>
      <c r="R134">
        <v>62</v>
      </c>
      <c r="S134" t="inlineStr">
        <is>
          <t>OneTon</t>
        </is>
      </c>
      <c r="T134" t="inlineStr">
        <is>
          <t>Common</t>
        </is>
      </c>
      <c r="U134">
        <v>150</v>
      </c>
      <c r="V134">
        <v>1</v>
      </c>
      <c r="W134">
        <v>38.3</v>
      </c>
      <c r="X134">
        <v>103</v>
      </c>
      <c r="Y134">
        <v>0</v>
      </c>
    </row>
    <row r="135">
      <c r="B135">
        <v>143</v>
      </c>
      <c r="C135" t="inlineStr">
        <is>
          <t>HighWay</t>
        </is>
      </c>
      <c r="D135" t="inlineStr">
        <is>
          <t>HWY3_009_Box</t>
        </is>
      </c>
      <c r="E135">
        <v>1</v>
      </c>
      <c r="F135" t="inlineStr">
        <is>
          <t>공격 반복</t>
        </is>
      </c>
      <c r="G135">
        <v>12</v>
      </c>
      <c r="H135">
        <v>0</v>
      </c>
      <c r="I135">
        <v>150</v>
      </c>
      <c r="J135">
        <v>0</v>
      </c>
      <c r="K135">
        <v>0</v>
      </c>
      <c r="L135" t="inlineStr">
        <is>
          <t>차량 적 · 원본 전투/성장/코인 시스템</t>
        </is>
      </c>
      <c r="M135" t="inlineStr">
        <is>
          <t>Normal</t>
        </is>
      </c>
      <c r="N135">
        <v>0</v>
      </c>
      <c r="O135">
        <f>'밸런스 조정'!C154*'밸런스 조정'!C292*'밸런스 조정'!C148*(1+('몬스터 성장'!G6/'몬스터 성장'!F6-1)*(U135/'밸런스 조정'!C119)^'몬스터 성장'!H6)</f>
        <v>169.899171598</v>
      </c>
      <c r="P135">
        <v>0</v>
      </c>
      <c r="Q135">
        <v>0</v>
      </c>
      <c r="R135">
        <v>62</v>
      </c>
      <c r="S135" t="inlineStr">
        <is>
          <t>Box</t>
        </is>
      </c>
      <c r="T135" t="inlineStr">
        <is>
          <t>Common</t>
        </is>
      </c>
      <c r="U135">
        <v>150</v>
      </c>
      <c r="V135">
        <v>2</v>
      </c>
      <c r="W135">
        <v>38.3</v>
      </c>
      <c r="X135">
        <v>103</v>
      </c>
      <c r="Y135">
        <v>0</v>
      </c>
    </row>
    <row r="136">
      <c r="B136">
        <v>144</v>
      </c>
      <c r="C136" t="inlineStr">
        <is>
          <t>HighWay</t>
        </is>
      </c>
      <c r="D136" t="inlineStr">
        <is>
          <t>HWY3_010_OneTon</t>
        </is>
      </c>
      <c r="E136">
        <v>1</v>
      </c>
      <c r="F136" t="inlineStr">
        <is>
          <t>공격 반복</t>
        </is>
      </c>
      <c r="G136">
        <v>12</v>
      </c>
      <c r="H136">
        <v>0</v>
      </c>
      <c r="I136">
        <v>150</v>
      </c>
      <c r="J136">
        <v>0</v>
      </c>
      <c r="K136">
        <v>0</v>
      </c>
      <c r="L136" t="inlineStr">
        <is>
          <t>차량 적 · 원본 전투/성장/코인 시스템</t>
        </is>
      </c>
      <c r="M136" t="inlineStr">
        <is>
          <t>Normal</t>
        </is>
      </c>
      <c r="N136">
        <v>0</v>
      </c>
      <c r="O136">
        <f>'밸런스 조정'!C154*'밸런스 조정'!C292*'밸런스 조정'!C147*(1+('몬스터 성장'!G6/'몬스터 성장'!F6-1)*(U136/'밸런스 조정'!C119)^'몬스터 성장'!H6)</f>
        <v>139.820854701</v>
      </c>
      <c r="P136">
        <v>0</v>
      </c>
      <c r="Q136">
        <v>0</v>
      </c>
      <c r="R136">
        <v>62</v>
      </c>
      <c r="S136" t="inlineStr">
        <is>
          <t>OneTon</t>
        </is>
      </c>
      <c r="T136" t="inlineStr">
        <is>
          <t>Common</t>
        </is>
      </c>
      <c r="U136">
        <v>175</v>
      </c>
      <c r="V136">
        <v>0</v>
      </c>
      <c r="W136">
        <v>63.3</v>
      </c>
      <c r="X136">
        <v>104</v>
      </c>
      <c r="Y136">
        <v>0</v>
      </c>
    </row>
    <row r="137">
      <c r="B137">
        <v>145</v>
      </c>
      <c r="C137" t="inlineStr">
        <is>
          <t>HighWay</t>
        </is>
      </c>
      <c r="D137" t="inlineStr">
        <is>
          <t>HWY3_011_Taxi</t>
        </is>
      </c>
      <c r="E137">
        <v>1</v>
      </c>
      <c r="F137" t="inlineStr">
        <is>
          <t>공격 반복</t>
        </is>
      </c>
      <c r="G137">
        <v>12</v>
      </c>
      <c r="H137">
        <v>0</v>
      </c>
      <c r="I137">
        <v>150</v>
      </c>
      <c r="J137">
        <v>0</v>
      </c>
      <c r="K137">
        <v>0</v>
      </c>
      <c r="L137" t="inlineStr">
        <is>
          <t>차량 적 · 원본 전투/성장/코인 시스템</t>
        </is>
      </c>
      <c r="M137" t="inlineStr">
        <is>
          <t>Normal</t>
        </is>
      </c>
      <c r="N137">
        <v>0</v>
      </c>
      <c r="O137">
        <f>'밸런스 조정'!C154*'밸런스 조정'!C292*'밸런스 조정'!C146*(1+('몬스터 성장'!G6/'몬스터 성장'!F6-1)*(U137/'밸런스 조정'!C119)^'몬스터 성장'!H6)</f>
        <v>107.554503616</v>
      </c>
      <c r="P137">
        <v>0</v>
      </c>
      <c r="Q137">
        <v>0</v>
      </c>
      <c r="R137">
        <v>62</v>
      </c>
      <c r="S137" t="inlineStr">
        <is>
          <t>Taxi</t>
        </is>
      </c>
      <c r="T137" t="inlineStr">
        <is>
          <t>Common</t>
        </is>
      </c>
      <c r="U137">
        <v>175</v>
      </c>
      <c r="V137">
        <v>1</v>
      </c>
      <c r="W137">
        <v>63.3</v>
      </c>
      <c r="X137">
        <v>104</v>
      </c>
      <c r="Y137">
        <v>0</v>
      </c>
    </row>
    <row r="138">
      <c r="B138">
        <v>146</v>
      </c>
      <c r="C138" t="inlineStr">
        <is>
          <t>HighWay</t>
        </is>
      </c>
      <c r="D138" t="inlineStr">
        <is>
          <t>HWY3_012_Tanker</t>
        </is>
      </c>
      <c r="E138">
        <v>1</v>
      </c>
      <c r="F138" t="inlineStr">
        <is>
          <t>공격 반복</t>
        </is>
      </c>
      <c r="G138">
        <v>12</v>
      </c>
      <c r="H138">
        <v>0</v>
      </c>
      <c r="I138">
        <v>150</v>
      </c>
      <c r="J138">
        <v>0</v>
      </c>
      <c r="K138">
        <v>0</v>
      </c>
      <c r="L138" t="inlineStr">
        <is>
          <t>차량 적 · 원본 전투/성장/코인 시스템</t>
        </is>
      </c>
      <c r="M138" t="inlineStr">
        <is>
          <t>Normal</t>
        </is>
      </c>
      <c r="N138">
        <v>0</v>
      </c>
      <c r="O138">
        <f>'밸런스 조정'!C154*'밸런스 조정'!C292*'밸런스 조정'!C149*(1+('몬스터 성장'!G6/'몬스터 성장'!F6-1)*(U138/'밸런스 조정'!C119)^'몬스터 성장'!H6)</f>
        <v>215.109007232</v>
      </c>
      <c r="P138">
        <v>0</v>
      </c>
      <c r="Q138">
        <v>0</v>
      </c>
      <c r="R138">
        <v>124</v>
      </c>
      <c r="S138" t="inlineStr">
        <is>
          <t>Tanker</t>
        </is>
      </c>
      <c r="T138" t="inlineStr">
        <is>
          <t>Common</t>
        </is>
      </c>
      <c r="U138">
        <v>175</v>
      </c>
      <c r="V138">
        <v>2</v>
      </c>
      <c r="W138">
        <v>63.3</v>
      </c>
      <c r="X138">
        <v>104</v>
      </c>
      <c r="Y138">
        <v>0</v>
      </c>
    </row>
    <row r="139">
      <c r="B139">
        <v>147</v>
      </c>
      <c r="C139" t="inlineStr">
        <is>
          <t>HighWay</t>
        </is>
      </c>
      <c r="D139" t="inlineStr">
        <is>
          <t>HWY3_013_Box</t>
        </is>
      </c>
      <c r="E139">
        <v>1</v>
      </c>
      <c r="F139" t="inlineStr">
        <is>
          <t>공격 반복</t>
        </is>
      </c>
      <c r="G139">
        <v>12</v>
      </c>
      <c r="H139">
        <v>0</v>
      </c>
      <c r="I139">
        <v>150</v>
      </c>
      <c r="J139">
        <v>0</v>
      </c>
      <c r="K139">
        <v>0</v>
      </c>
      <c r="L139" t="inlineStr">
        <is>
          <t>차량 적 · 원본 전투/성장/코인 시스템</t>
        </is>
      </c>
      <c r="M139" t="inlineStr">
        <is>
          <t>Normal</t>
        </is>
      </c>
      <c r="N139">
        <v>0</v>
      </c>
      <c r="O139">
        <f>'밸런스 조정'!C154*'밸런스 조정'!C292*'밸런스 조정'!C148*(1+('몬스터 성장'!G6/'몬스터 성장'!F6-1)*(U139/'밸런스 조정'!C119)^'몬스터 성장'!H6)</f>
        <v>174.611860618</v>
      </c>
      <c r="P139">
        <v>0</v>
      </c>
      <c r="Q139">
        <v>0</v>
      </c>
      <c r="R139">
        <v>62</v>
      </c>
      <c r="S139" t="inlineStr">
        <is>
          <t>Box</t>
        </is>
      </c>
      <c r="T139" t="inlineStr">
        <is>
          <t>Common</t>
        </is>
      </c>
      <c r="U139">
        <v>200</v>
      </c>
      <c r="V139">
        <v>0</v>
      </c>
      <c r="W139">
        <v>88.3</v>
      </c>
      <c r="X139">
        <v>105</v>
      </c>
      <c r="Y139">
        <v>0</v>
      </c>
    </row>
    <row r="140">
      <c r="B140">
        <v>148</v>
      </c>
      <c r="C140" t="inlineStr">
        <is>
          <t>HighWay</t>
        </is>
      </c>
      <c r="D140" t="inlineStr">
        <is>
          <t>HWY3_014_Sedan</t>
        </is>
      </c>
      <c r="E140">
        <v>1</v>
      </c>
      <c r="F140" t="inlineStr">
        <is>
          <t>공격 반복</t>
        </is>
      </c>
      <c r="G140">
        <v>12</v>
      </c>
      <c r="H140">
        <v>0</v>
      </c>
      <c r="I140">
        <v>150</v>
      </c>
      <c r="J140">
        <v>0</v>
      </c>
      <c r="K140">
        <v>0</v>
      </c>
      <c r="L140" t="inlineStr">
        <is>
          <t>차량 적 · 원본 전투/성장/코인 시스템</t>
        </is>
      </c>
      <c r="M140" t="inlineStr">
        <is>
          <t>Normal</t>
        </is>
      </c>
      <c r="N140">
        <v>0</v>
      </c>
      <c r="O140">
        <f>'밸런스 조정'!C154*'밸런스 조정'!C292*'밸런스 조정'!C145*(1+('몬스터 성장'!G6/'몬스터 성장'!F6-1)*(U140/'밸런스 조정'!C119)^'몬스터 성장'!H6)</f>
        <v>109.132412886</v>
      </c>
      <c r="P140">
        <v>0</v>
      </c>
      <c r="Q140">
        <v>0</v>
      </c>
      <c r="R140">
        <v>62</v>
      </c>
      <c r="S140" t="inlineStr">
        <is>
          <t>Sedan</t>
        </is>
      </c>
      <c r="T140" t="inlineStr">
        <is>
          <t>Common</t>
        </is>
      </c>
      <c r="U140">
        <v>200</v>
      </c>
      <c r="V140">
        <v>1</v>
      </c>
      <c r="W140">
        <v>88.3</v>
      </c>
      <c r="X140">
        <v>105</v>
      </c>
      <c r="Y140">
        <v>0</v>
      </c>
    </row>
    <row r="141">
      <c r="B141">
        <v>149</v>
      </c>
      <c r="C141" t="inlineStr">
        <is>
          <t>HighWay</t>
        </is>
      </c>
      <c r="D141" t="inlineStr">
        <is>
          <t>HWY3_015_OneTon</t>
        </is>
      </c>
      <c r="E141">
        <v>1</v>
      </c>
      <c r="F141" t="inlineStr">
        <is>
          <t>공격 반복</t>
        </is>
      </c>
      <c r="G141">
        <v>12</v>
      </c>
      <c r="H141">
        <v>0</v>
      </c>
      <c r="I141">
        <v>150</v>
      </c>
      <c r="J141">
        <v>0</v>
      </c>
      <c r="K141">
        <v>0</v>
      </c>
      <c r="L141" t="inlineStr">
        <is>
          <t>차량 적 · 원본 전투/성장/코인 시스템</t>
        </is>
      </c>
      <c r="M141" t="inlineStr">
        <is>
          <t>Normal</t>
        </is>
      </c>
      <c r="N141">
        <v>0</v>
      </c>
      <c r="O141">
        <f>'밸런스 조정'!C154*'밸런스 조정'!C292*'밸런스 조정'!C147*(1+('몬스터 성장'!G6/'몬스터 성장'!F6-1)*(U141/'밸런스 조정'!C119)^'몬스터 성장'!H6)</f>
        <v>141.872136752</v>
      </c>
      <c r="P141">
        <v>0</v>
      </c>
      <c r="Q141">
        <v>0</v>
      </c>
      <c r="R141">
        <v>62</v>
      </c>
      <c r="S141" t="inlineStr">
        <is>
          <t>OneTon</t>
        </is>
      </c>
      <c r="T141" t="inlineStr">
        <is>
          <t>Common</t>
        </is>
      </c>
      <c r="U141">
        <v>200</v>
      </c>
      <c r="V141">
        <v>2</v>
      </c>
      <c r="W141">
        <v>88.3</v>
      </c>
      <c r="X141">
        <v>105</v>
      </c>
      <c r="Y141">
        <v>0</v>
      </c>
    </row>
    <row r="142">
      <c r="B142">
        <v>150</v>
      </c>
      <c r="C142" t="inlineStr">
        <is>
          <t>HighWay</t>
        </is>
      </c>
      <c r="D142" t="inlineStr">
        <is>
          <t>HWY3_016_Tanker</t>
        </is>
      </c>
      <c r="E142">
        <v>1</v>
      </c>
      <c r="F142" t="inlineStr">
        <is>
          <t>공격 반복</t>
        </is>
      </c>
      <c r="G142">
        <v>12</v>
      </c>
      <c r="H142">
        <v>0</v>
      </c>
      <c r="I142">
        <v>150</v>
      </c>
      <c r="J142">
        <v>0</v>
      </c>
      <c r="K142">
        <v>0</v>
      </c>
      <c r="L142" t="inlineStr">
        <is>
          <t>차량 적 · 원본 전투/성장/코인 시스템</t>
        </is>
      </c>
      <c r="M142" t="inlineStr">
        <is>
          <t>Normal</t>
        </is>
      </c>
      <c r="N142">
        <v>0</v>
      </c>
      <c r="O142">
        <f>'밸런스 조정'!C154*'밸런스 조정'!C292*'밸런스 조정'!C149*(1+('몬스터 성장'!G6/'몬스터 성장'!F6-1)*(U142/'밸런스 조정'!C119)^'몬스터 성장'!H6)</f>
        <v>221.841420118</v>
      </c>
      <c r="P142">
        <v>0</v>
      </c>
      <c r="Q142">
        <v>0</v>
      </c>
      <c r="R142">
        <v>124</v>
      </c>
      <c r="S142" t="inlineStr">
        <is>
          <t>Tanker</t>
        </is>
      </c>
      <c r="T142" t="inlineStr">
        <is>
          <t>Common</t>
        </is>
      </c>
      <c r="U142">
        <v>225</v>
      </c>
      <c r="V142">
        <v>0</v>
      </c>
      <c r="W142">
        <v>113.3</v>
      </c>
      <c r="X142">
        <v>106</v>
      </c>
      <c r="Y142">
        <v>0</v>
      </c>
    </row>
    <row r="143">
      <c r="B143">
        <v>151</v>
      </c>
      <c r="C143" t="inlineStr">
        <is>
          <t>HighWay</t>
        </is>
      </c>
      <c r="D143" t="inlineStr">
        <is>
          <t>HWY3_017_Taxi</t>
        </is>
      </c>
      <c r="E143">
        <v>1</v>
      </c>
      <c r="F143" t="inlineStr">
        <is>
          <t>공격 반복</t>
        </is>
      </c>
      <c r="G143">
        <v>12</v>
      </c>
      <c r="H143">
        <v>0</v>
      </c>
      <c r="I143">
        <v>150</v>
      </c>
      <c r="J143">
        <v>0</v>
      </c>
      <c r="K143">
        <v>0</v>
      </c>
      <c r="L143" t="inlineStr">
        <is>
          <t>차량 적 · 원본 전투/성장/코인 시스템</t>
        </is>
      </c>
      <c r="M143" t="inlineStr">
        <is>
          <t>Normal</t>
        </is>
      </c>
      <c r="N143">
        <v>0</v>
      </c>
      <c r="O143">
        <f>'밸런스 조정'!C154*'밸런스 조정'!C292*'밸런스 조정'!C146*(1+('몬스터 성장'!G6/'몬스터 성장'!F6-1)*(U143/'밸런스 조정'!C119)^'몬스터 성장'!H6)</f>
        <v>110.920710059</v>
      </c>
      <c r="P143">
        <v>0</v>
      </c>
      <c r="Q143">
        <v>0</v>
      </c>
      <c r="R143">
        <v>62</v>
      </c>
      <c r="S143" t="inlineStr">
        <is>
          <t>Taxi</t>
        </is>
      </c>
      <c r="T143" t="inlineStr">
        <is>
          <t>Common</t>
        </is>
      </c>
      <c r="U143">
        <v>225</v>
      </c>
      <c r="V143">
        <v>1</v>
      </c>
      <c r="W143">
        <v>113.3</v>
      </c>
      <c r="X143">
        <v>106</v>
      </c>
      <c r="Y143">
        <v>0</v>
      </c>
    </row>
    <row r="144">
      <c r="B144">
        <v>152</v>
      </c>
      <c r="C144" t="inlineStr">
        <is>
          <t>HighWay</t>
        </is>
      </c>
      <c r="D144" t="inlineStr">
        <is>
          <t>HWY3_018_Box</t>
        </is>
      </c>
      <c r="E144">
        <v>1</v>
      </c>
      <c r="F144" t="inlineStr">
        <is>
          <t>공격 반복</t>
        </is>
      </c>
      <c r="G144">
        <v>12</v>
      </c>
      <c r="H144">
        <v>0</v>
      </c>
      <c r="I144">
        <v>150</v>
      </c>
      <c r="J144">
        <v>0</v>
      </c>
      <c r="K144">
        <v>0</v>
      </c>
      <c r="L144" t="inlineStr">
        <is>
          <t>차량 적 · 원본 전투/성장/코인 시스템</t>
        </is>
      </c>
      <c r="M144" t="inlineStr">
        <is>
          <t>Normal</t>
        </is>
      </c>
      <c r="N144">
        <v>0</v>
      </c>
      <c r="O144">
        <f>'밸런스 조정'!C154*'밸런스 조정'!C292*'밸런스 조정'!C148*(1+('몬스터 성장'!G6/'몬스터 성장'!F6-1)*(U144/'밸런스 조정'!C119)^'몬스터 성장'!H6)</f>
        <v>177.473136095</v>
      </c>
      <c r="P144">
        <v>0</v>
      </c>
      <c r="Q144">
        <v>0</v>
      </c>
      <c r="R144">
        <v>62</v>
      </c>
      <c r="S144" t="inlineStr">
        <is>
          <t>Box</t>
        </is>
      </c>
      <c r="T144" t="inlineStr">
        <is>
          <t>Common</t>
        </is>
      </c>
      <c r="U144">
        <v>225</v>
      </c>
      <c r="V144">
        <v>2</v>
      </c>
      <c r="W144">
        <v>113.3</v>
      </c>
      <c r="X144">
        <v>106</v>
      </c>
      <c r="Y144">
        <v>0</v>
      </c>
    </row>
    <row r="145">
      <c r="B145">
        <v>153</v>
      </c>
      <c r="C145" t="inlineStr">
        <is>
          <t>HighWay</t>
        </is>
      </c>
      <c r="D145" t="inlineStr">
        <is>
          <t>HWY3_019_OneTon</t>
        </is>
      </c>
      <c r="E145">
        <v>1</v>
      </c>
      <c r="F145" t="inlineStr">
        <is>
          <t>공격 반복</t>
        </is>
      </c>
      <c r="G145">
        <v>12</v>
      </c>
      <c r="H145">
        <v>0</v>
      </c>
      <c r="I145">
        <v>150</v>
      </c>
      <c r="J145">
        <v>0</v>
      </c>
      <c r="K145">
        <v>0</v>
      </c>
      <c r="L145" t="inlineStr">
        <is>
          <t>차량 적 · 원본 전투/성장/코인 시스템</t>
        </is>
      </c>
      <c r="M145" t="inlineStr">
        <is>
          <t>Normal</t>
        </is>
      </c>
      <c r="N145">
        <v>0</v>
      </c>
      <c r="O145">
        <f>'밸런스 조정'!C154*'밸런스 조정'!C292*'밸런스 조정'!C147*(1+('몬스터 성장'!G6/'몬스터 성장'!F6-1)*(U145/'밸런스 조정'!C119)^'몬스터 성장'!H6)</f>
        <v>169.900854701</v>
      </c>
      <c r="P145">
        <v>0</v>
      </c>
      <c r="Q145">
        <v>0</v>
      </c>
      <c r="R145">
        <v>62</v>
      </c>
      <c r="S145" t="inlineStr">
        <is>
          <t>OneTon</t>
        </is>
      </c>
      <c r="T145" t="inlineStr">
        <is>
          <t>Common</t>
        </is>
      </c>
      <c r="U145">
        <v>410</v>
      </c>
      <c r="V145">
        <v>0</v>
      </c>
      <c r="W145">
        <v>298.3</v>
      </c>
      <c r="X145">
        <v>107</v>
      </c>
      <c r="Y145">
        <v>0</v>
      </c>
    </row>
    <row r="146">
      <c r="B146">
        <v>154</v>
      </c>
      <c r="C146" t="inlineStr">
        <is>
          <t>HighWay</t>
        </is>
      </c>
      <c r="D146" t="inlineStr">
        <is>
          <t>HWY3_020_Box</t>
        </is>
      </c>
      <c r="E146">
        <v>1</v>
      </c>
      <c r="F146" t="inlineStr">
        <is>
          <t>공격 반복</t>
        </is>
      </c>
      <c r="G146">
        <v>12</v>
      </c>
      <c r="H146">
        <v>0</v>
      </c>
      <c r="I146">
        <v>150</v>
      </c>
      <c r="J146">
        <v>0</v>
      </c>
      <c r="K146">
        <v>0</v>
      </c>
      <c r="L146" t="inlineStr">
        <is>
          <t>차량 적 · 원본 전투/성장/코인 시스템</t>
        </is>
      </c>
      <c r="M146" t="inlineStr">
        <is>
          <t>Normal</t>
        </is>
      </c>
      <c r="N146">
        <v>0</v>
      </c>
      <c r="O146">
        <f>'밸런스 조정'!C154*'밸런스 조정'!C292*'밸런스 조정'!C148*(1+('몬스터 성장'!G6/'몬스터 성장'!F6-1)*(U146/'밸런스 조정'!C119)^'몬스터 성장'!H6)</f>
        <v>209.108744247</v>
      </c>
      <c r="P146">
        <v>0</v>
      </c>
      <c r="Q146">
        <v>0</v>
      </c>
      <c r="R146">
        <v>62</v>
      </c>
      <c r="S146" t="inlineStr">
        <is>
          <t>Box</t>
        </is>
      </c>
      <c r="T146" t="inlineStr">
        <is>
          <t>Common</t>
        </is>
      </c>
      <c r="U146">
        <v>410</v>
      </c>
      <c r="V146">
        <v>1</v>
      </c>
      <c r="W146">
        <v>298.3</v>
      </c>
      <c r="X146">
        <v>107</v>
      </c>
      <c r="Y146">
        <v>0</v>
      </c>
    </row>
    <row r="147">
      <c r="B147">
        <v>155</v>
      </c>
      <c r="C147" t="inlineStr">
        <is>
          <t>HighWay</t>
        </is>
      </c>
      <c r="D147" t="inlineStr">
        <is>
          <t>HWY3_021_Sedan</t>
        </is>
      </c>
      <c r="E147">
        <v>1</v>
      </c>
      <c r="F147" t="inlineStr">
        <is>
          <t>공격 반복</t>
        </is>
      </c>
      <c r="G147">
        <v>12</v>
      </c>
      <c r="H147">
        <v>0</v>
      </c>
      <c r="I147">
        <v>150</v>
      </c>
      <c r="J147">
        <v>0</v>
      </c>
      <c r="K147">
        <v>0</v>
      </c>
      <c r="L147" t="inlineStr">
        <is>
          <t>차량 적 · 원본 전투/성장/코인 시스템</t>
        </is>
      </c>
      <c r="M147" t="inlineStr">
        <is>
          <t>Normal</t>
        </is>
      </c>
      <c r="N147">
        <v>0</v>
      </c>
      <c r="O147">
        <f>'밸런스 조정'!C154*'밸런스 조정'!C292*'밸런스 조정'!C145*(1+('몬스터 성장'!G6/'몬스터 성장'!F6-1)*(U147/'밸런스 조정'!C119)^'몬스터 성장'!H6)</f>
        <v>130.692965155</v>
      </c>
      <c r="P147">
        <v>0</v>
      </c>
      <c r="Q147">
        <v>0</v>
      </c>
      <c r="R147">
        <v>62</v>
      </c>
      <c r="S147" t="inlineStr">
        <is>
          <t>Sedan</t>
        </is>
      </c>
      <c r="T147" t="inlineStr">
        <is>
          <t>Common</t>
        </is>
      </c>
      <c r="U147">
        <v>410</v>
      </c>
      <c r="V147">
        <v>2</v>
      </c>
      <c r="W147">
        <v>298.3</v>
      </c>
      <c r="X147">
        <v>107</v>
      </c>
      <c r="Y147">
        <v>0</v>
      </c>
    </row>
    <row r="148">
      <c r="B148">
        <v>156</v>
      </c>
      <c r="C148" t="inlineStr">
        <is>
          <t>HighWay</t>
        </is>
      </c>
      <c r="D148" t="inlineStr">
        <is>
          <t>HWY3_022_Box</t>
        </is>
      </c>
      <c r="E148">
        <v>1</v>
      </c>
      <c r="F148" t="inlineStr">
        <is>
          <t>공격 반복</t>
        </is>
      </c>
      <c r="G148">
        <v>12</v>
      </c>
      <c r="H148">
        <v>0</v>
      </c>
      <c r="I148">
        <v>150</v>
      </c>
      <c r="J148">
        <v>0</v>
      </c>
      <c r="K148">
        <v>0</v>
      </c>
      <c r="L148" t="inlineStr">
        <is>
          <t>차량 적 · 원본 전투/성장/코인 시스템</t>
        </is>
      </c>
      <c r="M148" t="inlineStr">
        <is>
          <t>Normal</t>
        </is>
      </c>
      <c r="N148">
        <v>0</v>
      </c>
      <c r="O148">
        <f>'밸런스 조정'!C154*'밸런스 조정'!C292*'밸런스 조정'!C148*(1+('몬스터 성장'!G6/'몬스터 성장'!F6-1)*(U148/'밸런스 조정'!C119)^'몬스터 성장'!H6)</f>
        <v>214.797633136</v>
      </c>
      <c r="P148">
        <v>0</v>
      </c>
      <c r="Q148">
        <v>0</v>
      </c>
      <c r="R148">
        <v>62</v>
      </c>
      <c r="S148" t="inlineStr">
        <is>
          <t>Box</t>
        </is>
      </c>
      <c r="T148" t="inlineStr">
        <is>
          <t>Common</t>
        </is>
      </c>
      <c r="U148">
        <v>435</v>
      </c>
      <c r="V148">
        <v>0</v>
      </c>
      <c r="W148">
        <v>323.3</v>
      </c>
      <c r="X148">
        <v>108</v>
      </c>
      <c r="Y148">
        <v>0</v>
      </c>
    </row>
    <row r="149">
      <c r="B149">
        <v>157</v>
      </c>
      <c r="C149" t="inlineStr">
        <is>
          <t>HighWay</t>
        </is>
      </c>
      <c r="D149" t="inlineStr">
        <is>
          <t>HWY3_023_Tanker</t>
        </is>
      </c>
      <c r="E149">
        <v>1</v>
      </c>
      <c r="F149" t="inlineStr">
        <is>
          <t>공격 반복</t>
        </is>
      </c>
      <c r="G149">
        <v>12</v>
      </c>
      <c r="H149">
        <v>0</v>
      </c>
      <c r="I149">
        <v>150</v>
      </c>
      <c r="J149">
        <v>0</v>
      </c>
      <c r="K149">
        <v>0</v>
      </c>
      <c r="L149" t="inlineStr">
        <is>
          <t>차량 적 · 원본 전투/성장/코인 시스템</t>
        </is>
      </c>
      <c r="M149" t="inlineStr">
        <is>
          <t>Normal</t>
        </is>
      </c>
      <c r="N149">
        <v>0</v>
      </c>
      <c r="O149">
        <f>'밸런스 조정'!C154*'밸런스 조정'!C292*'밸런스 조정'!C149*(1+('몬스터 성장'!G6/'몬스터 성장'!F6-1)*(U149/'밸런스 조정'!C119)^'몬스터 성장'!H6)</f>
        <v>268.49704142</v>
      </c>
      <c r="P149">
        <v>0</v>
      </c>
      <c r="Q149">
        <v>0</v>
      </c>
      <c r="R149">
        <v>124</v>
      </c>
      <c r="S149" t="inlineStr">
        <is>
          <t>Tanker</t>
        </is>
      </c>
      <c r="T149" t="inlineStr">
        <is>
          <t>Common</t>
        </is>
      </c>
      <c r="U149">
        <v>435</v>
      </c>
      <c r="V149">
        <v>1</v>
      </c>
      <c r="W149">
        <v>323.3</v>
      </c>
      <c r="X149">
        <v>108</v>
      </c>
      <c r="Y149">
        <v>0</v>
      </c>
    </row>
    <row r="150">
      <c r="B150">
        <v>158</v>
      </c>
      <c r="C150" t="inlineStr">
        <is>
          <t>HighWay</t>
        </is>
      </c>
      <c r="D150" t="inlineStr">
        <is>
          <t>HWY3_024_Taxi</t>
        </is>
      </c>
      <c r="E150">
        <v>1</v>
      </c>
      <c r="F150" t="inlineStr">
        <is>
          <t>공격 반복</t>
        </is>
      </c>
      <c r="G150">
        <v>12</v>
      </c>
      <c r="H150">
        <v>0</v>
      </c>
      <c r="I150">
        <v>150</v>
      </c>
      <c r="J150">
        <v>0</v>
      </c>
      <c r="K150">
        <v>0</v>
      </c>
      <c r="L150" t="inlineStr">
        <is>
          <t>차량 적 · 원본 전투/성장/코인 시스템</t>
        </is>
      </c>
      <c r="M150" t="inlineStr">
        <is>
          <t>Normal</t>
        </is>
      </c>
      <c r="N150">
        <v>0</v>
      </c>
      <c r="O150">
        <f>'밸런스 조정'!C154*'밸런스 조정'!C292*'밸런스 조정'!C146*(1+('몬스터 성장'!G6/'몬스터 성장'!F6-1)*(U150/'밸런스 조정'!C119)^'몬스터 성장'!H6)</f>
        <v>134.24852071</v>
      </c>
      <c r="P150">
        <v>0</v>
      </c>
      <c r="Q150">
        <v>0</v>
      </c>
      <c r="R150">
        <v>62</v>
      </c>
      <c r="S150" t="inlineStr">
        <is>
          <t>Taxi</t>
        </is>
      </c>
      <c r="T150" t="inlineStr">
        <is>
          <t>Common</t>
        </is>
      </c>
      <c r="U150">
        <v>435</v>
      </c>
      <c r="V150">
        <v>2</v>
      </c>
      <c r="W150">
        <v>323.3</v>
      </c>
      <c r="X150">
        <v>108</v>
      </c>
      <c r="Y150">
        <v>0</v>
      </c>
    </row>
    <row r="151">
      <c r="B151">
        <v>159</v>
      </c>
      <c r="C151" t="inlineStr">
        <is>
          <t>HighWay</t>
        </is>
      </c>
      <c r="D151" t="inlineStr">
        <is>
          <t>HWY3_025_Accident</t>
        </is>
      </c>
      <c r="E151">
        <v>1</v>
      </c>
      <c r="F151" t="inlineStr">
        <is>
          <t>공격 반복</t>
        </is>
      </c>
      <c r="G151">
        <v>0</v>
      </c>
      <c r="H151">
        <v>0</v>
      </c>
      <c r="I151">
        <v>150</v>
      </c>
      <c r="J151">
        <v>0</v>
      </c>
      <c r="K151">
        <v>0</v>
      </c>
      <c r="L151" t="inlineStr">
        <is>
          <t>차량 적 · 원본 전투/성장/코인 시스템</t>
        </is>
      </c>
      <c r="M151" t="inlineStr">
        <is>
          <t>Normal</t>
        </is>
      </c>
      <c r="N151">
        <v>0</v>
      </c>
      <c r="O151">
        <f>'밸런스 조정'!C154*'밸런스 조정'!C155*'밸런스 조정'!C153*1</f>
        <v>608</v>
      </c>
      <c r="P151">
        <v>0</v>
      </c>
      <c r="Q151">
        <v>0</v>
      </c>
      <c r="R151">
        <v>62</v>
      </c>
      <c r="S151" t="inlineStr">
        <is>
          <t>Accident</t>
        </is>
      </c>
      <c r="T151" t="inlineStr">
        <is>
          <t>Common</t>
        </is>
      </c>
      <c r="U151">
        <v>234</v>
      </c>
      <c r="V151">
        <v>1.5</v>
      </c>
      <c r="W151">
        <v>72.3</v>
      </c>
      <c r="X151">
        <v>1</v>
      </c>
      <c r="Y151">
        <v>1</v>
      </c>
    </row>
    <row r="152">
      <c r="B152">
        <v>160</v>
      </c>
      <c r="C152" t="inlineStr">
        <is>
          <t>HighWay</t>
        </is>
      </c>
      <c r="D152" t="inlineStr">
        <is>
          <t>HWY3_026_Taxi</t>
        </is>
      </c>
      <c r="E152">
        <v>1</v>
      </c>
      <c r="F152" t="inlineStr">
        <is>
          <t>공격 반복</t>
        </is>
      </c>
      <c r="G152">
        <v>0</v>
      </c>
      <c r="H152">
        <v>0</v>
      </c>
      <c r="I152">
        <v>150</v>
      </c>
      <c r="J152">
        <v>0</v>
      </c>
      <c r="K152">
        <v>0</v>
      </c>
      <c r="L152" t="inlineStr">
        <is>
          <t>차량 적 · 원본 전투/성장/코인 시스템</t>
        </is>
      </c>
      <c r="M152" t="inlineStr">
        <is>
          <t>Normal</t>
        </is>
      </c>
      <c r="N152">
        <v>0</v>
      </c>
      <c r="O152">
        <f>'밸런스 조정'!C154*'밸런스 조정'!C155*'밸런스 조정'!C146*1</f>
        <v>243.2</v>
      </c>
      <c r="P152">
        <v>0</v>
      </c>
      <c r="Q152">
        <v>0</v>
      </c>
      <c r="R152">
        <v>62</v>
      </c>
      <c r="S152" t="inlineStr">
        <is>
          <t>Taxi</t>
        </is>
      </c>
      <c r="T152" t="inlineStr">
        <is>
          <t>Common</t>
        </is>
      </c>
      <c r="U152">
        <v>235</v>
      </c>
      <c r="V152">
        <v>0</v>
      </c>
      <c r="W152">
        <v>72.3</v>
      </c>
      <c r="X152">
        <v>1</v>
      </c>
      <c r="Y152">
        <v>1</v>
      </c>
    </row>
    <row r="153">
      <c r="B153">
        <v>161</v>
      </c>
      <c r="C153" t="inlineStr">
        <is>
          <t>HighWay</t>
        </is>
      </c>
      <c r="D153" t="inlineStr">
        <is>
          <t>HWY3_027_Sedan</t>
        </is>
      </c>
      <c r="E153">
        <v>1</v>
      </c>
      <c r="F153" t="inlineStr">
        <is>
          <t>공격 반복</t>
        </is>
      </c>
      <c r="G153">
        <v>0</v>
      </c>
      <c r="H153">
        <v>0</v>
      </c>
      <c r="I153">
        <v>150</v>
      </c>
      <c r="J153">
        <v>0</v>
      </c>
      <c r="K153">
        <v>0</v>
      </c>
      <c r="L153" t="inlineStr">
        <is>
          <t>차량 적 · 원본 전투/성장/코인 시스템</t>
        </is>
      </c>
      <c r="M153" t="inlineStr">
        <is>
          <t>Normal</t>
        </is>
      </c>
      <c r="N153">
        <v>0</v>
      </c>
      <c r="O153">
        <f>'밸런스 조정'!C154*'밸런스 조정'!C155*'밸런스 조정'!C145*1</f>
        <v>243.2</v>
      </c>
      <c r="P153">
        <v>0</v>
      </c>
      <c r="Q153">
        <v>0</v>
      </c>
      <c r="R153">
        <v>62</v>
      </c>
      <c r="S153" t="inlineStr">
        <is>
          <t>Sedan</t>
        </is>
      </c>
      <c r="T153" t="inlineStr">
        <is>
          <t>Common</t>
        </is>
      </c>
      <c r="U153">
        <v>252</v>
      </c>
      <c r="V153">
        <v>1</v>
      </c>
      <c r="W153">
        <v>72.3</v>
      </c>
      <c r="X153">
        <v>1</v>
      </c>
      <c r="Y153">
        <v>0</v>
      </c>
    </row>
    <row r="154">
      <c r="B154">
        <v>162</v>
      </c>
      <c r="C154" t="inlineStr">
        <is>
          <t>HighWay</t>
        </is>
      </c>
      <c r="D154" t="inlineStr">
        <is>
          <t>HWY3_028_Taxi</t>
        </is>
      </c>
      <c r="E154">
        <v>1</v>
      </c>
      <c r="F154" t="inlineStr">
        <is>
          <t>공격 반복</t>
        </is>
      </c>
      <c r="G154">
        <v>0</v>
      </c>
      <c r="H154">
        <v>0</v>
      </c>
      <c r="I154">
        <v>150</v>
      </c>
      <c r="J154">
        <v>0</v>
      </c>
      <c r="K154">
        <v>0</v>
      </c>
      <c r="L154" t="inlineStr">
        <is>
          <t>차량 적 · 원본 전투/성장/코인 시스템</t>
        </is>
      </c>
      <c r="M154" t="inlineStr">
        <is>
          <t>Normal</t>
        </is>
      </c>
      <c r="N154">
        <v>0</v>
      </c>
      <c r="O154">
        <f>'밸런스 조정'!C154*'밸런스 조정'!C155*'밸런스 조정'!C146*1</f>
        <v>243.2</v>
      </c>
      <c r="P154">
        <v>0</v>
      </c>
      <c r="Q154">
        <v>0</v>
      </c>
      <c r="R154">
        <v>62</v>
      </c>
      <c r="S154" t="inlineStr">
        <is>
          <t>Taxi</t>
        </is>
      </c>
      <c r="T154" t="inlineStr">
        <is>
          <t>Common</t>
        </is>
      </c>
      <c r="U154">
        <v>252</v>
      </c>
      <c r="V154">
        <v>2</v>
      </c>
      <c r="W154">
        <v>72.3</v>
      </c>
      <c r="X154">
        <v>1</v>
      </c>
      <c r="Y154">
        <v>0</v>
      </c>
    </row>
    <row r="155">
      <c r="B155">
        <v>163</v>
      </c>
      <c r="C155" t="inlineStr">
        <is>
          <t>HighWay</t>
        </is>
      </c>
      <c r="D155" t="inlineStr">
        <is>
          <t>HWY3_029_OneTon</t>
        </is>
      </c>
      <c r="E155">
        <v>1</v>
      </c>
      <c r="F155" t="inlineStr">
        <is>
          <t>공격 반복</t>
        </is>
      </c>
      <c r="G155">
        <v>0</v>
      </c>
      <c r="H155">
        <v>0</v>
      </c>
      <c r="I155">
        <v>150</v>
      </c>
      <c r="J155">
        <v>0</v>
      </c>
      <c r="K155">
        <v>0</v>
      </c>
      <c r="L155" t="inlineStr">
        <is>
          <t>차량 적 · 원본 전투/성장/코인 시스템</t>
        </is>
      </c>
      <c r="M155" t="inlineStr">
        <is>
          <t>Normal</t>
        </is>
      </c>
      <c r="N155">
        <v>0</v>
      </c>
      <c r="O155">
        <f>'밸런스 조정'!C154*'밸런스 조정'!C155*'밸런스 조정'!C147*1</f>
        <v>316.16</v>
      </c>
      <c r="P155">
        <v>0</v>
      </c>
      <c r="Q155">
        <v>0</v>
      </c>
      <c r="R155">
        <v>62</v>
      </c>
      <c r="S155" t="inlineStr">
        <is>
          <t>OneTon</t>
        </is>
      </c>
      <c r="T155" t="inlineStr">
        <is>
          <t>Common</t>
        </is>
      </c>
      <c r="U155">
        <v>270</v>
      </c>
      <c r="V155">
        <v>1</v>
      </c>
      <c r="W155">
        <v>72.3</v>
      </c>
      <c r="X155">
        <v>1</v>
      </c>
      <c r="Y155">
        <v>0</v>
      </c>
    </row>
    <row r="156">
      <c r="B156">
        <v>164</v>
      </c>
      <c r="C156" t="inlineStr">
        <is>
          <t>HighWay</t>
        </is>
      </c>
      <c r="D156" t="inlineStr">
        <is>
          <t>HWY3_030_Box</t>
        </is>
      </c>
      <c r="E156">
        <v>1</v>
      </c>
      <c r="F156" t="inlineStr">
        <is>
          <t>공격 반복</t>
        </is>
      </c>
      <c r="G156">
        <v>0</v>
      </c>
      <c r="H156">
        <v>0</v>
      </c>
      <c r="I156">
        <v>150</v>
      </c>
      <c r="J156">
        <v>0</v>
      </c>
      <c r="K156">
        <v>0</v>
      </c>
      <c r="L156" t="inlineStr">
        <is>
          <t>차량 적 · 원본 전투/성장/코인 시스템</t>
        </is>
      </c>
      <c r="M156" t="inlineStr">
        <is>
          <t>Normal</t>
        </is>
      </c>
      <c r="N156">
        <v>0</v>
      </c>
      <c r="O156">
        <f>'밸런스 조정'!C154*'밸런스 조정'!C155*'밸런스 조정'!C148*1</f>
        <v>389.12</v>
      </c>
      <c r="P156">
        <v>0</v>
      </c>
      <c r="Q156">
        <v>0</v>
      </c>
      <c r="R156">
        <v>62</v>
      </c>
      <c r="S156" t="inlineStr">
        <is>
          <t>Box</t>
        </is>
      </c>
      <c r="T156" t="inlineStr">
        <is>
          <t>Common</t>
        </is>
      </c>
      <c r="U156">
        <v>270</v>
      </c>
      <c r="V156">
        <v>2</v>
      </c>
      <c r="W156">
        <v>72.3</v>
      </c>
      <c r="X156">
        <v>1</v>
      </c>
      <c r="Y156">
        <v>0</v>
      </c>
    </row>
    <row r="157">
      <c r="B157">
        <v>165</v>
      </c>
      <c r="C157" t="inlineStr">
        <is>
          <t>HighWay</t>
        </is>
      </c>
      <c r="D157" t="inlineStr">
        <is>
          <t>HWY3_031_Accident</t>
        </is>
      </c>
      <c r="E157">
        <v>1</v>
      </c>
      <c r="F157" t="inlineStr">
        <is>
          <t>공격 반복</t>
        </is>
      </c>
      <c r="G157">
        <v>0</v>
      </c>
      <c r="H157">
        <v>0</v>
      </c>
      <c r="I157">
        <v>150</v>
      </c>
      <c r="J157">
        <v>0</v>
      </c>
      <c r="K157">
        <v>0</v>
      </c>
      <c r="L157" t="inlineStr">
        <is>
          <t>차량 적 · 원본 전투/성장/코인 시스템</t>
        </is>
      </c>
      <c r="M157" t="inlineStr">
        <is>
          <t>Normal</t>
        </is>
      </c>
      <c r="N157">
        <v>0</v>
      </c>
      <c r="O157">
        <f>'밸런스 조정'!C154*'밸런스 조정'!C155*'밸런스 조정'!C153*(1+('몬스터 성장'!G6/'몬스터 성장'!F6-1)*(U157/'밸런스 조정'!C119)^'몬스터 성장'!H6)</f>
        <v>979.855358317</v>
      </c>
      <c r="P157">
        <v>0</v>
      </c>
      <c r="Q157">
        <v>0</v>
      </c>
      <c r="R157">
        <v>62</v>
      </c>
      <c r="S157" t="inlineStr">
        <is>
          <t>Accident</t>
        </is>
      </c>
      <c r="T157" t="inlineStr">
        <is>
          <t>Jam</t>
        </is>
      </c>
      <c r="U157">
        <v>610</v>
      </c>
      <c r="V157">
        <v>1.5</v>
      </c>
      <c r="W157">
        <v>448.3</v>
      </c>
      <c r="X157">
        <v>2</v>
      </c>
      <c r="Y157">
        <v>1</v>
      </c>
    </row>
    <row r="158">
      <c r="B158">
        <v>166</v>
      </c>
      <c r="C158" t="inlineStr">
        <is>
          <t>HighWay</t>
        </is>
      </c>
      <c r="D158" t="inlineStr">
        <is>
          <t>HWY3_032_Taxi</t>
        </is>
      </c>
      <c r="E158">
        <v>1</v>
      </c>
      <c r="F158" t="inlineStr">
        <is>
          <t>공격 반복</t>
        </is>
      </c>
      <c r="G158">
        <v>0</v>
      </c>
      <c r="H158">
        <v>0</v>
      </c>
      <c r="I158">
        <v>150</v>
      </c>
      <c r="J158">
        <v>0</v>
      </c>
      <c r="K158">
        <v>0</v>
      </c>
      <c r="L158" t="inlineStr">
        <is>
          <t>차량 적 · 원본 전투/성장/코인 시스템</t>
        </is>
      </c>
      <c r="M158" t="inlineStr">
        <is>
          <t>Normal</t>
        </is>
      </c>
      <c r="N158">
        <v>0</v>
      </c>
      <c r="O158">
        <f>'밸런스 조정'!C154*'밸런스 조정'!C155*'밸런스 조정'!C146*(1+('몬스터 성장'!G6/'몬스터 성장'!F6-1)*(U158/'밸런스 조정'!C119)^'몬스터 성장'!H6)</f>
        <v>392.430222222</v>
      </c>
      <c r="P158">
        <v>0</v>
      </c>
      <c r="Q158">
        <v>0</v>
      </c>
      <c r="R158">
        <v>62</v>
      </c>
      <c r="S158" t="inlineStr">
        <is>
          <t>Taxi</t>
        </is>
      </c>
      <c r="T158" t="inlineStr">
        <is>
          <t>Jam</t>
        </is>
      </c>
      <c r="U158">
        <v>611</v>
      </c>
      <c r="V158">
        <v>0</v>
      </c>
      <c r="W158">
        <v>448.3</v>
      </c>
      <c r="X158">
        <v>2</v>
      </c>
      <c r="Y158">
        <v>1</v>
      </c>
    </row>
    <row r="159">
      <c r="B159">
        <v>167</v>
      </c>
      <c r="C159" t="inlineStr">
        <is>
          <t>HighWay</t>
        </is>
      </c>
      <c r="D159" t="inlineStr">
        <is>
          <t>HWY3_033_Tanker</t>
        </is>
      </c>
      <c r="E159">
        <v>1</v>
      </c>
      <c r="F159" t="inlineStr">
        <is>
          <t>공격 반복</t>
        </is>
      </c>
      <c r="G159">
        <v>0</v>
      </c>
      <c r="H159">
        <v>0</v>
      </c>
      <c r="I159">
        <v>150</v>
      </c>
      <c r="J159">
        <v>0</v>
      </c>
      <c r="K159">
        <v>0</v>
      </c>
      <c r="L159" t="inlineStr">
        <is>
          <t>차량 적 · 원본 전투/성장/코인 시스템</t>
        </is>
      </c>
      <c r="M159" t="inlineStr">
        <is>
          <t>Normal</t>
        </is>
      </c>
      <c r="N159">
        <v>0</v>
      </c>
      <c r="O159">
        <f>'밸런스 조정'!C154*'밸런스 조정'!C155*'밸런스 조정'!C149*(1+('몬스터 성장'!G6/'몬스터 성장'!F6-1)*(U159/'밸런스 조정'!C119)^'몬스터 성장'!H6)</f>
        <v>801.699765943</v>
      </c>
      <c r="P159">
        <v>0</v>
      </c>
      <c r="Q159">
        <v>0</v>
      </c>
      <c r="R159">
        <v>124</v>
      </c>
      <c r="S159" t="inlineStr">
        <is>
          <t>Tanker</t>
        </is>
      </c>
      <c r="T159" t="inlineStr">
        <is>
          <t>Jam</t>
        </is>
      </c>
      <c r="U159">
        <v>628</v>
      </c>
      <c r="V159">
        <v>1</v>
      </c>
      <c r="W159">
        <v>448.3</v>
      </c>
      <c r="X159">
        <v>2</v>
      </c>
      <c r="Y159">
        <v>0</v>
      </c>
    </row>
    <row r="160">
      <c r="B160">
        <v>168</v>
      </c>
      <c r="C160" t="inlineStr">
        <is>
          <t>HighWay</t>
        </is>
      </c>
      <c r="D160" t="inlineStr">
        <is>
          <t>HWY3_034_Taxi</t>
        </is>
      </c>
      <c r="E160">
        <v>1</v>
      </c>
      <c r="F160" t="inlineStr">
        <is>
          <t>공격 반복</t>
        </is>
      </c>
      <c r="G160">
        <v>0</v>
      </c>
      <c r="H160">
        <v>0</v>
      </c>
      <c r="I160">
        <v>150</v>
      </c>
      <c r="J160">
        <v>0</v>
      </c>
      <c r="K160">
        <v>0</v>
      </c>
      <c r="L160" t="inlineStr">
        <is>
          <t>차량 적 · 원본 전투/성장/코인 시스템</t>
        </is>
      </c>
      <c r="M160" t="inlineStr">
        <is>
          <t>Normal</t>
        </is>
      </c>
      <c r="N160">
        <v>0</v>
      </c>
      <c r="O160">
        <f>'밸런스 조정'!C154*'밸런스 조정'!C155*'밸런스 조정'!C146*(1+('몬스터 성장'!G6/'몬스터 성장'!F6-1)*(U160/'밸런스 조정'!C119)^'몬스터 성장'!H6)</f>
        <v>400.849882972</v>
      </c>
      <c r="P160">
        <v>0</v>
      </c>
      <c r="Q160">
        <v>0</v>
      </c>
      <c r="R160">
        <v>62</v>
      </c>
      <c r="S160" t="inlineStr">
        <is>
          <t>Taxi</t>
        </is>
      </c>
      <c r="T160" t="inlineStr">
        <is>
          <t>Jam</t>
        </is>
      </c>
      <c r="U160">
        <v>628</v>
      </c>
      <c r="V160">
        <v>2</v>
      </c>
      <c r="W160">
        <v>448.3</v>
      </c>
      <c r="X160">
        <v>2</v>
      </c>
      <c r="Y160">
        <v>0</v>
      </c>
    </row>
    <row r="161">
      <c r="B161">
        <v>169</v>
      </c>
      <c r="C161" t="inlineStr">
        <is>
          <t>HighWay</t>
        </is>
      </c>
      <c r="D161" t="inlineStr">
        <is>
          <t>HWY3_035_OneTon</t>
        </is>
      </c>
      <c r="E161">
        <v>1</v>
      </c>
      <c r="F161" t="inlineStr">
        <is>
          <t>공격 반복</t>
        </is>
      </c>
      <c r="G161">
        <v>0</v>
      </c>
      <c r="H161">
        <v>0</v>
      </c>
      <c r="I161">
        <v>150</v>
      </c>
      <c r="J161">
        <v>0</v>
      </c>
      <c r="K161">
        <v>0</v>
      </c>
      <c r="L161" t="inlineStr">
        <is>
          <t>차량 적 · 원본 전투/성장/코인 시스템</t>
        </is>
      </c>
      <c r="M161" t="inlineStr">
        <is>
          <t>Normal</t>
        </is>
      </c>
      <c r="N161">
        <v>0</v>
      </c>
      <c r="O161">
        <f>'밸런스 조정'!C154*'밸런스 조정'!C155*'밸런스 조정'!C147*(1+('몬스터 성장'!G6/'몬스터 성장'!F6-1)*(U161/'밸런스 조정'!C119)^'몬스터 성장'!H6)</f>
        <v>533.021647863</v>
      </c>
      <c r="P161">
        <v>0</v>
      </c>
      <c r="Q161">
        <v>0</v>
      </c>
      <c r="R161">
        <v>62</v>
      </c>
      <c r="S161" t="inlineStr">
        <is>
          <t>OneTon</t>
        </is>
      </c>
      <c r="T161" t="inlineStr">
        <is>
          <t>Jam</t>
        </is>
      </c>
      <c r="U161">
        <v>646</v>
      </c>
      <c r="V161">
        <v>1</v>
      </c>
      <c r="W161">
        <v>448.3</v>
      </c>
      <c r="X161">
        <v>2</v>
      </c>
      <c r="Y161">
        <v>0</v>
      </c>
    </row>
    <row r="162">
      <c r="B162">
        <v>170</v>
      </c>
      <c r="C162" t="inlineStr">
        <is>
          <t>HighWay</t>
        </is>
      </c>
      <c r="D162" t="inlineStr">
        <is>
          <t>HWY3_036_Box</t>
        </is>
      </c>
      <c r="E162">
        <v>1</v>
      </c>
      <c r="F162" t="inlineStr">
        <is>
          <t>공격 반복</t>
        </is>
      </c>
      <c r="G162">
        <v>0</v>
      </c>
      <c r="H162">
        <v>0</v>
      </c>
      <c r="I162">
        <v>150</v>
      </c>
      <c r="J162">
        <v>0</v>
      </c>
      <c r="K162">
        <v>0</v>
      </c>
      <c r="L162" t="inlineStr">
        <is>
          <t>차량 적 · 원본 전투/성장/코인 시스템</t>
        </is>
      </c>
      <c r="M162" t="inlineStr">
        <is>
          <t>Normal</t>
        </is>
      </c>
      <c r="N162">
        <v>0</v>
      </c>
      <c r="O162">
        <f>'밸런스 조정'!C154*'밸런스 조정'!C155*'밸런스 조정'!C148*(1+('몬스터 성장'!G6/'몬스터 성장'!F6-1)*(U162/'밸런스 조정'!C119)^'몬스터 성장'!H6)</f>
        <v>656.026643524</v>
      </c>
      <c r="P162">
        <v>0</v>
      </c>
      <c r="Q162">
        <v>0</v>
      </c>
      <c r="R162">
        <v>62</v>
      </c>
      <c r="S162" t="inlineStr">
        <is>
          <t>Box</t>
        </is>
      </c>
      <c r="T162" t="inlineStr">
        <is>
          <t>Jam</t>
        </is>
      </c>
      <c r="U162">
        <v>646</v>
      </c>
      <c r="V162">
        <v>2</v>
      </c>
      <c r="W162">
        <v>448.3</v>
      </c>
      <c r="X162">
        <v>2</v>
      </c>
      <c r="Y162">
        <v>0</v>
      </c>
    </row>
    <row r="163">
      <c r="B163">
        <v>171</v>
      </c>
      <c r="C163" t="inlineStr">
        <is>
          <t>HighWay</t>
        </is>
      </c>
      <c r="D163" t="inlineStr">
        <is>
          <t>HWY3_037_Accident</t>
        </is>
      </c>
      <c r="E163">
        <v>1</v>
      </c>
      <c r="F163" t="inlineStr">
        <is>
          <t>공격 반복</t>
        </is>
      </c>
      <c r="G163">
        <v>0</v>
      </c>
      <c r="H163">
        <v>0</v>
      </c>
      <c r="I163">
        <v>150</v>
      </c>
      <c r="J163">
        <v>0</v>
      </c>
      <c r="K163">
        <v>0</v>
      </c>
      <c r="L163" t="inlineStr">
        <is>
          <t>차량 적 · 원본 전투/성장/코인 시스템</t>
        </is>
      </c>
      <c r="M163" t="inlineStr">
        <is>
          <t>Normal</t>
        </is>
      </c>
      <c r="N163">
        <v>0</v>
      </c>
      <c r="O163">
        <f>'밸런스 조정'!C154*'밸런스 조정'!C155*'밸런스 조정'!C153*(1+('몬스터 성장'!G6/'몬스터 성장'!F6-1)*(U163/'밸런스 조정'!C119)^'몬스터 성장'!H6)</f>
        <v>1500.43786982</v>
      </c>
      <c r="P163">
        <v>0</v>
      </c>
      <c r="Q163">
        <v>0</v>
      </c>
      <c r="R163">
        <v>62</v>
      </c>
      <c r="S163" t="inlineStr">
        <is>
          <t>Accident</t>
        </is>
      </c>
      <c r="T163" t="inlineStr">
        <is>
          <t>Jam</t>
        </is>
      </c>
      <c r="U163">
        <v>945</v>
      </c>
      <c r="V163">
        <v>1.5</v>
      </c>
      <c r="W163">
        <v>783.3</v>
      </c>
      <c r="X163">
        <v>3</v>
      </c>
      <c r="Y163">
        <v>1</v>
      </c>
    </row>
    <row r="164">
      <c r="B164">
        <v>172</v>
      </c>
      <c r="C164" t="inlineStr">
        <is>
          <t>HighWay</t>
        </is>
      </c>
      <c r="D164" t="inlineStr">
        <is>
          <t>HWY3_038_Taxi</t>
        </is>
      </c>
      <c r="E164">
        <v>1</v>
      </c>
      <c r="F164" t="inlineStr">
        <is>
          <t>공격 반복</t>
        </is>
      </c>
      <c r="G164">
        <v>0</v>
      </c>
      <c r="H164">
        <v>0</v>
      </c>
      <c r="I164">
        <v>150</v>
      </c>
      <c r="J164">
        <v>0</v>
      </c>
      <c r="K164">
        <v>0</v>
      </c>
      <c r="L164" t="inlineStr">
        <is>
          <t>차량 적 · 원본 전투/성장/코인 시스템</t>
        </is>
      </c>
      <c r="M164" t="inlineStr">
        <is>
          <t>Normal</t>
        </is>
      </c>
      <c r="N164">
        <v>0</v>
      </c>
      <c r="O164">
        <f>'밸런스 조정'!C154*'밸런스 조정'!C155*'밸런스 조정'!C146*(1+('몬스터 성장'!G6/'몬스터 성장'!F6-1)*(U164/'밸런스 조정'!C119)^'몬스터 성장'!H6)</f>
        <v>600.931050625</v>
      </c>
      <c r="P164">
        <v>0</v>
      </c>
      <c r="Q164">
        <v>0</v>
      </c>
      <c r="R164">
        <v>62</v>
      </c>
      <c r="S164" t="inlineStr">
        <is>
          <t>Taxi</t>
        </is>
      </c>
      <c r="T164" t="inlineStr">
        <is>
          <t>Jam</t>
        </is>
      </c>
      <c r="U164">
        <v>946</v>
      </c>
      <c r="V164">
        <v>0</v>
      </c>
      <c r="W164">
        <v>783.3</v>
      </c>
      <c r="X164">
        <v>3</v>
      </c>
      <c r="Y164">
        <v>1</v>
      </c>
    </row>
    <row r="165">
      <c r="B165">
        <v>173</v>
      </c>
      <c r="C165" t="inlineStr">
        <is>
          <t>HighWay</t>
        </is>
      </c>
      <c r="D165" t="inlineStr">
        <is>
          <t>HWY3_039_Tanker</t>
        </is>
      </c>
      <c r="E165">
        <v>1</v>
      </c>
      <c r="F165" t="inlineStr">
        <is>
          <t>공격 반복</t>
        </is>
      </c>
      <c r="G165">
        <v>0</v>
      </c>
      <c r="H165">
        <v>0</v>
      </c>
      <c r="I165">
        <v>150</v>
      </c>
      <c r="J165">
        <v>0</v>
      </c>
      <c r="K165">
        <v>0</v>
      </c>
      <c r="L165" t="inlineStr">
        <is>
          <t>차량 적 · 원본 전투/성장/코인 시스템</t>
        </is>
      </c>
      <c r="M165" t="inlineStr">
        <is>
          <t>Normal</t>
        </is>
      </c>
      <c r="N165">
        <v>0</v>
      </c>
      <c r="O165">
        <f>'밸런스 조정'!C154*'밸런스 조정'!C155*'밸런스 조정'!C149*(1+('몬스터 성장'!G6/'몬스터 성장'!F6-1)*(U165/'밸런스 조정'!C119)^'몬스터 성장'!H6)</f>
        <v>1227.80743195</v>
      </c>
      <c r="P165">
        <v>0</v>
      </c>
      <c r="Q165">
        <v>0</v>
      </c>
      <c r="R165">
        <v>124</v>
      </c>
      <c r="S165" t="inlineStr">
        <is>
          <t>Tanker</t>
        </is>
      </c>
      <c r="T165" t="inlineStr">
        <is>
          <t>Jam</t>
        </is>
      </c>
      <c r="U165">
        <v>963</v>
      </c>
      <c r="V165">
        <v>1</v>
      </c>
      <c r="W165">
        <v>783.3</v>
      </c>
      <c r="X165">
        <v>3</v>
      </c>
      <c r="Y165">
        <v>0</v>
      </c>
    </row>
    <row r="166">
      <c r="B166">
        <v>174</v>
      </c>
      <c r="C166" t="inlineStr">
        <is>
          <t>HighWay</t>
        </is>
      </c>
      <c r="D166" t="inlineStr">
        <is>
          <t>HWY3_040_Taxi</t>
        </is>
      </c>
      <c r="E166">
        <v>1</v>
      </c>
      <c r="F166" t="inlineStr">
        <is>
          <t>공격 반복</t>
        </is>
      </c>
      <c r="G166">
        <v>0</v>
      </c>
      <c r="H166">
        <v>0</v>
      </c>
      <c r="I166">
        <v>150</v>
      </c>
      <c r="J166">
        <v>0</v>
      </c>
      <c r="K166">
        <v>0</v>
      </c>
      <c r="L166" t="inlineStr">
        <is>
          <t>차량 적 · 원본 전투/성장/코인 시스템</t>
        </is>
      </c>
      <c r="M166" t="inlineStr">
        <is>
          <t>Normal</t>
        </is>
      </c>
      <c r="N166">
        <v>0</v>
      </c>
      <c r="O166">
        <f>'밸런스 조정'!C154*'밸런스 조정'!C155*'밸런스 조정'!C146*(1+('몬스터 성장'!G6/'몬스터 성장'!F6-1)*(U166/'밸런스 조정'!C119)^'몬스터 성장'!H6)</f>
        <v>613.903715976</v>
      </c>
      <c r="P166">
        <v>0</v>
      </c>
      <c r="Q166">
        <v>0</v>
      </c>
      <c r="R166">
        <v>62</v>
      </c>
      <c r="S166" t="inlineStr">
        <is>
          <t>Taxi</t>
        </is>
      </c>
      <c r="T166" t="inlineStr">
        <is>
          <t>Jam</t>
        </is>
      </c>
      <c r="U166">
        <v>963</v>
      </c>
      <c r="V166">
        <v>2</v>
      </c>
      <c r="W166">
        <v>783.3</v>
      </c>
      <c r="X166">
        <v>3</v>
      </c>
      <c r="Y166">
        <v>0</v>
      </c>
    </row>
    <row r="167">
      <c r="B167">
        <v>175</v>
      </c>
      <c r="C167" t="inlineStr">
        <is>
          <t>HighWay</t>
        </is>
      </c>
      <c r="D167" t="inlineStr">
        <is>
          <t>HWY3_041_OneTon</t>
        </is>
      </c>
      <c r="E167">
        <v>1</v>
      </c>
      <c r="F167" t="inlineStr">
        <is>
          <t>공격 반복</t>
        </is>
      </c>
      <c r="G167">
        <v>0</v>
      </c>
      <c r="H167">
        <v>0</v>
      </c>
      <c r="I167">
        <v>150</v>
      </c>
      <c r="J167">
        <v>0</v>
      </c>
      <c r="K167">
        <v>0</v>
      </c>
      <c r="L167" t="inlineStr">
        <is>
          <t>차량 적 · 원본 전투/성장/코인 시스템</t>
        </is>
      </c>
      <c r="M167" t="inlineStr">
        <is>
          <t>Normal</t>
        </is>
      </c>
      <c r="N167">
        <v>0</v>
      </c>
      <c r="O167">
        <f>'밸런스 조정'!C154*'밸런스 조정'!C155*'밸런스 조정'!C147*(1+('몬스터 성장'!G6/'몬스터 성장'!F6-1)*(U167/'밸런스 조정'!C119)^'몬스터 성장'!H6)</f>
        <v>816.258707692</v>
      </c>
      <c r="P167">
        <v>0</v>
      </c>
      <c r="Q167">
        <v>0</v>
      </c>
      <c r="R167">
        <v>62</v>
      </c>
      <c r="S167" t="inlineStr">
        <is>
          <t>OneTon</t>
        </is>
      </c>
      <c r="T167" t="inlineStr">
        <is>
          <t>Jam</t>
        </is>
      </c>
      <c r="U167">
        <v>981</v>
      </c>
      <c r="V167">
        <v>1</v>
      </c>
      <c r="W167">
        <v>783.3</v>
      </c>
      <c r="X167">
        <v>3</v>
      </c>
      <c r="Y167">
        <v>0</v>
      </c>
    </row>
    <row r="168">
      <c r="B168">
        <v>176</v>
      </c>
      <c r="C168" t="inlineStr">
        <is>
          <t>HighWay</t>
        </is>
      </c>
      <c r="D168" t="inlineStr">
        <is>
          <t>HWY3_042_Box</t>
        </is>
      </c>
      <c r="E168">
        <v>1</v>
      </c>
      <c r="F168" t="inlineStr">
        <is>
          <t>공격 반복</t>
        </is>
      </c>
      <c r="G168">
        <v>0</v>
      </c>
      <c r="H168">
        <v>0</v>
      </c>
      <c r="I168">
        <v>150</v>
      </c>
      <c r="J168">
        <v>0</v>
      </c>
      <c r="K168">
        <v>0</v>
      </c>
      <c r="L168" t="inlineStr">
        <is>
          <t>차량 적 · 원본 전투/성장/코인 시스템</t>
        </is>
      </c>
      <c r="M168" t="inlineStr">
        <is>
          <t>Normal</t>
        </is>
      </c>
      <c r="N168">
        <v>0</v>
      </c>
      <c r="O168">
        <f>'밸런스 조정'!C154*'밸런스 조정'!C155*'밸런스 조정'!C148*(1+('몬스터 성장'!G6/'몬스터 성장'!F6-1)*(U168/'밸런스 조정'!C119)^'몬스터 성장'!H6)</f>
        <v>1004.62610178</v>
      </c>
      <c r="P168">
        <v>0</v>
      </c>
      <c r="Q168">
        <v>0</v>
      </c>
      <c r="R168">
        <v>62</v>
      </c>
      <c r="S168" t="inlineStr">
        <is>
          <t>Box</t>
        </is>
      </c>
      <c r="T168" t="inlineStr">
        <is>
          <t>Jam</t>
        </is>
      </c>
      <c r="U168">
        <v>981</v>
      </c>
      <c r="V168">
        <v>2</v>
      </c>
      <c r="W168">
        <v>783.3</v>
      </c>
      <c r="X168">
        <v>3</v>
      </c>
      <c r="Y168">
        <v>0</v>
      </c>
    </row>
    <row r="169">
      <c r="B169">
        <v>177</v>
      </c>
      <c r="C169" t="inlineStr">
        <is>
          <t>HighWay</t>
        </is>
      </c>
      <c r="D169" t="inlineStr">
        <is>
          <t>HWY3_043_Accident</t>
        </is>
      </c>
      <c r="E169">
        <v>1</v>
      </c>
      <c r="F169" t="inlineStr">
        <is>
          <t>공격 반복</t>
        </is>
      </c>
      <c r="G169">
        <v>0</v>
      </c>
      <c r="H169">
        <v>0</v>
      </c>
      <c r="I169">
        <v>150</v>
      </c>
      <c r="J169">
        <v>0</v>
      </c>
      <c r="K169">
        <v>0</v>
      </c>
      <c r="L169" t="inlineStr">
        <is>
          <t>차량 적 · 원본 전투/성장/코인 시스템</t>
        </is>
      </c>
      <c r="M169" t="inlineStr">
        <is>
          <t>Normal</t>
        </is>
      </c>
      <c r="N169">
        <v>0</v>
      </c>
      <c r="O169">
        <f>'밸런스 조정'!C154*'밸런스 조정'!C155*'밸런스 조정'!C153*(1+('몬스터 성장'!G6/'몬스터 성장'!F6-1)*(U169/'밸런스 조정'!C119)^'몬스터 성장'!H6)</f>
        <v>2164.48</v>
      </c>
      <c r="P169">
        <v>0</v>
      </c>
      <c r="Q169">
        <v>0</v>
      </c>
      <c r="R169">
        <v>62</v>
      </c>
      <c r="S169" t="inlineStr">
        <is>
          <t>Accident</t>
        </is>
      </c>
      <c r="T169" t="inlineStr">
        <is>
          <t>Common</t>
        </is>
      </c>
      <c r="U169">
        <v>1248</v>
      </c>
      <c r="V169">
        <v>1.5</v>
      </c>
      <c r="W169">
        <v>1086.3</v>
      </c>
      <c r="X169">
        <v>4</v>
      </c>
      <c r="Y169">
        <v>1</v>
      </c>
    </row>
    <row r="170">
      <c r="B170">
        <v>178</v>
      </c>
      <c r="C170" t="inlineStr">
        <is>
          <t>HighWay</t>
        </is>
      </c>
      <c r="D170" t="inlineStr">
        <is>
          <t>HWY3_044_Taxi</t>
        </is>
      </c>
      <c r="E170">
        <v>1</v>
      </c>
      <c r="F170" t="inlineStr">
        <is>
          <t>공격 반복</t>
        </is>
      </c>
      <c r="G170">
        <v>0</v>
      </c>
      <c r="H170">
        <v>0</v>
      </c>
      <c r="I170">
        <v>150</v>
      </c>
      <c r="J170">
        <v>0</v>
      </c>
      <c r="K170">
        <v>0</v>
      </c>
      <c r="L170" t="inlineStr">
        <is>
          <t>차량 적 · 원본 전투/성장/코인 시스템</t>
        </is>
      </c>
      <c r="M170" t="inlineStr">
        <is>
          <t>Normal</t>
        </is>
      </c>
      <c r="N170">
        <v>0</v>
      </c>
      <c r="O170">
        <f>'밸런스 조정'!C154*'밸런스 조정'!C155*'밸런스 조정'!C146*(1+('몬스터 성장'!G6/'몬스터 성장'!F6-1)*(U170/'밸런스 조정'!C119)^'몬스터 성장'!H6)</f>
        <v>866.790143327</v>
      </c>
      <c r="P170">
        <v>0</v>
      </c>
      <c r="Q170">
        <v>0</v>
      </c>
      <c r="R170">
        <v>62</v>
      </c>
      <c r="S170" t="inlineStr">
        <is>
          <t>Taxi</t>
        </is>
      </c>
      <c r="T170" t="inlineStr">
        <is>
          <t>Common</t>
        </is>
      </c>
      <c r="U170">
        <v>1249</v>
      </c>
      <c r="V170">
        <v>0</v>
      </c>
      <c r="W170">
        <v>1086.3</v>
      </c>
      <c r="X170">
        <v>4</v>
      </c>
      <c r="Y170">
        <v>1</v>
      </c>
    </row>
    <row r="171">
      <c r="B171">
        <v>179</v>
      </c>
      <c r="C171" t="inlineStr">
        <is>
          <t>HighWay</t>
        </is>
      </c>
      <c r="D171" t="inlineStr">
        <is>
          <t>HWY3_045_Tanker</t>
        </is>
      </c>
      <c r="E171">
        <v>1</v>
      </c>
      <c r="F171" t="inlineStr">
        <is>
          <t>공격 반복</t>
        </is>
      </c>
      <c r="G171">
        <v>0</v>
      </c>
      <c r="H171">
        <v>0</v>
      </c>
      <c r="I171">
        <v>150</v>
      </c>
      <c r="J171">
        <v>0</v>
      </c>
      <c r="K171">
        <v>0</v>
      </c>
      <c r="L171" t="inlineStr">
        <is>
          <t>차량 적 · 원본 전투/성장/코인 시스템</t>
        </is>
      </c>
      <c r="M171" t="inlineStr">
        <is>
          <t>Normal</t>
        </is>
      </c>
      <c r="N171">
        <v>0</v>
      </c>
      <c r="O171">
        <f>'밸런스 조정'!C154*'밸런스 조정'!C155*'밸런스 조정'!C149*(1+('몬스터 성장'!G6/'몬스터 성장'!F6-1)*(U171/'밸런스 조정'!C119)^'몬스터 성장'!H6)</f>
        <v>1767.76179882</v>
      </c>
      <c r="P171">
        <v>0</v>
      </c>
      <c r="Q171">
        <v>0</v>
      </c>
      <c r="R171">
        <v>124</v>
      </c>
      <c r="S171" t="inlineStr">
        <is>
          <t>Tanker</t>
        </is>
      </c>
      <c r="T171" t="inlineStr">
        <is>
          <t>Common</t>
        </is>
      </c>
      <c r="U171">
        <v>1266</v>
      </c>
      <c r="V171">
        <v>1</v>
      </c>
      <c r="W171">
        <v>1086.3</v>
      </c>
      <c r="X171">
        <v>4</v>
      </c>
      <c r="Y171">
        <v>0</v>
      </c>
    </row>
    <row r="172">
      <c r="B172">
        <v>180</v>
      </c>
      <c r="C172" t="inlineStr">
        <is>
          <t>HighWay</t>
        </is>
      </c>
      <c r="D172" t="inlineStr">
        <is>
          <t>HWY3_046_Taxi</t>
        </is>
      </c>
      <c r="E172">
        <v>1</v>
      </c>
      <c r="F172" t="inlineStr">
        <is>
          <t>공격 반복</t>
        </is>
      </c>
      <c r="G172">
        <v>0</v>
      </c>
      <c r="H172">
        <v>0</v>
      </c>
      <c r="I172">
        <v>150</v>
      </c>
      <c r="J172">
        <v>0</v>
      </c>
      <c r="K172">
        <v>0</v>
      </c>
      <c r="L172" t="inlineStr">
        <is>
          <t>차량 적 · 원본 전투/성장/코인 시스템</t>
        </is>
      </c>
      <c r="M172" t="inlineStr">
        <is>
          <t>Normal</t>
        </is>
      </c>
      <c r="N172">
        <v>0</v>
      </c>
      <c r="O172">
        <f>'밸런스 조정'!C154*'밸런스 조정'!C155*'밸런스 조정'!C146*(1+('몬스터 성장'!G6/'몬스터 성장'!F6-1)*(U172/'밸런스 조정'!C119)^'몬스터 성장'!H6)</f>
        <v>883.880899408</v>
      </c>
      <c r="P172">
        <v>0</v>
      </c>
      <c r="Q172">
        <v>0</v>
      </c>
      <c r="R172">
        <v>62</v>
      </c>
      <c r="S172" t="inlineStr">
        <is>
          <t>Taxi</t>
        </is>
      </c>
      <c r="T172" t="inlineStr">
        <is>
          <t>Common</t>
        </is>
      </c>
      <c r="U172">
        <v>1266</v>
      </c>
      <c r="V172">
        <v>2</v>
      </c>
      <c r="W172">
        <v>1086.3</v>
      </c>
      <c r="X172">
        <v>4</v>
      </c>
      <c r="Y172">
        <v>0</v>
      </c>
    </row>
    <row r="173">
      <c r="B173">
        <v>181</v>
      </c>
      <c r="C173" t="inlineStr">
        <is>
          <t>HighWay</t>
        </is>
      </c>
      <c r="D173" t="inlineStr">
        <is>
          <t>HWY3_047_OneTon</t>
        </is>
      </c>
      <c r="E173">
        <v>1</v>
      </c>
      <c r="F173" t="inlineStr">
        <is>
          <t>공격 반복</t>
        </is>
      </c>
      <c r="G173">
        <v>0</v>
      </c>
      <c r="H173">
        <v>0</v>
      </c>
      <c r="I173">
        <v>150</v>
      </c>
      <c r="J173">
        <v>0</v>
      </c>
      <c r="K173">
        <v>0</v>
      </c>
      <c r="L173" t="inlineStr">
        <is>
          <t>차량 적 · 원본 전투/성장/코인 시스템</t>
        </is>
      </c>
      <c r="M173" t="inlineStr">
        <is>
          <t>Normal</t>
        </is>
      </c>
      <c r="N173">
        <v>0</v>
      </c>
      <c r="O173">
        <f>'밸런스 조정'!C154*'밸런스 조정'!C155*'밸런스 조정'!C147*(1+('몬스터 성장'!G6/'몬스터 성장'!F6-1)*(U173/'밸런스 조정'!C119)^'몬스터 성장'!H6)</f>
        <v>1172.89747692</v>
      </c>
      <c r="P173">
        <v>0</v>
      </c>
      <c r="Q173">
        <v>0</v>
      </c>
      <c r="R173">
        <v>62</v>
      </c>
      <c r="S173" t="inlineStr">
        <is>
          <t>OneTon</t>
        </is>
      </c>
      <c r="T173" t="inlineStr">
        <is>
          <t>Common</t>
        </is>
      </c>
      <c r="U173">
        <v>1284</v>
      </c>
      <c r="V173">
        <v>1</v>
      </c>
      <c r="W173">
        <v>1086.3</v>
      </c>
      <c r="X173">
        <v>4</v>
      </c>
      <c r="Y173">
        <v>0</v>
      </c>
    </row>
    <row r="174">
      <c r="B174">
        <v>182</v>
      </c>
      <c r="C174" t="inlineStr">
        <is>
          <t>HighWay</t>
        </is>
      </c>
      <c r="D174" t="inlineStr">
        <is>
          <t>HWY3_048_Box</t>
        </is>
      </c>
      <c r="E174">
        <v>1</v>
      </c>
      <c r="F174" t="inlineStr">
        <is>
          <t>공격 반복</t>
        </is>
      </c>
      <c r="G174">
        <v>0</v>
      </c>
      <c r="H174">
        <v>0</v>
      </c>
      <c r="I174">
        <v>150</v>
      </c>
      <c r="J174">
        <v>0</v>
      </c>
      <c r="K174">
        <v>0</v>
      </c>
      <c r="L174" t="inlineStr">
        <is>
          <t>차량 적 · 원본 전투/성장/코인 시스템</t>
        </is>
      </c>
      <c r="M174" t="inlineStr">
        <is>
          <t>Normal</t>
        </is>
      </c>
      <c r="N174">
        <v>0</v>
      </c>
      <c r="O174">
        <f>'밸런스 조정'!C154*'밸런스 조정'!C155*'밸런스 조정'!C148*(1+('몬스터 성장'!G6/'몬스터 성장'!F6-1)*(U174/'밸런스 조정'!C119)^'몬스터 성장'!H6)</f>
        <v>1443.56612544</v>
      </c>
      <c r="P174">
        <v>0</v>
      </c>
      <c r="Q174">
        <v>0</v>
      </c>
      <c r="R174">
        <v>62</v>
      </c>
      <c r="S174" t="inlineStr">
        <is>
          <t>Box</t>
        </is>
      </c>
      <c r="T174" t="inlineStr">
        <is>
          <t>Common</t>
        </is>
      </c>
      <c r="U174">
        <v>1284</v>
      </c>
      <c r="V174">
        <v>2</v>
      </c>
      <c r="W174">
        <v>1086.3</v>
      </c>
      <c r="X174">
        <v>4</v>
      </c>
      <c r="Y174">
        <v>0</v>
      </c>
    </row>
    <row r="175">
      <c r="B175">
        <v>183</v>
      </c>
      <c r="C175" t="inlineStr">
        <is>
          <t>HighWay</t>
        </is>
      </c>
      <c r="D175" t="inlineStr">
        <is>
          <t>HWY3_049_Sedan</t>
        </is>
      </c>
      <c r="E175">
        <v>1</v>
      </c>
      <c r="F175" t="inlineStr">
        <is>
          <t>공격 반복</t>
        </is>
      </c>
      <c r="G175">
        <v>3</v>
      </c>
      <c r="H175">
        <v>0</v>
      </c>
      <c r="I175">
        <v>150</v>
      </c>
      <c r="J175">
        <v>0</v>
      </c>
      <c r="K175">
        <v>0</v>
      </c>
      <c r="L175" t="inlineStr">
        <is>
          <t>차량 적 · 원본 전투/성장/코인 시스템</t>
        </is>
      </c>
      <c r="M175" t="inlineStr">
        <is>
          <t>Normal</t>
        </is>
      </c>
      <c r="N175">
        <v>0</v>
      </c>
      <c r="O175">
        <f>'밸런스 조정'!C154*'밸런스 조정'!C292*'밸런스 조정'!C145*(1+('몬스터 성장'!G6/'몬스터 성장'!F6-1)*(U175/'밸런스 조정'!C119)^'몬스터 성장'!H6)</f>
        <v>163.904</v>
      </c>
      <c r="P175">
        <v>0</v>
      </c>
      <c r="Q175">
        <v>0</v>
      </c>
      <c r="R175">
        <v>62</v>
      </c>
      <c r="S175" t="inlineStr">
        <is>
          <t>Sedan</t>
        </is>
      </c>
      <c r="T175" t="inlineStr">
        <is>
          <t>Jam</t>
        </is>
      </c>
      <c r="U175">
        <v>604.5</v>
      </c>
      <c r="V175">
        <v>0</v>
      </c>
      <c r="W175">
        <v>506.3</v>
      </c>
      <c r="X175">
        <v>109</v>
      </c>
      <c r="Y175">
        <v>0</v>
      </c>
    </row>
    <row r="176">
      <c r="B176">
        <v>184</v>
      </c>
      <c r="C176" t="inlineStr">
        <is>
          <t>HighWay</t>
        </is>
      </c>
      <c r="D176" t="inlineStr">
        <is>
          <t>HWY3_050_Box</t>
        </is>
      </c>
      <c r="E176">
        <v>1</v>
      </c>
      <c r="F176" t="inlineStr">
        <is>
          <t>공격 반복</t>
        </is>
      </c>
      <c r="G176">
        <v>3</v>
      </c>
      <c r="H176">
        <v>0</v>
      </c>
      <c r="I176">
        <v>150</v>
      </c>
      <c r="J176">
        <v>0</v>
      </c>
      <c r="K176">
        <v>0</v>
      </c>
      <c r="L176" t="inlineStr">
        <is>
          <t>차량 적 · 원본 전투/성장/코인 시스템</t>
        </is>
      </c>
      <c r="M176" t="inlineStr">
        <is>
          <t>Normal</t>
        </is>
      </c>
      <c r="N176">
        <v>0</v>
      </c>
      <c r="O176">
        <f>'밸런스 조정'!C154*'밸런스 조정'!C292*'밸런스 조정'!C148*(1+('몬스터 성장'!G6/'몬스터 성장'!F6-1)*(U176/'밸런스 조정'!C119)^'몬스터 성장'!H6)</f>
        <v>262.2464</v>
      </c>
      <c r="P176">
        <v>0</v>
      </c>
      <c r="Q176">
        <v>0</v>
      </c>
      <c r="R176">
        <v>62</v>
      </c>
      <c r="S176" t="inlineStr">
        <is>
          <t>Box</t>
        </is>
      </c>
      <c r="T176" t="inlineStr">
        <is>
          <t>Jam</t>
        </is>
      </c>
      <c r="U176">
        <v>604.5</v>
      </c>
      <c r="V176">
        <v>1</v>
      </c>
      <c r="W176">
        <v>506.3</v>
      </c>
      <c r="X176">
        <v>109</v>
      </c>
      <c r="Y176">
        <v>0</v>
      </c>
    </row>
    <row r="177">
      <c r="B177">
        <v>185</v>
      </c>
      <c r="C177" t="inlineStr">
        <is>
          <t>HighWay</t>
        </is>
      </c>
      <c r="D177" t="inlineStr">
        <is>
          <t>HWY3_051_Tanker</t>
        </is>
      </c>
      <c r="E177">
        <v>1</v>
      </c>
      <c r="F177" t="inlineStr">
        <is>
          <t>공격 반복</t>
        </is>
      </c>
      <c r="G177">
        <v>3</v>
      </c>
      <c r="H177">
        <v>0</v>
      </c>
      <c r="I177">
        <v>150</v>
      </c>
      <c r="J177">
        <v>0</v>
      </c>
      <c r="K177">
        <v>0</v>
      </c>
      <c r="L177" t="inlineStr">
        <is>
          <t>차량 적 · 원본 전투/성장/코인 시스템</t>
        </is>
      </c>
      <c r="M177" t="inlineStr">
        <is>
          <t>Normal</t>
        </is>
      </c>
      <c r="N177">
        <v>0</v>
      </c>
      <c r="O177">
        <f>'밸런스 조정'!C154*'밸런스 조정'!C292*'밸런스 조정'!C149*(1+('몬스터 성장'!G6/'몬스터 성장'!F6-1)*(U177/'밸런스 조정'!C119)^'몬스터 성장'!H6)</f>
        <v>327.808</v>
      </c>
      <c r="P177">
        <v>0</v>
      </c>
      <c r="Q177">
        <v>0</v>
      </c>
      <c r="R177">
        <v>124</v>
      </c>
      <c r="S177" t="inlineStr">
        <is>
          <t>Tanker</t>
        </is>
      </c>
      <c r="T177" t="inlineStr">
        <is>
          <t>Jam</t>
        </is>
      </c>
      <c r="U177">
        <v>604.5</v>
      </c>
      <c r="V177">
        <v>2</v>
      </c>
      <c r="W177">
        <v>506.3</v>
      </c>
      <c r="X177">
        <v>109</v>
      </c>
      <c r="Y177">
        <v>0</v>
      </c>
    </row>
    <row r="178">
      <c r="B178">
        <v>186</v>
      </c>
      <c r="C178" t="inlineStr">
        <is>
          <t>HighWay</t>
        </is>
      </c>
      <c r="D178" t="inlineStr">
        <is>
          <t>HWY3_052_Taxi</t>
        </is>
      </c>
      <c r="E178">
        <v>1</v>
      </c>
      <c r="F178" t="inlineStr">
        <is>
          <t>공격 반복</t>
        </is>
      </c>
      <c r="G178">
        <v>4</v>
      </c>
      <c r="H178">
        <v>0</v>
      </c>
      <c r="I178">
        <v>150</v>
      </c>
      <c r="J178">
        <v>0</v>
      </c>
      <c r="K178">
        <v>0</v>
      </c>
      <c r="L178" t="inlineStr">
        <is>
          <t>차량 적 · 원본 전투/성장/코인 시스템</t>
        </is>
      </c>
      <c r="M178" t="inlineStr">
        <is>
          <t>Normal</t>
        </is>
      </c>
      <c r="N178">
        <v>0</v>
      </c>
      <c r="O178">
        <f>'밸런스 조정'!C154*'밸런스 조정'!C292*'밸런스 조정'!C146*(1+('몬스터 성장'!G6/'몬스터 성장'!F6-1)*(U178/'밸런스 조정'!C119)^'몬스터 성장'!H6)</f>
        <v>166.204169257</v>
      </c>
      <c r="P178">
        <v>0</v>
      </c>
      <c r="Q178">
        <v>0</v>
      </c>
      <c r="R178">
        <v>62</v>
      </c>
      <c r="S178" t="inlineStr">
        <is>
          <t>Taxi</t>
        </is>
      </c>
      <c r="T178" t="inlineStr">
        <is>
          <t>Jam</t>
        </is>
      </c>
      <c r="U178">
        <v>615.7</v>
      </c>
      <c r="V178">
        <v>0</v>
      </c>
      <c r="W178">
        <v>516</v>
      </c>
      <c r="X178">
        <v>110</v>
      </c>
      <c r="Y178">
        <v>0</v>
      </c>
    </row>
    <row r="179">
      <c r="B179">
        <v>187</v>
      </c>
      <c r="C179" t="inlineStr">
        <is>
          <t>HighWay</t>
        </is>
      </c>
      <c r="D179" t="inlineStr">
        <is>
          <t>HWY3_053_Tanker</t>
        </is>
      </c>
      <c r="E179">
        <v>1</v>
      </c>
      <c r="F179" t="inlineStr">
        <is>
          <t>공격 반복</t>
        </is>
      </c>
      <c r="G179">
        <v>4</v>
      </c>
      <c r="H179">
        <v>0</v>
      </c>
      <c r="I179">
        <v>150</v>
      </c>
      <c r="J179">
        <v>0</v>
      </c>
      <c r="K179">
        <v>0</v>
      </c>
      <c r="L179" t="inlineStr">
        <is>
          <t>차량 적 · 원본 전투/성장/코인 시스템</t>
        </is>
      </c>
      <c r="M179" t="inlineStr">
        <is>
          <t>Normal</t>
        </is>
      </c>
      <c r="N179">
        <v>0</v>
      </c>
      <c r="O179">
        <f>'밸런스 조정'!C154*'밸런스 조정'!C292*'밸런스 조정'!C149*(1+('몬스터 성장'!G6/'몬스터 성장'!F6-1)*(U179/'밸런스 조정'!C119)^'몬스터 성장'!H6)</f>
        <v>332.408338514</v>
      </c>
      <c r="P179">
        <v>0</v>
      </c>
      <c r="Q179">
        <v>0</v>
      </c>
      <c r="R179">
        <v>124</v>
      </c>
      <c r="S179" t="inlineStr">
        <is>
          <t>Tanker</t>
        </is>
      </c>
      <c r="T179" t="inlineStr">
        <is>
          <t>Jam</t>
        </is>
      </c>
      <c r="U179">
        <v>615.7</v>
      </c>
      <c r="V179">
        <v>1</v>
      </c>
      <c r="W179">
        <v>516</v>
      </c>
      <c r="X179">
        <v>110</v>
      </c>
      <c r="Y179">
        <v>0</v>
      </c>
    </row>
    <row r="180">
      <c r="B180">
        <v>188</v>
      </c>
      <c r="C180" t="inlineStr">
        <is>
          <t>HighWay</t>
        </is>
      </c>
      <c r="D180" t="inlineStr">
        <is>
          <t>HWY3_054_OneTon</t>
        </is>
      </c>
      <c r="E180">
        <v>1</v>
      </c>
      <c r="F180" t="inlineStr">
        <is>
          <t>공격 반복</t>
        </is>
      </c>
      <c r="G180">
        <v>4</v>
      </c>
      <c r="H180">
        <v>0</v>
      </c>
      <c r="I180">
        <v>150</v>
      </c>
      <c r="J180">
        <v>0</v>
      </c>
      <c r="K180">
        <v>0</v>
      </c>
      <c r="L180" t="inlineStr">
        <is>
          <t>차량 적 · 원본 전투/성장/코인 시스템</t>
        </is>
      </c>
      <c r="M180" t="inlineStr">
        <is>
          <t>Normal</t>
        </is>
      </c>
      <c r="N180">
        <v>0</v>
      </c>
      <c r="O180">
        <f>'밸런스 조정'!C154*'밸런스 조정'!C292*'밸런스 조정'!C147*(1+('몬스터 성장'!G6/'몬스터 성장'!F6-1)*(U180/'밸런스 조정'!C119)^'몬스터 성장'!H6)</f>
        <v>216.065420034</v>
      </c>
      <c r="P180">
        <v>0</v>
      </c>
      <c r="Q180">
        <v>0</v>
      </c>
      <c r="R180">
        <v>62</v>
      </c>
      <c r="S180" t="inlineStr">
        <is>
          <t>OneTon</t>
        </is>
      </c>
      <c r="T180" t="inlineStr">
        <is>
          <t>Jam</t>
        </is>
      </c>
      <c r="U180">
        <v>615.7</v>
      </c>
      <c r="V180">
        <v>2</v>
      </c>
      <c r="W180">
        <v>516</v>
      </c>
      <c r="X180">
        <v>110</v>
      </c>
      <c r="Y180">
        <v>0</v>
      </c>
    </row>
    <row r="181">
      <c r="B181">
        <v>189</v>
      </c>
      <c r="C181" t="inlineStr">
        <is>
          <t>HighWay</t>
        </is>
      </c>
      <c r="D181" t="inlineStr">
        <is>
          <t>HWY3_055_Sedan</t>
        </is>
      </c>
      <c r="E181">
        <v>1</v>
      </c>
      <c r="F181" t="inlineStr">
        <is>
          <t>공격 반복</t>
        </is>
      </c>
      <c r="G181">
        <v>5</v>
      </c>
      <c r="H181">
        <v>0</v>
      </c>
      <c r="I181">
        <v>150</v>
      </c>
      <c r="J181">
        <v>0</v>
      </c>
      <c r="K181">
        <v>0</v>
      </c>
      <c r="L181" t="inlineStr">
        <is>
          <t>차량 적 · 원본 전투/성장/코인 시스템</t>
        </is>
      </c>
      <c r="M181" t="inlineStr">
        <is>
          <t>Normal</t>
        </is>
      </c>
      <c r="N181">
        <v>0</v>
      </c>
      <c r="O181">
        <f>'밸런스 조정'!C154*'밸런스 조정'!C292*'밸런스 조정'!C145*(1+('몬스터 성장'!G6/'몬스터 성장'!F6-1)*(U181/'밸런스 조정'!C119)^'몬스터 성장'!H6)</f>
        <v>168.546564208</v>
      </c>
      <c r="P181">
        <v>0</v>
      </c>
      <c r="Q181">
        <v>0</v>
      </c>
      <c r="R181">
        <v>62</v>
      </c>
      <c r="S181" t="inlineStr">
        <is>
          <t>Sedan</t>
        </is>
      </c>
      <c r="T181" t="inlineStr">
        <is>
          <t>Jam</t>
        </is>
      </c>
      <c r="U181">
        <v>626.9</v>
      </c>
      <c r="V181">
        <v>0</v>
      </c>
      <c r="W181">
        <v>525.7</v>
      </c>
      <c r="X181">
        <v>111</v>
      </c>
      <c r="Y181">
        <v>0</v>
      </c>
    </row>
    <row r="182">
      <c r="B182">
        <v>190</v>
      </c>
      <c r="C182" t="inlineStr">
        <is>
          <t>HighWay</t>
        </is>
      </c>
      <c r="D182" t="inlineStr">
        <is>
          <t>HWY3_056_OneTon</t>
        </is>
      </c>
      <c r="E182">
        <v>1</v>
      </c>
      <c r="F182" t="inlineStr">
        <is>
          <t>공격 반복</t>
        </is>
      </c>
      <c r="G182">
        <v>5</v>
      </c>
      <c r="H182">
        <v>0</v>
      </c>
      <c r="I182">
        <v>150</v>
      </c>
      <c r="J182">
        <v>0</v>
      </c>
      <c r="K182">
        <v>0</v>
      </c>
      <c r="L182" t="inlineStr">
        <is>
          <t>차량 적 · 원본 전투/성장/코인 시스템</t>
        </is>
      </c>
      <c r="M182" t="inlineStr">
        <is>
          <t>Normal</t>
        </is>
      </c>
      <c r="N182">
        <v>0</v>
      </c>
      <c r="O182">
        <f>'밸런스 조정'!C154*'밸런스 조정'!C292*'밸런스 조정'!C147*(1+('몬스터 성장'!G6/'몬스터 성장'!F6-1)*(U182/'밸런스 조정'!C119)^'몬스터 성장'!H6)</f>
        <v>219.11053347</v>
      </c>
      <c r="P182">
        <v>0</v>
      </c>
      <c r="Q182">
        <v>0</v>
      </c>
      <c r="R182">
        <v>62</v>
      </c>
      <c r="S182" t="inlineStr">
        <is>
          <t>OneTon</t>
        </is>
      </c>
      <c r="T182" t="inlineStr">
        <is>
          <t>Jam</t>
        </is>
      </c>
      <c r="U182">
        <v>626.9</v>
      </c>
      <c r="V182">
        <v>1</v>
      </c>
      <c r="W182">
        <v>525.7</v>
      </c>
      <c r="X182">
        <v>111</v>
      </c>
      <c r="Y182">
        <v>0</v>
      </c>
    </row>
    <row r="183">
      <c r="B183">
        <v>191</v>
      </c>
      <c r="C183" t="inlineStr">
        <is>
          <t>HighWay</t>
        </is>
      </c>
      <c r="D183" t="inlineStr">
        <is>
          <t>HWY3_057_Box</t>
        </is>
      </c>
      <c r="E183">
        <v>1</v>
      </c>
      <c r="F183" t="inlineStr">
        <is>
          <t>공격 반복</t>
        </is>
      </c>
      <c r="G183">
        <v>5</v>
      </c>
      <c r="H183">
        <v>0</v>
      </c>
      <c r="I183">
        <v>150</v>
      </c>
      <c r="J183">
        <v>0</v>
      </c>
      <c r="K183">
        <v>0</v>
      </c>
      <c r="L183" t="inlineStr">
        <is>
          <t>차량 적 · 원본 전투/성장/코인 시스템</t>
        </is>
      </c>
      <c r="M183" t="inlineStr">
        <is>
          <t>Normal</t>
        </is>
      </c>
      <c r="N183">
        <v>0</v>
      </c>
      <c r="O183">
        <f>'밸런스 조정'!C154*'밸런스 조정'!C292*'밸런스 조정'!C148*(1+('몬스터 성장'!G6/'몬스터 성장'!F6-1)*(U183/'밸런스 조정'!C119)^'몬스터 성장'!H6)</f>
        <v>269.674502732</v>
      </c>
      <c r="P183">
        <v>0</v>
      </c>
      <c r="Q183">
        <v>0</v>
      </c>
      <c r="R183">
        <v>62</v>
      </c>
      <c r="S183" t="inlineStr">
        <is>
          <t>Box</t>
        </is>
      </c>
      <c r="T183" t="inlineStr">
        <is>
          <t>Jam</t>
        </is>
      </c>
      <c r="U183">
        <v>626.9</v>
      </c>
      <c r="V183">
        <v>2</v>
      </c>
      <c r="W183">
        <v>525.7</v>
      </c>
      <c r="X183">
        <v>111</v>
      </c>
      <c r="Y183">
        <v>0</v>
      </c>
    </row>
    <row r="184">
      <c r="B184">
        <v>192</v>
      </c>
      <c r="C184" t="inlineStr">
        <is>
          <t>HighWay</t>
        </is>
      </c>
      <c r="D184" t="inlineStr">
        <is>
          <t>HWY3_058_OneTon</t>
        </is>
      </c>
      <c r="E184">
        <v>1</v>
      </c>
      <c r="F184" t="inlineStr">
        <is>
          <t>공격 반복</t>
        </is>
      </c>
      <c r="G184">
        <v>3</v>
      </c>
      <c r="H184">
        <v>0</v>
      </c>
      <c r="I184">
        <v>150</v>
      </c>
      <c r="J184">
        <v>0</v>
      </c>
      <c r="K184">
        <v>0</v>
      </c>
      <c r="L184" t="inlineStr">
        <is>
          <t>차량 적 · 원본 전투/성장/코인 시스템</t>
        </is>
      </c>
      <c r="M184" t="inlineStr">
        <is>
          <t>Normal</t>
        </is>
      </c>
      <c r="N184">
        <v>0</v>
      </c>
      <c r="O184">
        <f>'밸런스 조정'!C154*'밸런스 조정'!C292*'밸런스 조정'!C147*(1+('몬스터 성장'!G6/'몬스터 성장'!F6-1)*(U184/'밸런스 조정'!C119)^'몬스터 성장'!H6)</f>
        <v>220.958404923</v>
      </c>
      <c r="P184">
        <v>0</v>
      </c>
      <c r="Q184">
        <v>0</v>
      </c>
      <c r="R184">
        <v>62</v>
      </c>
      <c r="S184" t="inlineStr">
        <is>
          <t>OneTon</t>
        </is>
      </c>
      <c r="T184" t="inlineStr">
        <is>
          <t>Jam</t>
        </is>
      </c>
      <c r="U184">
        <v>633.6</v>
      </c>
      <c r="V184">
        <v>0</v>
      </c>
      <c r="W184">
        <v>535.4</v>
      </c>
      <c r="X184">
        <v>112</v>
      </c>
      <c r="Y184">
        <v>0</v>
      </c>
    </row>
    <row r="185">
      <c r="B185">
        <v>193</v>
      </c>
      <c r="C185" t="inlineStr">
        <is>
          <t>HighWay</t>
        </is>
      </c>
      <c r="D185" t="inlineStr">
        <is>
          <t>HWY3_059_Taxi</t>
        </is>
      </c>
      <c r="E185">
        <v>1</v>
      </c>
      <c r="F185" t="inlineStr">
        <is>
          <t>공격 반복</t>
        </is>
      </c>
      <c r="G185">
        <v>3</v>
      </c>
      <c r="H185">
        <v>0</v>
      </c>
      <c r="I185">
        <v>150</v>
      </c>
      <c r="J185">
        <v>0</v>
      </c>
      <c r="K185">
        <v>0</v>
      </c>
      <c r="L185" t="inlineStr">
        <is>
          <t>차량 적 · 원본 전투/성장/코인 시스템</t>
        </is>
      </c>
      <c r="M185" t="inlineStr">
        <is>
          <t>Normal</t>
        </is>
      </c>
      <c r="N185">
        <v>0</v>
      </c>
      <c r="O185">
        <f>'밸런스 조정'!C154*'밸런스 조정'!C292*'밸런스 조정'!C146*(1+('몬스터 성장'!G6/'몬스터 성장'!F6-1)*(U185/'밸런스 조정'!C119)^'몬스터 성장'!H6)</f>
        <v>169.968003787</v>
      </c>
      <c r="P185">
        <v>0</v>
      </c>
      <c r="Q185">
        <v>0</v>
      </c>
      <c r="R185">
        <v>62</v>
      </c>
      <c r="S185" t="inlineStr">
        <is>
          <t>Taxi</t>
        </is>
      </c>
      <c r="T185" t="inlineStr">
        <is>
          <t>Jam</t>
        </is>
      </c>
      <c r="U185">
        <v>633.6</v>
      </c>
      <c r="V185">
        <v>1</v>
      </c>
      <c r="W185">
        <v>535.4</v>
      </c>
      <c r="X185">
        <v>112</v>
      </c>
      <c r="Y185">
        <v>0</v>
      </c>
    </row>
    <row r="186">
      <c r="B186">
        <v>194</v>
      </c>
      <c r="C186" t="inlineStr">
        <is>
          <t>HighWay</t>
        </is>
      </c>
      <c r="D186" t="inlineStr">
        <is>
          <t>HWY3_060_Tanker</t>
        </is>
      </c>
      <c r="E186">
        <v>1</v>
      </c>
      <c r="F186" t="inlineStr">
        <is>
          <t>공격 반복</t>
        </is>
      </c>
      <c r="G186">
        <v>3</v>
      </c>
      <c r="H186">
        <v>0</v>
      </c>
      <c r="I186">
        <v>150</v>
      </c>
      <c r="J186">
        <v>0</v>
      </c>
      <c r="K186">
        <v>0</v>
      </c>
      <c r="L186" t="inlineStr">
        <is>
          <t>차량 적 · 원본 전투/성장/코인 시스템</t>
        </is>
      </c>
      <c r="M186" t="inlineStr">
        <is>
          <t>Normal</t>
        </is>
      </c>
      <c r="N186">
        <v>0</v>
      </c>
      <c r="O186">
        <f>'밸런스 조정'!C154*'밸런스 조정'!C292*'밸런스 조정'!C149*(1+('몬스터 성장'!G6/'몬스터 성장'!F6-1)*(U186/'밸런스 조정'!C119)^'몬스터 성장'!H6)</f>
        <v>339.936007574</v>
      </c>
      <c r="P186">
        <v>0</v>
      </c>
      <c r="Q186">
        <v>0</v>
      </c>
      <c r="R186">
        <v>124</v>
      </c>
      <c r="S186" t="inlineStr">
        <is>
          <t>Tanker</t>
        </is>
      </c>
      <c r="T186" t="inlineStr">
        <is>
          <t>Jam</t>
        </is>
      </c>
      <c r="U186">
        <v>633.6</v>
      </c>
      <c r="V186">
        <v>2</v>
      </c>
      <c r="W186">
        <v>535.4</v>
      </c>
      <c r="X186">
        <v>112</v>
      </c>
      <c r="Y186">
        <v>0</v>
      </c>
    </row>
    <row r="187">
      <c r="B187">
        <v>195</v>
      </c>
      <c r="C187" t="inlineStr">
        <is>
          <t>HighWay</t>
        </is>
      </c>
      <c r="D187" t="inlineStr">
        <is>
          <t>HWY3_061_Box</t>
        </is>
      </c>
      <c r="E187">
        <v>1</v>
      </c>
      <c r="F187" t="inlineStr">
        <is>
          <t>공격 반복</t>
        </is>
      </c>
      <c r="G187">
        <v>4</v>
      </c>
      <c r="H187">
        <v>0</v>
      </c>
      <c r="I187">
        <v>150</v>
      </c>
      <c r="J187">
        <v>0</v>
      </c>
      <c r="K187">
        <v>0</v>
      </c>
      <c r="L187" t="inlineStr">
        <is>
          <t>차량 적 · 원본 전투/성장/코인 시스템</t>
        </is>
      </c>
      <c r="M187" t="inlineStr">
        <is>
          <t>Normal</t>
        </is>
      </c>
      <c r="N187">
        <v>0</v>
      </c>
      <c r="O187">
        <f>'밸런스 조정'!C154*'밸런스 조정'!C292*'밸런스 조정'!C148*(1+('몬스터 성장'!G6/'몬스터 성장'!F6-1)*(U187/'밸런스 조정'!C119)^'몬스터 성장'!H6)</f>
        <v>275.804615111</v>
      </c>
      <c r="P187">
        <v>0</v>
      </c>
      <c r="Q187">
        <v>0</v>
      </c>
      <c r="R187">
        <v>62</v>
      </c>
      <c r="S187" t="inlineStr">
        <is>
          <t>Box</t>
        </is>
      </c>
      <c r="T187" t="inlineStr">
        <is>
          <t>Jam</t>
        </is>
      </c>
      <c r="U187">
        <v>644.8</v>
      </c>
      <c r="V187">
        <v>0</v>
      </c>
      <c r="W187">
        <v>545.1</v>
      </c>
      <c r="X187">
        <v>113</v>
      </c>
      <c r="Y187">
        <v>0</v>
      </c>
    </row>
    <row r="188">
      <c r="B188">
        <v>196</v>
      </c>
      <c r="C188" t="inlineStr">
        <is>
          <t>HighWay</t>
        </is>
      </c>
      <c r="D188" t="inlineStr">
        <is>
          <t>HWY3_062_Sedan</t>
        </is>
      </c>
      <c r="E188">
        <v>1</v>
      </c>
      <c r="F188" t="inlineStr">
        <is>
          <t>공격 반복</t>
        </is>
      </c>
      <c r="G188">
        <v>4</v>
      </c>
      <c r="H188">
        <v>0</v>
      </c>
      <c r="I188">
        <v>150</v>
      </c>
      <c r="J188">
        <v>0</v>
      </c>
      <c r="K188">
        <v>0</v>
      </c>
      <c r="L188" t="inlineStr">
        <is>
          <t>차량 적 · 원본 전투/성장/코인 시스템</t>
        </is>
      </c>
      <c r="M188" t="inlineStr">
        <is>
          <t>Normal</t>
        </is>
      </c>
      <c r="N188">
        <v>0</v>
      </c>
      <c r="O188">
        <f>'밸런스 조정'!C154*'밸런스 조정'!C292*'밸런스 조정'!C145*(1+('몬스터 성장'!G6/'몬스터 성장'!F6-1)*(U188/'밸런스 조정'!C119)^'몬스터 성장'!H6)</f>
        <v>172.377884444</v>
      </c>
      <c r="P188">
        <v>0</v>
      </c>
      <c r="Q188">
        <v>0</v>
      </c>
      <c r="R188">
        <v>62</v>
      </c>
      <c r="S188" t="inlineStr">
        <is>
          <t>Sedan</t>
        </is>
      </c>
      <c r="T188" t="inlineStr">
        <is>
          <t>Jam</t>
        </is>
      </c>
      <c r="U188">
        <v>644.8</v>
      </c>
      <c r="V188">
        <v>1</v>
      </c>
      <c r="W188">
        <v>545.1</v>
      </c>
      <c r="X188">
        <v>113</v>
      </c>
      <c r="Y188">
        <v>0</v>
      </c>
    </row>
    <row r="189">
      <c r="B189">
        <v>197</v>
      </c>
      <c r="C189" t="inlineStr">
        <is>
          <t>HighWay</t>
        </is>
      </c>
      <c r="D189" t="inlineStr">
        <is>
          <t>HWY3_063_OneTon</t>
        </is>
      </c>
      <c r="E189">
        <v>1</v>
      </c>
      <c r="F189" t="inlineStr">
        <is>
          <t>공격 반복</t>
        </is>
      </c>
      <c r="G189">
        <v>4</v>
      </c>
      <c r="H189">
        <v>0</v>
      </c>
      <c r="I189">
        <v>150</v>
      </c>
      <c r="J189">
        <v>0</v>
      </c>
      <c r="K189">
        <v>0</v>
      </c>
      <c r="L189" t="inlineStr">
        <is>
          <t>차량 적 · 원본 전투/성장/코인 시스템</t>
        </is>
      </c>
      <c r="M189" t="inlineStr">
        <is>
          <t>Normal</t>
        </is>
      </c>
      <c r="N189">
        <v>0</v>
      </c>
      <c r="O189">
        <f>'밸런스 조정'!C154*'밸런스 조정'!C292*'밸런스 조정'!C147*(1+('몬스터 성장'!G6/'몬스터 성장'!F6-1)*(U189/'밸런스 조정'!C119)^'몬스터 성장'!H6)</f>
        <v>224.091249778</v>
      </c>
      <c r="P189">
        <v>0</v>
      </c>
      <c r="Q189">
        <v>0</v>
      </c>
      <c r="R189">
        <v>62</v>
      </c>
      <c r="S189" t="inlineStr">
        <is>
          <t>OneTon</t>
        </is>
      </c>
      <c r="T189" t="inlineStr">
        <is>
          <t>Jam</t>
        </is>
      </c>
      <c r="U189">
        <v>644.8</v>
      </c>
      <c r="V189">
        <v>2</v>
      </c>
      <c r="W189">
        <v>545.1</v>
      </c>
      <c r="X189">
        <v>113</v>
      </c>
      <c r="Y189">
        <v>0</v>
      </c>
    </row>
    <row r="190">
      <c r="B190">
        <v>198</v>
      </c>
      <c r="C190" t="inlineStr">
        <is>
          <t>HighWay</t>
        </is>
      </c>
      <c r="D190" t="inlineStr">
        <is>
          <t>HWY3_064_Tanker</t>
        </is>
      </c>
      <c r="E190">
        <v>1</v>
      </c>
      <c r="F190" t="inlineStr">
        <is>
          <t>공격 반복</t>
        </is>
      </c>
      <c r="G190">
        <v>5</v>
      </c>
      <c r="H190">
        <v>0</v>
      </c>
      <c r="I190">
        <v>150</v>
      </c>
      <c r="J190">
        <v>0</v>
      </c>
      <c r="K190">
        <v>0</v>
      </c>
      <c r="L190" t="inlineStr">
        <is>
          <t>차량 적 · 원본 전투/성장/코인 시스템</t>
        </is>
      </c>
      <c r="M190" t="inlineStr">
        <is>
          <t>Normal</t>
        </is>
      </c>
      <c r="N190">
        <v>0</v>
      </c>
      <c r="O190">
        <f>'밸런스 조정'!C154*'밸런스 조정'!C292*'밸런스 조정'!C149*(1+('몬스터 성장'!G6/'몬스터 성장'!F6-1)*(U190/'밸런스 조정'!C119)^'몬스터 성장'!H6)</f>
        <v>349.659981591</v>
      </c>
      <c r="P190">
        <v>0</v>
      </c>
      <c r="Q190">
        <v>0</v>
      </c>
      <c r="R190">
        <v>124</v>
      </c>
      <c r="S190" t="inlineStr">
        <is>
          <t>Tanker</t>
        </is>
      </c>
      <c r="T190" t="inlineStr">
        <is>
          <t>Jam</t>
        </is>
      </c>
      <c r="U190">
        <v>656</v>
      </c>
      <c r="V190">
        <v>0</v>
      </c>
      <c r="W190">
        <v>554.8</v>
      </c>
      <c r="X190">
        <v>114</v>
      </c>
      <c r="Y190">
        <v>0</v>
      </c>
    </row>
    <row r="191">
      <c r="B191">
        <v>199</v>
      </c>
      <c r="C191" t="inlineStr">
        <is>
          <t>HighWay</t>
        </is>
      </c>
      <c r="D191" t="inlineStr">
        <is>
          <t>HWY3_065_Taxi</t>
        </is>
      </c>
      <c r="E191">
        <v>1</v>
      </c>
      <c r="F191" t="inlineStr">
        <is>
          <t>공격 반복</t>
        </is>
      </c>
      <c r="G191">
        <v>5</v>
      </c>
      <c r="H191">
        <v>0</v>
      </c>
      <c r="I191">
        <v>150</v>
      </c>
      <c r="J191">
        <v>0</v>
      </c>
      <c r="K191">
        <v>0</v>
      </c>
      <c r="L191" t="inlineStr">
        <is>
          <t>차량 적 · 원본 전투/성장/코인 시스템</t>
        </is>
      </c>
      <c r="M191" t="inlineStr">
        <is>
          <t>Normal</t>
        </is>
      </c>
      <c r="N191">
        <v>0</v>
      </c>
      <c r="O191">
        <f>'밸런스 조정'!C154*'밸런스 조정'!C292*'밸런스 조정'!C146*(1+('몬스터 성장'!G6/'몬스터 성장'!F6-1)*(U191/'밸런스 조정'!C119)^'몬스터 성장'!H6)</f>
        <v>174.829990796</v>
      </c>
      <c r="P191">
        <v>0</v>
      </c>
      <c r="Q191">
        <v>0</v>
      </c>
      <c r="R191">
        <v>62</v>
      </c>
      <c r="S191" t="inlineStr">
        <is>
          <t>Taxi</t>
        </is>
      </c>
      <c r="T191" t="inlineStr">
        <is>
          <t>Jam</t>
        </is>
      </c>
      <c r="U191">
        <v>656</v>
      </c>
      <c r="V191">
        <v>1</v>
      </c>
      <c r="W191">
        <v>554.8</v>
      </c>
      <c r="X191">
        <v>114</v>
      </c>
      <c r="Y191">
        <v>0</v>
      </c>
    </row>
    <row r="192">
      <c r="B192">
        <v>200</v>
      </c>
      <c r="C192" t="inlineStr">
        <is>
          <t>HighWay</t>
        </is>
      </c>
      <c r="D192" t="inlineStr">
        <is>
          <t>HWY3_066_Box</t>
        </is>
      </c>
      <c r="E192">
        <v>1</v>
      </c>
      <c r="F192" t="inlineStr">
        <is>
          <t>공격 반복</t>
        </is>
      </c>
      <c r="G192">
        <v>5</v>
      </c>
      <c r="H192">
        <v>0</v>
      </c>
      <c r="I192">
        <v>150</v>
      </c>
      <c r="J192">
        <v>0</v>
      </c>
      <c r="K192">
        <v>0</v>
      </c>
      <c r="L192" t="inlineStr">
        <is>
          <t>차량 적 · 원본 전투/성장/코인 시스템</t>
        </is>
      </c>
      <c r="M192" t="inlineStr">
        <is>
          <t>Normal</t>
        </is>
      </c>
      <c r="N192">
        <v>0</v>
      </c>
      <c r="O192">
        <f>'밸런스 조정'!C154*'밸런스 조정'!C292*'밸런스 조정'!C148*(1+('몬스터 성장'!G6/'몬스터 성장'!F6-1)*(U192/'밸런스 조정'!C119)^'몬스터 성장'!H6)</f>
        <v>279.727985273</v>
      </c>
      <c r="P192">
        <v>0</v>
      </c>
      <c r="Q192">
        <v>0</v>
      </c>
      <c r="R192">
        <v>62</v>
      </c>
      <c r="S192" t="inlineStr">
        <is>
          <t>Box</t>
        </is>
      </c>
      <c r="T192" t="inlineStr">
        <is>
          <t>Jam</t>
        </is>
      </c>
      <c r="U192">
        <v>656</v>
      </c>
      <c r="V192">
        <v>2</v>
      </c>
      <c r="W192">
        <v>554.8</v>
      </c>
      <c r="X192">
        <v>114</v>
      </c>
      <c r="Y192">
        <v>0</v>
      </c>
    </row>
    <row r="193">
      <c r="B193">
        <v>201</v>
      </c>
      <c r="C193" t="inlineStr">
        <is>
          <t>HighWay</t>
        </is>
      </c>
      <c r="D193" t="inlineStr">
        <is>
          <t>HWY3_067_OneTon</t>
        </is>
      </c>
      <c r="E193">
        <v>1</v>
      </c>
      <c r="F193" t="inlineStr">
        <is>
          <t>공격 반복</t>
        </is>
      </c>
      <c r="G193">
        <v>3</v>
      </c>
      <c r="H193">
        <v>0</v>
      </c>
      <c r="I193">
        <v>150</v>
      </c>
      <c r="J193">
        <v>0</v>
      </c>
      <c r="K193">
        <v>0</v>
      </c>
      <c r="L193" t="inlineStr">
        <is>
          <t>차량 적 · 원본 전투/성장/코인 시스템</t>
        </is>
      </c>
      <c r="M193" t="inlineStr">
        <is>
          <t>Normal</t>
        </is>
      </c>
      <c r="N193">
        <v>0</v>
      </c>
      <c r="O193">
        <f>'밸런스 조정'!C154*'밸런스 조정'!C292*'밸런스 조정'!C147*(1+('몬스터 성장'!G6/'몬스터 성장'!F6-1)*(U193/'밸런스 조정'!C119)^'몬스터 성장'!H6)</f>
        <v>229.212179692</v>
      </c>
      <c r="P193">
        <v>0</v>
      </c>
      <c r="Q193">
        <v>0</v>
      </c>
      <c r="R193">
        <v>62</v>
      </c>
      <c r="S193" t="inlineStr">
        <is>
          <t>OneTon</t>
        </is>
      </c>
      <c r="T193" t="inlineStr">
        <is>
          <t>Jam</t>
        </is>
      </c>
      <c r="U193">
        <v>662.7</v>
      </c>
      <c r="V193">
        <v>0</v>
      </c>
      <c r="W193">
        <v>564.5</v>
      </c>
      <c r="X193">
        <v>115</v>
      </c>
      <c r="Y193">
        <v>0</v>
      </c>
    </row>
    <row r="194">
      <c r="B194">
        <v>202</v>
      </c>
      <c r="C194" t="inlineStr">
        <is>
          <t>HighWay</t>
        </is>
      </c>
      <c r="D194" t="inlineStr">
        <is>
          <t>HWY3_068_Box</t>
        </is>
      </c>
      <c r="E194">
        <v>1</v>
      </c>
      <c r="F194" t="inlineStr">
        <is>
          <t>공격 반복</t>
        </is>
      </c>
      <c r="G194">
        <v>3</v>
      </c>
      <c r="H194">
        <v>0</v>
      </c>
      <c r="I194">
        <v>150</v>
      </c>
      <c r="J194">
        <v>0</v>
      </c>
      <c r="K194">
        <v>0</v>
      </c>
      <c r="L194" t="inlineStr">
        <is>
          <t>차량 적 · 원본 전투/성장/코인 시스템</t>
        </is>
      </c>
      <c r="M194" t="inlineStr">
        <is>
          <t>Normal</t>
        </is>
      </c>
      <c r="N194">
        <v>0</v>
      </c>
      <c r="O194">
        <f>'밸런스 조정'!C154*'밸런스 조정'!C292*'밸런스 조정'!C148*(1+('몬스터 성장'!G6/'몬스터 성장'!F6-1)*(U194/'밸런스 조정'!C119)^'몬스터 성장'!H6)</f>
        <v>282.107298083</v>
      </c>
      <c r="P194">
        <v>0</v>
      </c>
      <c r="Q194">
        <v>0</v>
      </c>
      <c r="R194">
        <v>62</v>
      </c>
      <c r="S194" t="inlineStr">
        <is>
          <t>Box</t>
        </is>
      </c>
      <c r="T194" t="inlineStr">
        <is>
          <t>Jam</t>
        </is>
      </c>
      <c r="U194">
        <v>662.7</v>
      </c>
      <c r="V194">
        <v>1</v>
      </c>
      <c r="W194">
        <v>564.5</v>
      </c>
      <c r="X194">
        <v>115</v>
      </c>
      <c r="Y194">
        <v>0</v>
      </c>
    </row>
    <row r="195">
      <c r="B195">
        <v>203</v>
      </c>
      <c r="C195" t="inlineStr">
        <is>
          <t>HighWay</t>
        </is>
      </c>
      <c r="D195" t="inlineStr">
        <is>
          <t>HWY3_069_Sedan</t>
        </is>
      </c>
      <c r="E195">
        <v>1</v>
      </c>
      <c r="F195" t="inlineStr">
        <is>
          <t>공격 반복</t>
        </is>
      </c>
      <c r="G195">
        <v>3</v>
      </c>
      <c r="H195">
        <v>0</v>
      </c>
      <c r="I195">
        <v>150</v>
      </c>
      <c r="J195">
        <v>0</v>
      </c>
      <c r="K195">
        <v>0</v>
      </c>
      <c r="L195" t="inlineStr">
        <is>
          <t>차량 적 · 원본 전투/성장/코인 시스템</t>
        </is>
      </c>
      <c r="M195" t="inlineStr">
        <is>
          <t>Normal</t>
        </is>
      </c>
      <c r="N195">
        <v>0</v>
      </c>
      <c r="O195">
        <f>'밸런스 조정'!C154*'밸런스 조정'!C292*'밸런스 조정'!C145*(1+('몬스터 성장'!G6/'몬스터 성장'!F6-1)*(U195/'밸런스 조정'!C119)^'몬스터 성장'!H6)</f>
        <v>176.317061302</v>
      </c>
      <c r="P195">
        <v>0</v>
      </c>
      <c r="Q195">
        <v>0</v>
      </c>
      <c r="R195">
        <v>62</v>
      </c>
      <c r="S195" t="inlineStr">
        <is>
          <t>Sedan</t>
        </is>
      </c>
      <c r="T195" t="inlineStr">
        <is>
          <t>Jam</t>
        </is>
      </c>
      <c r="U195">
        <v>662.7</v>
      </c>
      <c r="V195">
        <v>2</v>
      </c>
      <c r="W195">
        <v>564.5</v>
      </c>
      <c r="X195">
        <v>115</v>
      </c>
      <c r="Y195">
        <v>0</v>
      </c>
    </row>
    <row r="196">
      <c r="B196">
        <v>204</v>
      </c>
      <c r="C196" t="inlineStr">
        <is>
          <t>HighWay</t>
        </is>
      </c>
      <c r="D196" t="inlineStr">
        <is>
          <t>HWY3_070_Box</t>
        </is>
      </c>
      <c r="E196">
        <v>1</v>
      </c>
      <c r="F196" t="inlineStr">
        <is>
          <t>공격 반복</t>
        </is>
      </c>
      <c r="G196">
        <v>4</v>
      </c>
      <c r="H196">
        <v>0</v>
      </c>
      <c r="I196">
        <v>150</v>
      </c>
      <c r="J196">
        <v>0</v>
      </c>
      <c r="K196">
        <v>0</v>
      </c>
      <c r="L196" t="inlineStr">
        <is>
          <t>차량 적 · 원본 전투/성장/코인 시스템</t>
        </is>
      </c>
      <c r="M196" t="inlineStr">
        <is>
          <t>Normal</t>
        </is>
      </c>
      <c r="N196">
        <v>0</v>
      </c>
      <c r="O196">
        <f>'밸런스 조정'!C154*'밸런스 조정'!C292*'밸런스 조정'!C148*(1+('몬스터 성장'!G6/'몬스터 성장'!F6-1)*(U196/'밸런스 조정'!C119)^'몬스터 성장'!H6)</f>
        <v>286.138645375</v>
      </c>
      <c r="P196">
        <v>0</v>
      </c>
      <c r="Q196">
        <v>0</v>
      </c>
      <c r="R196">
        <v>62</v>
      </c>
      <c r="S196" t="inlineStr">
        <is>
          <t>Box</t>
        </is>
      </c>
      <c r="T196" t="inlineStr">
        <is>
          <t>Jam</t>
        </is>
      </c>
      <c r="U196">
        <v>673.9</v>
      </c>
      <c r="V196">
        <v>0</v>
      </c>
      <c r="W196">
        <v>574.2</v>
      </c>
      <c r="X196">
        <v>116</v>
      </c>
      <c r="Y196">
        <v>0</v>
      </c>
    </row>
    <row r="197">
      <c r="B197">
        <v>205</v>
      </c>
      <c r="C197" t="inlineStr">
        <is>
          <t>HighWay</t>
        </is>
      </c>
      <c r="D197" t="inlineStr">
        <is>
          <t>HWY3_071_Tanker</t>
        </is>
      </c>
      <c r="E197">
        <v>1</v>
      </c>
      <c r="F197" t="inlineStr">
        <is>
          <t>공격 반복</t>
        </is>
      </c>
      <c r="G197">
        <v>4</v>
      </c>
      <c r="H197">
        <v>0</v>
      </c>
      <c r="I197">
        <v>150</v>
      </c>
      <c r="J197">
        <v>0</v>
      </c>
      <c r="K197">
        <v>0</v>
      </c>
      <c r="L197" t="inlineStr">
        <is>
          <t>차량 적 · 원본 전투/성장/코인 시스템</t>
        </is>
      </c>
      <c r="M197" t="inlineStr">
        <is>
          <t>Normal</t>
        </is>
      </c>
      <c r="N197">
        <v>0</v>
      </c>
      <c r="O197">
        <f>'밸런스 조정'!C154*'밸런스 조정'!C292*'밸런스 조정'!C149*(1+('몬스터 성장'!G6/'몬스터 성장'!F6-1)*(U197/'밸런스 조정'!C119)^'몬스터 성장'!H6)</f>
        <v>357.673306719</v>
      </c>
      <c r="P197">
        <v>0</v>
      </c>
      <c r="Q197">
        <v>0</v>
      </c>
      <c r="R197">
        <v>124</v>
      </c>
      <c r="S197" t="inlineStr">
        <is>
          <t>Tanker</t>
        </is>
      </c>
      <c r="T197" t="inlineStr">
        <is>
          <t>Jam</t>
        </is>
      </c>
      <c r="U197">
        <v>673.9</v>
      </c>
      <c r="V197">
        <v>1</v>
      </c>
      <c r="W197">
        <v>574.2</v>
      </c>
      <c r="X197">
        <v>116</v>
      </c>
      <c r="Y197">
        <v>0</v>
      </c>
    </row>
    <row r="198">
      <c r="B198">
        <v>206</v>
      </c>
      <c r="C198" t="inlineStr">
        <is>
          <t>HighWay</t>
        </is>
      </c>
      <c r="D198" t="inlineStr">
        <is>
          <t>HWY3_072_Taxi</t>
        </is>
      </c>
      <c r="E198">
        <v>1</v>
      </c>
      <c r="F198" t="inlineStr">
        <is>
          <t>공격 반복</t>
        </is>
      </c>
      <c r="G198">
        <v>4</v>
      </c>
      <c r="H198">
        <v>0</v>
      </c>
      <c r="I198">
        <v>150</v>
      </c>
      <c r="J198">
        <v>0</v>
      </c>
      <c r="K198">
        <v>0</v>
      </c>
      <c r="L198" t="inlineStr">
        <is>
          <t>차량 적 · 원본 전투/성장/코인 시스템</t>
        </is>
      </c>
      <c r="M198" t="inlineStr">
        <is>
          <t>Normal</t>
        </is>
      </c>
      <c r="N198">
        <v>0</v>
      </c>
      <c r="O198">
        <f>'밸런스 조정'!C154*'밸런스 조정'!C292*'밸런스 조정'!C146*(1+('몬스터 성장'!G6/'몬스터 성장'!F6-1)*(U198/'밸런스 조정'!C119)^'몬스터 성장'!H6)</f>
        <v>178.83665336</v>
      </c>
      <c r="P198">
        <v>0</v>
      </c>
      <c r="Q198">
        <v>0</v>
      </c>
      <c r="R198">
        <v>62</v>
      </c>
      <c r="S198" t="inlineStr">
        <is>
          <t>Taxi</t>
        </is>
      </c>
      <c r="T198" t="inlineStr">
        <is>
          <t>Jam</t>
        </is>
      </c>
      <c r="U198">
        <v>673.9</v>
      </c>
      <c r="V198">
        <v>2</v>
      </c>
      <c r="W198">
        <v>574.2</v>
      </c>
      <c r="X198">
        <v>116</v>
      </c>
      <c r="Y198">
        <v>0</v>
      </c>
    </row>
    <row r="199">
      <c r="B199">
        <v>207</v>
      </c>
      <c r="C199" t="inlineStr">
        <is>
          <t>HighWay</t>
        </is>
      </c>
      <c r="D199" t="inlineStr">
        <is>
          <t>HWY3_073_Tanker</t>
        </is>
      </c>
      <c r="E199">
        <v>1</v>
      </c>
      <c r="F199" t="inlineStr">
        <is>
          <t>공격 반복</t>
        </is>
      </c>
      <c r="G199">
        <v>5</v>
      </c>
      <c r="H199">
        <v>0</v>
      </c>
      <c r="I199">
        <v>150</v>
      </c>
      <c r="J199">
        <v>0</v>
      </c>
      <c r="K199">
        <v>0</v>
      </c>
      <c r="L199" t="inlineStr">
        <is>
          <t>차량 적 · 원본 전투/성장/코인 시스템</t>
        </is>
      </c>
      <c r="M199" t="inlineStr">
        <is>
          <t>Normal</t>
        </is>
      </c>
      <c r="N199">
        <v>0</v>
      </c>
      <c r="O199">
        <f>'밸런스 조정'!C154*'밸런스 조정'!C292*'밸런스 조정'!C149*(1+('몬스터 성장'!G6/'몬스터 성장'!F6-1)*(U199/'밸런스 조정'!C119)^'몬스터 성장'!H6)</f>
        <v>362.796942222</v>
      </c>
      <c r="P199">
        <v>0</v>
      </c>
      <c r="Q199">
        <v>0</v>
      </c>
      <c r="R199">
        <v>124</v>
      </c>
      <c r="S199" t="inlineStr">
        <is>
          <t>Tanker</t>
        </is>
      </c>
      <c r="T199" t="inlineStr">
        <is>
          <t>Jam</t>
        </is>
      </c>
      <c r="U199">
        <v>685.1</v>
      </c>
      <c r="V199">
        <v>0</v>
      </c>
      <c r="W199">
        <v>583.9</v>
      </c>
      <c r="X199">
        <v>117</v>
      </c>
      <c r="Y199">
        <v>0</v>
      </c>
    </row>
    <row r="200">
      <c r="B200">
        <v>208</v>
      </c>
      <c r="C200" t="inlineStr">
        <is>
          <t>HighWay</t>
        </is>
      </c>
      <c r="D200" t="inlineStr">
        <is>
          <t>HWY3_074_OneTon</t>
        </is>
      </c>
      <c r="E200">
        <v>1</v>
      </c>
      <c r="F200" t="inlineStr">
        <is>
          <t>공격 반복</t>
        </is>
      </c>
      <c r="G200">
        <v>5</v>
      </c>
      <c r="H200">
        <v>0</v>
      </c>
      <c r="I200">
        <v>150</v>
      </c>
      <c r="J200">
        <v>0</v>
      </c>
      <c r="K200">
        <v>0</v>
      </c>
      <c r="L200" t="inlineStr">
        <is>
          <t>차량 적 · 원본 전투/성장/코인 시스템</t>
        </is>
      </c>
      <c r="M200" t="inlineStr">
        <is>
          <t>Normal</t>
        </is>
      </c>
      <c r="N200">
        <v>0</v>
      </c>
      <c r="O200">
        <f>'밸런스 조정'!C154*'밸런스 조정'!C292*'밸런스 조정'!C147*(1+('몬스터 성장'!G6/'몬스터 성장'!F6-1)*(U200/'밸런스 조정'!C119)^'몬스터 성장'!H6)</f>
        <v>235.818012444</v>
      </c>
      <c r="P200">
        <v>0</v>
      </c>
      <c r="Q200">
        <v>0</v>
      </c>
      <c r="R200">
        <v>62</v>
      </c>
      <c r="S200" t="inlineStr">
        <is>
          <t>OneTon</t>
        </is>
      </c>
      <c r="T200" t="inlineStr">
        <is>
          <t>Jam</t>
        </is>
      </c>
      <c r="U200">
        <v>685.1</v>
      </c>
      <c r="V200">
        <v>1</v>
      </c>
      <c r="W200">
        <v>583.9</v>
      </c>
      <c r="X200">
        <v>117</v>
      </c>
      <c r="Y200">
        <v>0</v>
      </c>
    </row>
    <row r="201">
      <c r="B201">
        <v>209</v>
      </c>
      <c r="C201" t="inlineStr">
        <is>
          <t>HighWay</t>
        </is>
      </c>
      <c r="D201" t="inlineStr">
        <is>
          <t>HWY3_075_Sedan</t>
        </is>
      </c>
      <c r="E201">
        <v>1</v>
      </c>
      <c r="F201" t="inlineStr">
        <is>
          <t>공격 반복</t>
        </is>
      </c>
      <c r="G201">
        <v>5</v>
      </c>
      <c r="H201">
        <v>0</v>
      </c>
      <c r="I201">
        <v>150</v>
      </c>
      <c r="J201">
        <v>0</v>
      </c>
      <c r="K201">
        <v>0</v>
      </c>
      <c r="L201" t="inlineStr">
        <is>
          <t>차량 적 · 원본 전투/성장/코인 시스템</t>
        </is>
      </c>
      <c r="M201" t="inlineStr">
        <is>
          <t>Normal</t>
        </is>
      </c>
      <c r="N201">
        <v>0</v>
      </c>
      <c r="O201">
        <f>'밸런스 조정'!C154*'밸런스 조정'!C292*'밸런스 조정'!C145*(1+('몬스터 성장'!G6/'몬스터 성장'!F6-1)*(U201/'밸런스 조정'!C119)^'몬스터 성장'!H6)</f>
        <v>181.398471111</v>
      </c>
      <c r="P201">
        <v>0</v>
      </c>
      <c r="Q201">
        <v>0</v>
      </c>
      <c r="R201">
        <v>62</v>
      </c>
      <c r="S201" t="inlineStr">
        <is>
          <t>Sedan</t>
        </is>
      </c>
      <c r="T201" t="inlineStr">
        <is>
          <t>Jam</t>
        </is>
      </c>
      <c r="U201">
        <v>685.1</v>
      </c>
      <c r="V201">
        <v>2</v>
      </c>
      <c r="W201">
        <v>583.9</v>
      </c>
      <c r="X201">
        <v>117</v>
      </c>
      <c r="Y201">
        <v>0</v>
      </c>
    </row>
    <row r="202">
      <c r="B202">
        <v>210</v>
      </c>
      <c r="C202" t="inlineStr">
        <is>
          <t>HighWay</t>
        </is>
      </c>
      <c r="D202" t="inlineStr">
        <is>
          <t>HWY3_076_Taxi</t>
        </is>
      </c>
      <c r="E202">
        <v>1</v>
      </c>
      <c r="F202" t="inlineStr">
        <is>
          <t>공격 반복</t>
        </is>
      </c>
      <c r="G202">
        <v>3</v>
      </c>
      <c r="H202">
        <v>0</v>
      </c>
      <c r="I202">
        <v>150</v>
      </c>
      <c r="J202">
        <v>0</v>
      </c>
      <c r="K202">
        <v>0</v>
      </c>
      <c r="L202" t="inlineStr">
        <is>
          <t>차량 적 · 원본 전투/성장/코인 시스템</t>
        </is>
      </c>
      <c r="M202" t="inlineStr">
        <is>
          <t>Normal</t>
        </is>
      </c>
      <c r="N202">
        <v>0</v>
      </c>
      <c r="O202">
        <f>'밸런스 조정'!C154*'밸런스 조정'!C292*'밸런스 조정'!C146*(1+('몬스터 성장'!G6/'몬스터 성장'!F6-1)*(U202/'밸런스 조정'!C119)^'몬스터 성장'!H6)</f>
        <v>182.951172544</v>
      </c>
      <c r="P202">
        <v>0</v>
      </c>
      <c r="Q202">
        <v>0</v>
      </c>
      <c r="R202">
        <v>62</v>
      </c>
      <c r="S202" t="inlineStr">
        <is>
          <t>Taxi</t>
        </is>
      </c>
      <c r="T202" t="inlineStr">
        <is>
          <t>Jam</t>
        </is>
      </c>
      <c r="U202">
        <v>691.8</v>
      </c>
      <c r="V202">
        <v>0</v>
      </c>
      <c r="W202">
        <v>593.6</v>
      </c>
      <c r="X202">
        <v>118</v>
      </c>
      <c r="Y202">
        <v>0</v>
      </c>
    </row>
    <row r="203">
      <c r="B203">
        <v>211</v>
      </c>
      <c r="C203" t="inlineStr">
        <is>
          <t>HighWay</t>
        </is>
      </c>
      <c r="D203" t="inlineStr">
        <is>
          <t>HWY3_077_Box</t>
        </is>
      </c>
      <c r="E203">
        <v>1</v>
      </c>
      <c r="F203" t="inlineStr">
        <is>
          <t>공격 반복</t>
        </is>
      </c>
      <c r="G203">
        <v>3</v>
      </c>
      <c r="H203">
        <v>0</v>
      </c>
      <c r="I203">
        <v>150</v>
      </c>
      <c r="J203">
        <v>0</v>
      </c>
      <c r="K203">
        <v>0</v>
      </c>
      <c r="L203" t="inlineStr">
        <is>
          <t>차량 적 · 원본 전투/성장/코인 시스템</t>
        </is>
      </c>
      <c r="M203" t="inlineStr">
        <is>
          <t>Normal</t>
        </is>
      </c>
      <c r="N203">
        <v>0</v>
      </c>
      <c r="O203">
        <f>'밸런스 조정'!C154*'밸런스 조정'!C292*'밸런스 조정'!C148*(1+('몬스터 성장'!G6/'몬스터 성장'!F6-1)*(U203/'밸런스 조정'!C119)^'몬스터 성장'!H6)</f>
        <v>292.721876071</v>
      </c>
      <c r="P203">
        <v>0</v>
      </c>
      <c r="Q203">
        <v>0</v>
      </c>
      <c r="R203">
        <v>62</v>
      </c>
      <c r="S203" t="inlineStr">
        <is>
          <t>Box</t>
        </is>
      </c>
      <c r="T203" t="inlineStr">
        <is>
          <t>Jam</t>
        </is>
      </c>
      <c r="U203">
        <v>691.8</v>
      </c>
      <c r="V203">
        <v>1</v>
      </c>
      <c r="W203">
        <v>593.6</v>
      </c>
      <c r="X203">
        <v>118</v>
      </c>
      <c r="Y203">
        <v>0</v>
      </c>
    </row>
    <row r="204">
      <c r="B204">
        <v>212</v>
      </c>
      <c r="C204" t="inlineStr">
        <is>
          <t>HighWay</t>
        </is>
      </c>
      <c r="D204" t="inlineStr">
        <is>
          <t>HWY3_078_Tanker</t>
        </is>
      </c>
      <c r="E204">
        <v>1</v>
      </c>
      <c r="F204" t="inlineStr">
        <is>
          <t>공격 반복</t>
        </is>
      </c>
      <c r="G204">
        <v>3</v>
      </c>
      <c r="H204">
        <v>0</v>
      </c>
      <c r="I204">
        <v>150</v>
      </c>
      <c r="J204">
        <v>0</v>
      </c>
      <c r="K204">
        <v>0</v>
      </c>
      <c r="L204" t="inlineStr">
        <is>
          <t>차량 적 · 원본 전투/성장/코인 시스템</t>
        </is>
      </c>
      <c r="M204" t="inlineStr">
        <is>
          <t>Normal</t>
        </is>
      </c>
      <c r="N204">
        <v>0</v>
      </c>
      <c r="O204">
        <f>'밸런스 조정'!C154*'밸런스 조정'!C292*'밸런스 조정'!C149*(1+('몬스터 성장'!G6/'몬스터 성장'!F6-1)*(U204/'밸런스 조정'!C119)^'몬스터 성장'!H6)</f>
        <v>365.902345089</v>
      </c>
      <c r="P204">
        <v>0</v>
      </c>
      <c r="Q204">
        <v>0</v>
      </c>
      <c r="R204">
        <v>124</v>
      </c>
      <c r="S204" t="inlineStr">
        <is>
          <t>Tanker</t>
        </is>
      </c>
      <c r="T204" t="inlineStr">
        <is>
          <t>Jam</t>
        </is>
      </c>
      <c r="U204">
        <v>691.8</v>
      </c>
      <c r="V204">
        <v>2</v>
      </c>
      <c r="W204">
        <v>593.6</v>
      </c>
      <c r="X204">
        <v>118</v>
      </c>
      <c r="Y204">
        <v>0</v>
      </c>
    </row>
    <row r="205">
      <c r="B205">
        <v>213</v>
      </c>
      <c r="C205" t="inlineStr">
        <is>
          <t>HighWay</t>
        </is>
      </c>
      <c r="D205" t="inlineStr">
        <is>
          <t>HWY3_079_Sedan</t>
        </is>
      </c>
      <c r="E205">
        <v>1</v>
      </c>
      <c r="F205" t="inlineStr">
        <is>
          <t>공격 반복</t>
        </is>
      </c>
      <c r="G205">
        <v>4</v>
      </c>
      <c r="H205">
        <v>0</v>
      </c>
      <c r="I205">
        <v>150</v>
      </c>
      <c r="J205">
        <v>0</v>
      </c>
      <c r="K205">
        <v>0</v>
      </c>
      <c r="L205" t="inlineStr">
        <is>
          <t>차량 적 · 원본 전투/성장/코인 시스템</t>
        </is>
      </c>
      <c r="M205" t="inlineStr">
        <is>
          <t>Normal</t>
        </is>
      </c>
      <c r="N205">
        <v>0</v>
      </c>
      <c r="O205">
        <f>'밸런스 조정'!C154*'밸런스 조정'!C292*'밸런스 조정'!C145*(1+('몬스터 성장'!G6/'몬스터 성장'!F6-1)*(U205/'밸런스 조정'!C119)^'몬스터 성장'!H6)</f>
        <v>185.580476003</v>
      </c>
      <c r="P205">
        <v>0</v>
      </c>
      <c r="Q205">
        <v>0</v>
      </c>
      <c r="R205">
        <v>62</v>
      </c>
      <c r="S205" t="inlineStr">
        <is>
          <t>Sedan</t>
        </is>
      </c>
      <c r="T205" t="inlineStr">
        <is>
          <t>Jam</t>
        </is>
      </c>
      <c r="U205">
        <v>703</v>
      </c>
      <c r="V205">
        <v>0</v>
      </c>
      <c r="W205">
        <v>603.3</v>
      </c>
      <c r="X205">
        <v>119</v>
      </c>
      <c r="Y205">
        <v>0</v>
      </c>
    </row>
    <row r="206">
      <c r="B206">
        <v>214</v>
      </c>
      <c r="C206" t="inlineStr">
        <is>
          <t>HighWay</t>
        </is>
      </c>
      <c r="D206" t="inlineStr">
        <is>
          <t>HWY3_080_Tanker</t>
        </is>
      </c>
      <c r="E206">
        <v>1</v>
      </c>
      <c r="F206" t="inlineStr">
        <is>
          <t>공격 반복</t>
        </is>
      </c>
      <c r="G206">
        <v>4</v>
      </c>
      <c r="H206">
        <v>0</v>
      </c>
      <c r="I206">
        <v>150</v>
      </c>
      <c r="J206">
        <v>0</v>
      </c>
      <c r="K206">
        <v>0</v>
      </c>
      <c r="L206" t="inlineStr">
        <is>
          <t>차량 적 · 원본 전투/성장/코인 시스템</t>
        </is>
      </c>
      <c r="M206" t="inlineStr">
        <is>
          <t>Normal</t>
        </is>
      </c>
      <c r="N206">
        <v>0</v>
      </c>
      <c r="O206">
        <f>'밸런스 조정'!C154*'밸런스 조정'!C292*'밸런스 조정'!C149*(1+('몬스터 성장'!G6/'몬스터 성장'!F6-1)*(U206/'밸런스 조정'!C119)^'몬스터 성장'!H6)</f>
        <v>371.160952005</v>
      </c>
      <c r="P206">
        <v>0</v>
      </c>
      <c r="Q206">
        <v>0</v>
      </c>
      <c r="R206">
        <v>124</v>
      </c>
      <c r="S206" t="inlineStr">
        <is>
          <t>Tanker</t>
        </is>
      </c>
      <c r="T206" t="inlineStr">
        <is>
          <t>Jam</t>
        </is>
      </c>
      <c r="U206">
        <v>703</v>
      </c>
      <c r="V206">
        <v>1</v>
      </c>
      <c r="W206">
        <v>603.3</v>
      </c>
      <c r="X206">
        <v>119</v>
      </c>
      <c r="Y206">
        <v>0</v>
      </c>
    </row>
    <row r="207">
      <c r="B207">
        <v>215</v>
      </c>
      <c r="C207" t="inlineStr">
        <is>
          <t>HighWay</t>
        </is>
      </c>
      <c r="D207" t="inlineStr">
        <is>
          <t>HWY3_081_OneTon</t>
        </is>
      </c>
      <c r="E207">
        <v>1</v>
      </c>
      <c r="F207" t="inlineStr">
        <is>
          <t>공격 반복</t>
        </is>
      </c>
      <c r="G207">
        <v>4</v>
      </c>
      <c r="H207">
        <v>0</v>
      </c>
      <c r="I207">
        <v>150</v>
      </c>
      <c r="J207">
        <v>0</v>
      </c>
      <c r="K207">
        <v>0</v>
      </c>
      <c r="L207" t="inlineStr">
        <is>
          <t>차량 적 · 원본 전투/성장/코인 시스템</t>
        </is>
      </c>
      <c r="M207" t="inlineStr">
        <is>
          <t>Normal</t>
        </is>
      </c>
      <c r="N207">
        <v>0</v>
      </c>
      <c r="O207">
        <f>'밸런스 조정'!C154*'밸런스 조정'!C292*'밸런스 조정'!C147*(1+('몬스터 성장'!G6/'몬스터 성장'!F6-1)*(U207/'밸런스 조정'!C119)^'몬스터 성장'!H6)</f>
        <v>241.254618803</v>
      </c>
      <c r="P207">
        <v>0</v>
      </c>
      <c r="Q207">
        <v>0</v>
      </c>
      <c r="R207">
        <v>62</v>
      </c>
      <c r="S207" t="inlineStr">
        <is>
          <t>OneTon</t>
        </is>
      </c>
      <c r="T207" t="inlineStr">
        <is>
          <t>Jam</t>
        </is>
      </c>
      <c r="U207">
        <v>703</v>
      </c>
      <c r="V207">
        <v>2</v>
      </c>
      <c r="W207">
        <v>603.3</v>
      </c>
      <c r="X207">
        <v>119</v>
      </c>
      <c r="Y207">
        <v>0</v>
      </c>
    </row>
    <row r="208">
      <c r="B208">
        <v>216</v>
      </c>
      <c r="C208" t="inlineStr">
        <is>
          <t>HighWay</t>
        </is>
      </c>
      <c r="D208" t="inlineStr">
        <is>
          <t>HWY3_082_Taxi</t>
        </is>
      </c>
      <c r="E208">
        <v>1</v>
      </c>
      <c r="F208" t="inlineStr">
        <is>
          <t>공격 반복</t>
        </is>
      </c>
      <c r="G208">
        <v>5</v>
      </c>
      <c r="H208">
        <v>0</v>
      </c>
      <c r="I208">
        <v>150</v>
      </c>
      <c r="J208">
        <v>0</v>
      </c>
      <c r="K208">
        <v>0</v>
      </c>
      <c r="L208" t="inlineStr">
        <is>
          <t>차량 적 · 원본 전투/성장/코인 시스템</t>
        </is>
      </c>
      <c r="M208" t="inlineStr">
        <is>
          <t>Normal</t>
        </is>
      </c>
      <c r="N208">
        <v>0</v>
      </c>
      <c r="O208">
        <f>'밸런스 조정'!C154*'밸런스 조정'!C292*'밸런스 조정'!C146*(1+('몬스터 성장'!G6/'몬스터 성장'!F6-1)*(U208/'밸런스 조정'!C119)^'몬스터 성장'!H6)</f>
        <v>188.252005155</v>
      </c>
      <c r="P208">
        <v>0</v>
      </c>
      <c r="Q208">
        <v>0</v>
      </c>
      <c r="R208">
        <v>62</v>
      </c>
      <c r="S208" t="inlineStr">
        <is>
          <t>Taxi</t>
        </is>
      </c>
      <c r="T208" t="inlineStr">
        <is>
          <t>Jam</t>
        </is>
      </c>
      <c r="U208">
        <v>714.2</v>
      </c>
      <c r="V208">
        <v>0</v>
      </c>
      <c r="W208">
        <v>613</v>
      </c>
      <c r="X208">
        <v>120</v>
      </c>
      <c r="Y208">
        <v>0</v>
      </c>
    </row>
    <row r="209">
      <c r="B209">
        <v>217</v>
      </c>
      <c r="C209" t="inlineStr">
        <is>
          <t>HighWay</t>
        </is>
      </c>
      <c r="D209" t="inlineStr">
        <is>
          <t>HWY3_083_OneTon</t>
        </is>
      </c>
      <c r="E209">
        <v>1</v>
      </c>
      <c r="F209" t="inlineStr">
        <is>
          <t>공격 반복</t>
        </is>
      </c>
      <c r="G209">
        <v>5</v>
      </c>
      <c r="H209">
        <v>0</v>
      </c>
      <c r="I209">
        <v>150</v>
      </c>
      <c r="J209">
        <v>0</v>
      </c>
      <c r="K209">
        <v>0</v>
      </c>
      <c r="L209" t="inlineStr">
        <is>
          <t>차량 적 · 원본 전투/성장/코인 시스템</t>
        </is>
      </c>
      <c r="M209" t="inlineStr">
        <is>
          <t>Normal</t>
        </is>
      </c>
      <c r="N209">
        <v>0</v>
      </c>
      <c r="O209">
        <f>'밸런스 조정'!C154*'밸런스 조정'!C292*'밸런스 조정'!C147*(1+('몬스터 성장'!G6/'몬스터 성장'!F6-1)*(U209/'밸런스 조정'!C119)^'몬스터 성장'!H6)</f>
        <v>244.727606701</v>
      </c>
      <c r="P209">
        <v>0</v>
      </c>
      <c r="Q209">
        <v>0</v>
      </c>
      <c r="R209">
        <v>62</v>
      </c>
      <c r="S209" t="inlineStr">
        <is>
          <t>OneTon</t>
        </is>
      </c>
      <c r="T209" t="inlineStr">
        <is>
          <t>Jam</t>
        </is>
      </c>
      <c r="U209">
        <v>714.2</v>
      </c>
      <c r="V209">
        <v>1</v>
      </c>
      <c r="W209">
        <v>613</v>
      </c>
      <c r="X209">
        <v>120</v>
      </c>
      <c r="Y209">
        <v>0</v>
      </c>
    </row>
    <row r="210">
      <c r="B210">
        <v>218</v>
      </c>
      <c r="C210" t="inlineStr">
        <is>
          <t>HighWay</t>
        </is>
      </c>
      <c r="D210" t="inlineStr">
        <is>
          <t>HWY3_084_Box</t>
        </is>
      </c>
      <c r="E210">
        <v>1</v>
      </c>
      <c r="F210" t="inlineStr">
        <is>
          <t>공격 반복</t>
        </is>
      </c>
      <c r="G210">
        <v>5</v>
      </c>
      <c r="H210">
        <v>0</v>
      </c>
      <c r="I210">
        <v>150</v>
      </c>
      <c r="J210">
        <v>0</v>
      </c>
      <c r="K210">
        <v>0</v>
      </c>
      <c r="L210" t="inlineStr">
        <is>
          <t>차량 적 · 원본 전투/성장/코인 시스템</t>
        </is>
      </c>
      <c r="M210" t="inlineStr">
        <is>
          <t>Normal</t>
        </is>
      </c>
      <c r="N210">
        <v>0</v>
      </c>
      <c r="O210">
        <f>'밸런스 조정'!C154*'밸런스 조정'!C292*'밸런스 조정'!C148*(1+('몬스터 성장'!G6/'몬스터 성장'!F6-1)*(U210/'밸런스 조정'!C119)^'몬스터 성장'!H6)</f>
        <v>301.203208247</v>
      </c>
      <c r="P210">
        <v>0</v>
      </c>
      <c r="Q210">
        <v>0</v>
      </c>
      <c r="R210">
        <v>62</v>
      </c>
      <c r="S210" t="inlineStr">
        <is>
          <t>Box</t>
        </is>
      </c>
      <c r="T210" t="inlineStr">
        <is>
          <t>Jam</t>
        </is>
      </c>
      <c r="U210">
        <v>714.2</v>
      </c>
      <c r="V210">
        <v>2</v>
      </c>
      <c r="W210">
        <v>613</v>
      </c>
      <c r="X210">
        <v>120</v>
      </c>
      <c r="Y210">
        <v>0</v>
      </c>
    </row>
    <row r="211">
      <c r="B211">
        <v>219</v>
      </c>
      <c r="C211" t="inlineStr">
        <is>
          <t>HighWay</t>
        </is>
      </c>
      <c r="D211" t="inlineStr">
        <is>
          <t>HWY3_085_OneTon</t>
        </is>
      </c>
      <c r="E211">
        <v>1</v>
      </c>
      <c r="F211" t="inlineStr">
        <is>
          <t>공격 반복</t>
        </is>
      </c>
      <c r="G211">
        <v>3</v>
      </c>
      <c r="H211">
        <v>0</v>
      </c>
      <c r="I211">
        <v>150</v>
      </c>
      <c r="J211">
        <v>0</v>
      </c>
      <c r="K211">
        <v>0</v>
      </c>
      <c r="L211" t="inlineStr">
        <is>
          <t>차량 적 · 원본 전투/성장/코인 시스템</t>
        </is>
      </c>
      <c r="M211" t="inlineStr">
        <is>
          <t>Normal</t>
        </is>
      </c>
      <c r="N211">
        <v>0</v>
      </c>
      <c r="O211">
        <f>'밸런스 조정'!C154*'밸런스 조정'!C292*'밸런스 조정'!C147*(1+('몬스터 성장'!G6/'몬스터 성장'!F6-1)*(U211/'밸런스 조정'!C119)^'몬스터 성장'!H6)</f>
        <v>246.831438769</v>
      </c>
      <c r="P211">
        <v>0</v>
      </c>
      <c r="Q211">
        <v>0</v>
      </c>
      <c r="R211">
        <v>62</v>
      </c>
      <c r="S211" t="inlineStr">
        <is>
          <t>OneTon</t>
        </is>
      </c>
      <c r="T211" t="inlineStr">
        <is>
          <t>Jam</t>
        </is>
      </c>
      <c r="U211">
        <v>720.9</v>
      </c>
      <c r="V211">
        <v>0</v>
      </c>
      <c r="W211">
        <v>622.7</v>
      </c>
      <c r="X211">
        <v>121</v>
      </c>
      <c r="Y211">
        <v>0</v>
      </c>
    </row>
    <row r="212">
      <c r="B212">
        <v>220</v>
      </c>
      <c r="C212" t="inlineStr">
        <is>
          <t>HighWay</t>
        </is>
      </c>
      <c r="D212" t="inlineStr">
        <is>
          <t>HWY3_086_Sedan</t>
        </is>
      </c>
      <c r="E212">
        <v>1</v>
      </c>
      <c r="F212" t="inlineStr">
        <is>
          <t>공격 반복</t>
        </is>
      </c>
      <c r="G212">
        <v>3</v>
      </c>
      <c r="H212">
        <v>0</v>
      </c>
      <c r="I212">
        <v>150</v>
      </c>
      <c r="J212">
        <v>0</v>
      </c>
      <c r="K212">
        <v>0</v>
      </c>
      <c r="L212" t="inlineStr">
        <is>
          <t>차량 적 · 원본 전투/성장/코인 시스템</t>
        </is>
      </c>
      <c r="M212" t="inlineStr">
        <is>
          <t>Normal</t>
        </is>
      </c>
      <c r="N212">
        <v>0</v>
      </c>
      <c r="O212">
        <f>'밸런스 조정'!C154*'밸런스 조정'!C292*'밸런스 조정'!C145*(1+('몬스터 성장'!G6/'몬스터 성장'!F6-1)*(U212/'밸런스 조정'!C119)^'몬스터 성장'!H6)</f>
        <v>189.870337515</v>
      </c>
      <c r="P212">
        <v>0</v>
      </c>
      <c r="Q212">
        <v>0</v>
      </c>
      <c r="R212">
        <v>62</v>
      </c>
      <c r="S212" t="inlineStr">
        <is>
          <t>Sedan</t>
        </is>
      </c>
      <c r="T212" t="inlineStr">
        <is>
          <t>Jam</t>
        </is>
      </c>
      <c r="U212">
        <v>720.9</v>
      </c>
      <c r="V212">
        <v>1</v>
      </c>
      <c r="W212">
        <v>622.7</v>
      </c>
      <c r="X212">
        <v>121</v>
      </c>
      <c r="Y212">
        <v>0</v>
      </c>
    </row>
    <row r="213">
      <c r="B213">
        <v>221</v>
      </c>
      <c r="C213" t="inlineStr">
        <is>
          <t>HighWay</t>
        </is>
      </c>
      <c r="D213" t="inlineStr">
        <is>
          <t>HWY3_087_Tanker</t>
        </is>
      </c>
      <c r="E213">
        <v>1</v>
      </c>
      <c r="F213" t="inlineStr">
        <is>
          <t>공격 반복</t>
        </is>
      </c>
      <c r="G213">
        <v>3</v>
      </c>
      <c r="H213">
        <v>0</v>
      </c>
      <c r="I213">
        <v>150</v>
      </c>
      <c r="J213">
        <v>0</v>
      </c>
      <c r="K213">
        <v>0</v>
      </c>
      <c r="L213" t="inlineStr">
        <is>
          <t>차량 적 · 원본 전투/성장/코인 시스템</t>
        </is>
      </c>
      <c r="M213" t="inlineStr">
        <is>
          <t>Normal</t>
        </is>
      </c>
      <c r="N213">
        <v>0</v>
      </c>
      <c r="O213">
        <f>'밸런스 조정'!C154*'밸런스 조정'!C292*'밸런스 조정'!C149*(1+('몬스터 성장'!G6/'몬스터 성장'!F6-1)*(U213/'밸런스 조정'!C119)^'몬스터 성장'!H6)</f>
        <v>379.74067503</v>
      </c>
      <c r="P213">
        <v>0</v>
      </c>
      <c r="Q213">
        <v>0</v>
      </c>
      <c r="R213">
        <v>124</v>
      </c>
      <c r="S213" t="inlineStr">
        <is>
          <t>Tanker</t>
        </is>
      </c>
      <c r="T213" t="inlineStr">
        <is>
          <t>Jam</t>
        </is>
      </c>
      <c r="U213">
        <v>720.9</v>
      </c>
      <c r="V213">
        <v>2</v>
      </c>
      <c r="W213">
        <v>622.7</v>
      </c>
      <c r="X213">
        <v>121</v>
      </c>
      <c r="Y213">
        <v>0</v>
      </c>
    </row>
    <row r="214">
      <c r="B214">
        <v>222</v>
      </c>
      <c r="C214" t="inlineStr">
        <is>
          <t>HighWay</t>
        </is>
      </c>
      <c r="D214" t="inlineStr">
        <is>
          <t>HWY3_088_Taxi</t>
        </is>
      </c>
      <c r="E214">
        <v>1</v>
      </c>
      <c r="F214" t="inlineStr">
        <is>
          <t>공격 반복</t>
        </is>
      </c>
      <c r="G214">
        <v>4</v>
      </c>
      <c r="H214">
        <v>0</v>
      </c>
      <c r="I214">
        <v>150</v>
      </c>
      <c r="J214">
        <v>0</v>
      </c>
      <c r="K214">
        <v>0</v>
      </c>
      <c r="L214" t="inlineStr">
        <is>
          <t>차량 적 · 원본 전투/성장/코인 시스템</t>
        </is>
      </c>
      <c r="M214" t="inlineStr">
        <is>
          <t>Normal</t>
        </is>
      </c>
      <c r="N214">
        <v>0</v>
      </c>
      <c r="O214">
        <f>'밸런스 조정'!C154*'밸런스 조정'!C292*'밸런스 조정'!C146*(1+('몬스터 성장'!G6/'몬스터 성장'!F6-1)*(U214/'밸런스 조정'!C119)^'몬스터 성장'!H6)</f>
        <v>192.609352373</v>
      </c>
      <c r="P214">
        <v>0</v>
      </c>
      <c r="Q214">
        <v>0</v>
      </c>
      <c r="R214">
        <v>62</v>
      </c>
      <c r="S214" t="inlineStr">
        <is>
          <t>Taxi</t>
        </is>
      </c>
      <c r="T214" t="inlineStr">
        <is>
          <t>Jam</t>
        </is>
      </c>
      <c r="U214">
        <v>732.1</v>
      </c>
      <c r="V214">
        <v>0</v>
      </c>
      <c r="W214">
        <v>632.4</v>
      </c>
      <c r="X214">
        <v>122</v>
      </c>
      <c r="Y214">
        <v>0</v>
      </c>
    </row>
    <row r="215">
      <c r="B215">
        <v>223</v>
      </c>
      <c r="C215" t="inlineStr">
        <is>
          <t>HighWay</t>
        </is>
      </c>
      <c r="D215" t="inlineStr">
        <is>
          <t>HWY3_089_Bus</t>
        </is>
      </c>
      <c r="E215">
        <v>1</v>
      </c>
      <c r="F215" t="inlineStr">
        <is>
          <t>공격 반복</t>
        </is>
      </c>
      <c r="G215">
        <v>4</v>
      </c>
      <c r="H215">
        <v>0</v>
      </c>
      <c r="I215">
        <v>150</v>
      </c>
      <c r="J215">
        <v>0</v>
      </c>
      <c r="K215">
        <v>0</v>
      </c>
      <c r="L215" t="inlineStr">
        <is>
          <t>차량 적 · 원본 전투/성장/코인 시스템</t>
        </is>
      </c>
      <c r="M215" t="inlineStr">
        <is>
          <t>Normal</t>
        </is>
      </c>
      <c r="N215">
        <v>0</v>
      </c>
      <c r="O215">
        <f>'밸런스 조정'!C154*'밸런스 조정'!C292*'밸런스 조정'!C150*(1+('몬스터 성장'!G6/'몬스터 성장'!F6-1)*(U215/'밸런스 조정'!C119)^'몬스터 성장'!H6)</f>
        <v>577.82805712</v>
      </c>
      <c r="P215">
        <v>0</v>
      </c>
      <c r="Q215">
        <v>0</v>
      </c>
      <c r="R215">
        <v>124</v>
      </c>
      <c r="S215" t="inlineStr">
        <is>
          <t>Bus</t>
        </is>
      </c>
      <c r="T215" t="inlineStr">
        <is>
          <t>Jam</t>
        </is>
      </c>
      <c r="U215">
        <v>732.1</v>
      </c>
      <c r="V215">
        <v>1.5</v>
      </c>
      <c r="W215">
        <v>632.4</v>
      </c>
      <c r="X215">
        <v>122</v>
      </c>
      <c r="Y215">
        <v>0</v>
      </c>
    </row>
    <row r="216">
      <c r="B216">
        <v>224</v>
      </c>
      <c r="C216" t="inlineStr">
        <is>
          <t>HighWay</t>
        </is>
      </c>
      <c r="D216" t="inlineStr">
        <is>
          <t>HWY3_090_OneTon</t>
        </is>
      </c>
      <c r="E216">
        <v>1</v>
      </c>
      <c r="F216" t="inlineStr">
        <is>
          <t>공격 반복</t>
        </is>
      </c>
      <c r="G216">
        <v>4</v>
      </c>
      <c r="H216">
        <v>0</v>
      </c>
      <c r="I216">
        <v>150</v>
      </c>
      <c r="J216">
        <v>0</v>
      </c>
      <c r="K216">
        <v>0</v>
      </c>
      <c r="L216" t="inlineStr">
        <is>
          <t>차량 적 · 원본 전투/성장/코인 시스템</t>
        </is>
      </c>
      <c r="M216" t="inlineStr">
        <is>
          <t>Normal</t>
        </is>
      </c>
      <c r="N216">
        <v>0</v>
      </c>
      <c r="O216">
        <f>'밸런스 조정'!C154*'밸런스 조정'!C292*'밸런스 조정'!C147*(1+('몬스터 성장'!G6/'몬스터 성장'!F6-1)*(U216/'밸런스 조정'!C119)^'몬스터 성장'!H6)</f>
        <v>258.207116034</v>
      </c>
      <c r="P216">
        <v>0</v>
      </c>
      <c r="Q216">
        <v>0</v>
      </c>
      <c r="R216">
        <v>62</v>
      </c>
      <c r="S216" t="inlineStr">
        <is>
          <t>OneTon</t>
        </is>
      </c>
      <c r="T216" t="inlineStr">
        <is>
          <t>Jam</t>
        </is>
      </c>
      <c r="U216">
        <v>756.1</v>
      </c>
      <c r="V216">
        <v>2</v>
      </c>
      <c r="W216">
        <v>632.4</v>
      </c>
      <c r="X216">
        <v>122</v>
      </c>
      <c r="Y216">
        <v>0</v>
      </c>
    </row>
    <row r="217">
      <c r="B217">
        <v>225</v>
      </c>
      <c r="C217" t="inlineStr">
        <is>
          <t>HighWay</t>
        </is>
      </c>
      <c r="D217" t="inlineStr">
        <is>
          <t>HWY3_091_Tanker</t>
        </is>
      </c>
      <c r="E217">
        <v>1</v>
      </c>
      <c r="F217" t="inlineStr">
        <is>
          <t>공격 반복</t>
        </is>
      </c>
      <c r="G217">
        <v>5</v>
      </c>
      <c r="H217">
        <v>0</v>
      </c>
      <c r="I217">
        <v>150</v>
      </c>
      <c r="J217">
        <v>0</v>
      </c>
      <c r="K217">
        <v>0</v>
      </c>
      <c r="L217" t="inlineStr">
        <is>
          <t>차량 적 · 원본 전투/성장/코인 시스템</t>
        </is>
      </c>
      <c r="M217" t="inlineStr">
        <is>
          <t>Normal</t>
        </is>
      </c>
      <c r="N217">
        <v>0</v>
      </c>
      <c r="O217">
        <f>'밸런스 조정'!C154*'밸런스 조정'!C292*'밸런스 조정'!C149*(1+('몬스터 성장'!G6/'몬스터 성장'!F6-1)*(U217/'밸런스 조정'!C119)^'몬스터 성장'!H6)</f>
        <v>390.781185851</v>
      </c>
      <c r="P217">
        <v>0</v>
      </c>
      <c r="Q217">
        <v>0</v>
      </c>
      <c r="R217">
        <v>124</v>
      </c>
      <c r="S217" t="inlineStr">
        <is>
          <t>Tanker</t>
        </is>
      </c>
      <c r="T217" t="inlineStr">
        <is>
          <t>Jam</t>
        </is>
      </c>
      <c r="U217">
        <v>743.3</v>
      </c>
      <c r="V217">
        <v>0</v>
      </c>
      <c r="W217">
        <v>642.1</v>
      </c>
      <c r="X217">
        <v>123</v>
      </c>
      <c r="Y217">
        <v>0</v>
      </c>
    </row>
    <row r="218">
      <c r="B218">
        <v>226</v>
      </c>
      <c r="C218" t="inlineStr">
        <is>
          <t>HighWay</t>
        </is>
      </c>
      <c r="D218" t="inlineStr">
        <is>
          <t>HWY3_092_Sedan</t>
        </is>
      </c>
      <c r="E218">
        <v>1</v>
      </c>
      <c r="F218" t="inlineStr">
        <is>
          <t>공격 반복</t>
        </is>
      </c>
      <c r="G218">
        <v>5</v>
      </c>
      <c r="H218">
        <v>0</v>
      </c>
      <c r="I218">
        <v>150</v>
      </c>
      <c r="J218">
        <v>0</v>
      </c>
      <c r="K218">
        <v>0</v>
      </c>
      <c r="L218" t="inlineStr">
        <is>
          <t>차량 적 · 원본 전투/성장/코인 시스템</t>
        </is>
      </c>
      <c r="M218" t="inlineStr">
        <is>
          <t>Normal</t>
        </is>
      </c>
      <c r="N218">
        <v>0</v>
      </c>
      <c r="O218">
        <f>'밸런스 조정'!C154*'밸런스 조정'!C292*'밸런스 조정'!C145*(1+('몬스터 성장'!G6/'몬스터 성장'!F6-1)*(U218/'밸런스 조정'!C119)^'몬스터 성장'!H6)</f>
        <v>195.390592926</v>
      </c>
      <c r="P218">
        <v>0</v>
      </c>
      <c r="Q218">
        <v>0</v>
      </c>
      <c r="R218">
        <v>62</v>
      </c>
      <c r="S218" t="inlineStr">
        <is>
          <t>Sedan</t>
        </is>
      </c>
      <c r="T218" t="inlineStr">
        <is>
          <t>Jam</t>
        </is>
      </c>
      <c r="U218">
        <v>743.3</v>
      </c>
      <c r="V218">
        <v>1</v>
      </c>
      <c r="W218">
        <v>642.1</v>
      </c>
      <c r="X218">
        <v>123</v>
      </c>
      <c r="Y218">
        <v>0</v>
      </c>
    </row>
    <row r="219">
      <c r="B219">
        <v>227</v>
      </c>
      <c r="C219" t="inlineStr">
        <is>
          <t>HighWay</t>
        </is>
      </c>
      <c r="D219" t="inlineStr">
        <is>
          <t>HWY3_093_Box</t>
        </is>
      </c>
      <c r="E219">
        <v>1</v>
      </c>
      <c r="F219" t="inlineStr">
        <is>
          <t>공격 반복</t>
        </is>
      </c>
      <c r="G219">
        <v>5</v>
      </c>
      <c r="H219">
        <v>0</v>
      </c>
      <c r="I219">
        <v>150</v>
      </c>
      <c r="J219">
        <v>0</v>
      </c>
      <c r="K219">
        <v>0</v>
      </c>
      <c r="L219" t="inlineStr">
        <is>
          <t>차량 적 · 원본 전투/성장/코인 시스템</t>
        </is>
      </c>
      <c r="M219" t="inlineStr">
        <is>
          <t>Normal</t>
        </is>
      </c>
      <c r="N219">
        <v>0</v>
      </c>
      <c r="O219">
        <f>'밸런스 조정'!C154*'밸런스 조정'!C292*'밸런스 조정'!C148*(1+('몬스터 성장'!G6/'몬스터 성장'!F6-1)*(U219/'밸런스 조정'!C119)^'몬스터 성장'!H6)</f>
        <v>312.624948681</v>
      </c>
      <c r="P219">
        <v>0</v>
      </c>
      <c r="Q219">
        <v>0</v>
      </c>
      <c r="R219">
        <v>62</v>
      </c>
      <c r="S219" t="inlineStr">
        <is>
          <t>Box</t>
        </is>
      </c>
      <c r="T219" t="inlineStr">
        <is>
          <t>Jam</t>
        </is>
      </c>
      <c r="U219">
        <v>743.3</v>
      </c>
      <c r="V219">
        <v>2</v>
      </c>
      <c r="W219">
        <v>642.1</v>
      </c>
      <c r="X219">
        <v>123</v>
      </c>
      <c r="Y219">
        <v>0</v>
      </c>
    </row>
    <row r="220">
      <c r="B220">
        <v>228</v>
      </c>
      <c r="C220" t="inlineStr">
        <is>
          <t>HighWay</t>
        </is>
      </c>
      <c r="D220" t="inlineStr">
        <is>
          <t>HWY3_094_OneTon</t>
        </is>
      </c>
      <c r="E220">
        <v>1</v>
      </c>
      <c r="F220" t="inlineStr">
        <is>
          <t>공격 반복</t>
        </is>
      </c>
      <c r="G220">
        <v>3</v>
      </c>
      <c r="H220">
        <v>0</v>
      </c>
      <c r="I220">
        <v>150</v>
      </c>
      <c r="J220">
        <v>0</v>
      </c>
      <c r="K220">
        <v>0</v>
      </c>
      <c r="L220" t="inlineStr">
        <is>
          <t>차량 적 · 원본 전투/성장/코인 시스템</t>
        </is>
      </c>
      <c r="M220" t="inlineStr">
        <is>
          <t>Normal</t>
        </is>
      </c>
      <c r="N220">
        <v>0</v>
      </c>
      <c r="O220">
        <f>'밸런스 조정'!C154*'밸런스 조정'!C292*'밸런스 조정'!C147*(1+('몬스터 성장'!G6/'몬스터 성장'!F6-1)*(U220/'밸런스 조정'!C119)^'몬스터 성장'!H6)</f>
        <v>256.196923077</v>
      </c>
      <c r="P220">
        <v>0</v>
      </c>
      <c r="Q220">
        <v>0</v>
      </c>
      <c r="R220">
        <v>62</v>
      </c>
      <c r="S220" t="inlineStr">
        <is>
          <t>OneTon</t>
        </is>
      </c>
      <c r="T220" t="inlineStr">
        <is>
          <t>Jam</t>
        </is>
      </c>
      <c r="U220">
        <v>750</v>
      </c>
      <c r="V220">
        <v>0</v>
      </c>
      <c r="W220">
        <v>651.8</v>
      </c>
      <c r="X220">
        <v>124</v>
      </c>
      <c r="Y220">
        <v>0</v>
      </c>
    </row>
    <row r="221">
      <c r="B221">
        <v>229</v>
      </c>
      <c r="C221" t="inlineStr">
        <is>
          <t>HighWay</t>
        </is>
      </c>
      <c r="D221" t="inlineStr">
        <is>
          <t>HWY3_095_Box</t>
        </is>
      </c>
      <c r="E221">
        <v>1</v>
      </c>
      <c r="F221" t="inlineStr">
        <is>
          <t>공격 반복</t>
        </is>
      </c>
      <c r="G221">
        <v>3</v>
      </c>
      <c r="H221">
        <v>0</v>
      </c>
      <c r="I221">
        <v>150</v>
      </c>
      <c r="J221">
        <v>0</v>
      </c>
      <c r="K221">
        <v>0</v>
      </c>
      <c r="L221" t="inlineStr">
        <is>
          <t>차량 적 · 원본 전투/성장/코인 시스템</t>
        </is>
      </c>
      <c r="M221" t="inlineStr">
        <is>
          <t>Normal</t>
        </is>
      </c>
      <c r="N221">
        <v>0</v>
      </c>
      <c r="O221">
        <f>'밸런스 조정'!C154*'밸런스 조정'!C292*'밸런스 조정'!C148*(1+('몬스터 성장'!G6/'몬스터 성장'!F6-1)*(U221/'밸런스 조정'!C119)^'몬스터 성장'!H6)</f>
        <v>315.319289941</v>
      </c>
      <c r="P221">
        <v>0</v>
      </c>
      <c r="Q221">
        <v>0</v>
      </c>
      <c r="R221">
        <v>62</v>
      </c>
      <c r="S221" t="inlineStr">
        <is>
          <t>Box</t>
        </is>
      </c>
      <c r="T221" t="inlineStr">
        <is>
          <t>Jam</t>
        </is>
      </c>
      <c r="U221">
        <v>750</v>
      </c>
      <c r="V221">
        <v>1</v>
      </c>
      <c r="W221">
        <v>651.8</v>
      </c>
      <c r="X221">
        <v>124</v>
      </c>
      <c r="Y221">
        <v>0</v>
      </c>
    </row>
    <row r="222">
      <c r="B222">
        <v>230</v>
      </c>
      <c r="C222" t="inlineStr">
        <is>
          <t>HighWay</t>
        </is>
      </c>
      <c r="D222" t="inlineStr">
        <is>
          <t>HWY3_096_Taxi</t>
        </is>
      </c>
      <c r="E222">
        <v>1</v>
      </c>
      <c r="F222" t="inlineStr">
        <is>
          <t>공격 반복</t>
        </is>
      </c>
      <c r="G222">
        <v>3</v>
      </c>
      <c r="H222">
        <v>0</v>
      </c>
      <c r="I222">
        <v>150</v>
      </c>
      <c r="J222">
        <v>0</v>
      </c>
      <c r="K222">
        <v>0</v>
      </c>
      <c r="L222" t="inlineStr">
        <is>
          <t>차량 적 · 원본 전투/성장/코인 시스템</t>
        </is>
      </c>
      <c r="M222" t="inlineStr">
        <is>
          <t>Normal</t>
        </is>
      </c>
      <c r="N222">
        <v>0</v>
      </c>
      <c r="O222">
        <f>'밸런스 조정'!C154*'밸런스 조정'!C292*'밸런스 조정'!C146*(1+('몬스터 성장'!G6/'몬스터 성장'!F6-1)*(U222/'밸런스 조정'!C119)^'몬스터 성장'!H6)</f>
        <v>197.074556213</v>
      </c>
      <c r="P222">
        <v>0</v>
      </c>
      <c r="Q222">
        <v>0</v>
      </c>
      <c r="R222">
        <v>62</v>
      </c>
      <c r="S222" t="inlineStr">
        <is>
          <t>Taxi</t>
        </is>
      </c>
      <c r="T222" t="inlineStr">
        <is>
          <t>Jam</t>
        </is>
      </c>
      <c r="U222">
        <v>750</v>
      </c>
      <c r="V222">
        <v>2</v>
      </c>
      <c r="W222">
        <v>651.8</v>
      </c>
      <c r="X222">
        <v>124</v>
      </c>
      <c r="Y222">
        <v>0</v>
      </c>
    </row>
    <row r="223">
      <c r="B223">
        <v>231</v>
      </c>
      <c r="C223" t="inlineStr">
        <is>
          <t>HighWay</t>
        </is>
      </c>
      <c r="D223" t="inlineStr">
        <is>
          <t>HWY3_097_Box</t>
        </is>
      </c>
      <c r="E223">
        <v>1</v>
      </c>
      <c r="F223" t="inlineStr">
        <is>
          <t>공격 반복</t>
        </is>
      </c>
      <c r="G223">
        <v>4</v>
      </c>
      <c r="H223">
        <v>0</v>
      </c>
      <c r="I223">
        <v>150</v>
      </c>
      <c r="J223">
        <v>0</v>
      </c>
      <c r="K223">
        <v>0</v>
      </c>
      <c r="L223" t="inlineStr">
        <is>
          <t>차량 적 · 원본 전투/성장/코인 시스템</t>
        </is>
      </c>
      <c r="M223" t="inlineStr">
        <is>
          <t>Normal</t>
        </is>
      </c>
      <c r="N223">
        <v>0</v>
      </c>
      <c r="O223">
        <f>'밸런스 조정'!C154*'밸런스 조정'!C292*'밸런스 조정'!C148*(1+('몬스터 성장'!G6/'몬스터 성장'!F6-1)*(U223/'밸런스 조정'!C119)^'몬스터 성장'!H6)</f>
        <v>319.877251955</v>
      </c>
      <c r="P223">
        <v>0</v>
      </c>
      <c r="Q223">
        <v>0</v>
      </c>
      <c r="R223">
        <v>62</v>
      </c>
      <c r="S223" t="inlineStr">
        <is>
          <t>Box</t>
        </is>
      </c>
      <c r="T223" t="inlineStr">
        <is>
          <t>Jam</t>
        </is>
      </c>
      <c r="U223">
        <v>761.2</v>
      </c>
      <c r="V223">
        <v>0</v>
      </c>
      <c r="W223">
        <v>661.5</v>
      </c>
      <c r="X223">
        <v>125</v>
      </c>
      <c r="Y223">
        <v>0</v>
      </c>
    </row>
    <row r="224">
      <c r="B224">
        <v>232</v>
      </c>
      <c r="C224" t="inlineStr">
        <is>
          <t>HighWay</t>
        </is>
      </c>
      <c r="D224" t="inlineStr">
        <is>
          <t>HWY3_098_Tanker</t>
        </is>
      </c>
      <c r="E224">
        <v>1</v>
      </c>
      <c r="F224" t="inlineStr">
        <is>
          <t>공격 반복</t>
        </is>
      </c>
      <c r="G224">
        <v>4</v>
      </c>
      <c r="H224">
        <v>0</v>
      </c>
      <c r="I224">
        <v>150</v>
      </c>
      <c r="J224">
        <v>0</v>
      </c>
      <c r="K224">
        <v>0</v>
      </c>
      <c r="L224" t="inlineStr">
        <is>
          <t>차량 적 · 원본 전투/성장/코인 시스템</t>
        </is>
      </c>
      <c r="M224" t="inlineStr">
        <is>
          <t>Normal</t>
        </is>
      </c>
      <c r="N224">
        <v>0</v>
      </c>
      <c r="O224">
        <f>'밸런스 조정'!C154*'밸런스 조정'!C292*'밸런스 조정'!C149*(1+('몬스터 성장'!G6/'몬스터 성장'!F6-1)*(U224/'밸런스 조정'!C119)^'몬스터 성장'!H6)</f>
        <v>399.846564944</v>
      </c>
      <c r="P224">
        <v>0</v>
      </c>
      <c r="Q224">
        <v>0</v>
      </c>
      <c r="R224">
        <v>124</v>
      </c>
      <c r="S224" t="inlineStr">
        <is>
          <t>Tanker</t>
        </is>
      </c>
      <c r="T224" t="inlineStr">
        <is>
          <t>Jam</t>
        </is>
      </c>
      <c r="U224">
        <v>761.2</v>
      </c>
      <c r="V224">
        <v>1</v>
      </c>
      <c r="W224">
        <v>661.5</v>
      </c>
      <c r="X224">
        <v>125</v>
      </c>
      <c r="Y224">
        <v>0</v>
      </c>
    </row>
    <row r="225">
      <c r="B225">
        <v>233</v>
      </c>
      <c r="C225" t="inlineStr">
        <is>
          <t>HighWay</t>
        </is>
      </c>
      <c r="D225" t="inlineStr">
        <is>
          <t>HWY3_099_Sedan</t>
        </is>
      </c>
      <c r="E225">
        <v>1</v>
      </c>
      <c r="F225" t="inlineStr">
        <is>
          <t>공격 반복</t>
        </is>
      </c>
      <c r="G225">
        <v>4</v>
      </c>
      <c r="H225">
        <v>0</v>
      </c>
      <c r="I225">
        <v>150</v>
      </c>
      <c r="J225">
        <v>0</v>
      </c>
      <c r="K225">
        <v>0</v>
      </c>
      <c r="L225" t="inlineStr">
        <is>
          <t>차량 적 · 원본 전투/성장/코인 시스템</t>
        </is>
      </c>
      <c r="M225" t="inlineStr">
        <is>
          <t>Normal</t>
        </is>
      </c>
      <c r="N225">
        <v>0</v>
      </c>
      <c r="O225">
        <f>'밸런스 조정'!C154*'밸런스 조정'!C292*'밸런스 조정'!C145*(1+('몬스터 성장'!G6/'몬스터 성장'!F6-1)*(U225/'밸런스 조정'!C119)^'몬스터 성장'!H6)</f>
        <v>199.923282472</v>
      </c>
      <c r="P225">
        <v>0</v>
      </c>
      <c r="Q225">
        <v>0</v>
      </c>
      <c r="R225">
        <v>62</v>
      </c>
      <c r="S225" t="inlineStr">
        <is>
          <t>Sedan</t>
        </is>
      </c>
      <c r="T225" t="inlineStr">
        <is>
          <t>Jam</t>
        </is>
      </c>
      <c r="U225">
        <v>761.2</v>
      </c>
      <c r="V225">
        <v>2</v>
      </c>
      <c r="W225">
        <v>661.5</v>
      </c>
      <c r="X225">
        <v>125</v>
      </c>
      <c r="Y225">
        <v>0</v>
      </c>
    </row>
    <row r="226">
      <c r="B226">
        <v>234</v>
      </c>
      <c r="C226" t="inlineStr">
        <is>
          <t>HighWay</t>
        </is>
      </c>
      <c r="D226" t="inlineStr">
        <is>
          <t>HWY3_100_Tanker</t>
        </is>
      </c>
      <c r="E226">
        <v>1</v>
      </c>
      <c r="F226" t="inlineStr">
        <is>
          <t>공격 반복</t>
        </is>
      </c>
      <c r="G226">
        <v>5</v>
      </c>
      <c r="H226">
        <v>0</v>
      </c>
      <c r="I226">
        <v>150</v>
      </c>
      <c r="J226">
        <v>0</v>
      </c>
      <c r="K226">
        <v>0</v>
      </c>
      <c r="L226" t="inlineStr">
        <is>
          <t>차량 적 · 원본 전투/성장/코인 시스템</t>
        </is>
      </c>
      <c r="M226" t="inlineStr">
        <is>
          <t>Normal</t>
        </is>
      </c>
      <c r="N226">
        <v>0</v>
      </c>
      <c r="O226">
        <f>'밸런스 조정'!C154*'밸런스 조정'!C292*'밸런스 조정'!C149*(1+('몬스터 성장'!G6/'몬스터 성장'!F6-1)*(U226/'밸런스 조정'!C119)^'몬스터 성장'!H6)</f>
        <v>405.628468849</v>
      </c>
      <c r="P226">
        <v>0</v>
      </c>
      <c r="Q226">
        <v>0</v>
      </c>
      <c r="R226">
        <v>124</v>
      </c>
      <c r="S226" t="inlineStr">
        <is>
          <t>Tanker</t>
        </is>
      </c>
      <c r="T226" t="inlineStr">
        <is>
          <t>Jam</t>
        </is>
      </c>
      <c r="U226">
        <v>772.4</v>
      </c>
      <c r="V226">
        <v>0</v>
      </c>
      <c r="W226">
        <v>671.2</v>
      </c>
      <c r="X226">
        <v>126</v>
      </c>
      <c r="Y226">
        <v>0</v>
      </c>
    </row>
    <row r="227">
      <c r="B227">
        <v>235</v>
      </c>
      <c r="C227" t="inlineStr">
        <is>
          <t>HighWay</t>
        </is>
      </c>
      <c r="D227" t="inlineStr">
        <is>
          <t>HWY3_101_OneTon</t>
        </is>
      </c>
      <c r="E227">
        <v>1</v>
      </c>
      <c r="F227" t="inlineStr">
        <is>
          <t>공격 반복</t>
        </is>
      </c>
      <c r="G227">
        <v>5</v>
      </c>
      <c r="H227">
        <v>0</v>
      </c>
      <c r="I227">
        <v>150</v>
      </c>
      <c r="J227">
        <v>0</v>
      </c>
      <c r="K227">
        <v>0</v>
      </c>
      <c r="L227" t="inlineStr">
        <is>
          <t>차량 적 · 원본 전투/성장/코인 시스템</t>
        </is>
      </c>
      <c r="M227" t="inlineStr">
        <is>
          <t>Normal</t>
        </is>
      </c>
      <c r="N227">
        <v>0</v>
      </c>
      <c r="O227">
        <f>'밸런스 조정'!C154*'밸런스 조정'!C292*'밸런스 조정'!C147*(1+('몬스터 성장'!G6/'몬스터 성장'!F6-1)*(U227/'밸런스 조정'!C119)^'몬스터 성장'!H6)</f>
        <v>263.658504752</v>
      </c>
      <c r="P227">
        <v>0</v>
      </c>
      <c r="Q227">
        <v>0</v>
      </c>
      <c r="R227">
        <v>62</v>
      </c>
      <c r="S227" t="inlineStr">
        <is>
          <t>OneTon</t>
        </is>
      </c>
      <c r="T227" t="inlineStr">
        <is>
          <t>Jam</t>
        </is>
      </c>
      <c r="U227">
        <v>772.4</v>
      </c>
      <c r="V227">
        <v>1</v>
      </c>
      <c r="W227">
        <v>671.2</v>
      </c>
      <c r="X227">
        <v>126</v>
      </c>
      <c r="Y227">
        <v>0</v>
      </c>
    </row>
    <row r="228">
      <c r="B228">
        <v>236</v>
      </c>
      <c r="C228" t="inlineStr">
        <is>
          <t>HighWay</t>
        </is>
      </c>
      <c r="D228" t="inlineStr">
        <is>
          <t>HWY3_102_Taxi</t>
        </is>
      </c>
      <c r="E228">
        <v>1</v>
      </c>
      <c r="F228" t="inlineStr">
        <is>
          <t>공격 반복</t>
        </is>
      </c>
      <c r="G228">
        <v>5</v>
      </c>
      <c r="H228">
        <v>0</v>
      </c>
      <c r="I228">
        <v>150</v>
      </c>
      <c r="J228">
        <v>0</v>
      </c>
      <c r="K228">
        <v>0</v>
      </c>
      <c r="L228" t="inlineStr">
        <is>
          <t>차량 적 · 원본 전투/성장/코인 시스템</t>
        </is>
      </c>
      <c r="M228" t="inlineStr">
        <is>
          <t>Normal</t>
        </is>
      </c>
      <c r="N228">
        <v>0</v>
      </c>
      <c r="O228">
        <f>'밸런스 조정'!C154*'밸런스 조정'!C292*'밸런스 조정'!C146*(1+('몬스터 성장'!G6/'몬스터 성장'!F6-1)*(U228/'밸런스 조정'!C119)^'몬스터 성장'!H6)</f>
        <v>202.814234425</v>
      </c>
      <c r="P228">
        <v>0</v>
      </c>
      <c r="Q228">
        <v>0</v>
      </c>
      <c r="R228">
        <v>62</v>
      </c>
      <c r="S228" t="inlineStr">
        <is>
          <t>Taxi</t>
        </is>
      </c>
      <c r="T228" t="inlineStr">
        <is>
          <t>Jam</t>
        </is>
      </c>
      <c r="U228">
        <v>772.4</v>
      </c>
      <c r="V228">
        <v>2</v>
      </c>
      <c r="W228">
        <v>671.2</v>
      </c>
      <c r="X228">
        <v>126</v>
      </c>
      <c r="Y228">
        <v>0</v>
      </c>
    </row>
    <row r="229">
      <c r="B229">
        <v>237</v>
      </c>
      <c r="C229" t="inlineStr">
        <is>
          <t>HighWay</t>
        </is>
      </c>
      <c r="D229" t="inlineStr">
        <is>
          <t>HWY3_103_Sedan</t>
        </is>
      </c>
      <c r="E229">
        <v>1</v>
      </c>
      <c r="F229" t="inlineStr">
        <is>
          <t>공격 반복</t>
        </is>
      </c>
      <c r="G229">
        <v>3</v>
      </c>
      <c r="H229">
        <v>0</v>
      </c>
      <c r="I229">
        <v>150</v>
      </c>
      <c r="J229">
        <v>0</v>
      </c>
      <c r="K229">
        <v>0</v>
      </c>
      <c r="L229" t="inlineStr">
        <is>
          <t>차량 적 · 원본 전투/성장/코인 시스템</t>
        </is>
      </c>
      <c r="M229" t="inlineStr">
        <is>
          <t>Normal</t>
        </is>
      </c>
      <c r="N229">
        <v>0</v>
      </c>
      <c r="O229">
        <f>'밸런스 조정'!C154*'밸런스 조정'!C292*'밸런스 조정'!C145*(1+('몬스터 성장'!G6/'몬스터 성장'!F6-1)*(U229/'밸런스 조정'!C119)^'몬스터 성장'!H6)</f>
        <v>204.563828639</v>
      </c>
      <c r="P229">
        <v>0</v>
      </c>
      <c r="Q229">
        <v>0</v>
      </c>
      <c r="R229">
        <v>62</v>
      </c>
      <c r="S229" t="inlineStr">
        <is>
          <t>Sedan</t>
        </is>
      </c>
      <c r="T229" t="inlineStr">
        <is>
          <t>Jam</t>
        </is>
      </c>
      <c r="U229">
        <v>779.1</v>
      </c>
      <c r="V229">
        <v>0</v>
      </c>
      <c r="W229">
        <v>680.9</v>
      </c>
      <c r="X229">
        <v>127</v>
      </c>
      <c r="Y229">
        <v>0</v>
      </c>
    </row>
    <row r="230">
      <c r="B230">
        <v>238</v>
      </c>
      <c r="C230" t="inlineStr">
        <is>
          <t>HighWay</t>
        </is>
      </c>
      <c r="D230" t="inlineStr">
        <is>
          <t>HWY3_104_Box</t>
        </is>
      </c>
      <c r="E230">
        <v>1</v>
      </c>
      <c r="F230" t="inlineStr">
        <is>
          <t>공격 반복</t>
        </is>
      </c>
      <c r="G230">
        <v>3</v>
      </c>
      <c r="H230">
        <v>0</v>
      </c>
      <c r="I230">
        <v>150</v>
      </c>
      <c r="J230">
        <v>0</v>
      </c>
      <c r="K230">
        <v>0</v>
      </c>
      <c r="L230" t="inlineStr">
        <is>
          <t>차량 적 · 원본 전투/성장/코인 시스템</t>
        </is>
      </c>
      <c r="M230" t="inlineStr">
        <is>
          <t>Normal</t>
        </is>
      </c>
      <c r="N230">
        <v>0</v>
      </c>
      <c r="O230">
        <f>'밸런스 조정'!C154*'밸런스 조정'!C292*'밸런스 조정'!C148*(1+('몬스터 성장'!G6/'몬스터 성장'!F6-1)*(U230/'밸런스 조정'!C119)^'몬스터 성장'!H6)</f>
        <v>327.302125822</v>
      </c>
      <c r="P230">
        <v>0</v>
      </c>
      <c r="Q230">
        <v>0</v>
      </c>
      <c r="R230">
        <v>62</v>
      </c>
      <c r="S230" t="inlineStr">
        <is>
          <t>Box</t>
        </is>
      </c>
      <c r="T230" t="inlineStr">
        <is>
          <t>Jam</t>
        </is>
      </c>
      <c r="U230">
        <v>779.1</v>
      </c>
      <c r="V230">
        <v>1</v>
      </c>
      <c r="W230">
        <v>680.9</v>
      </c>
      <c r="X230">
        <v>127</v>
      </c>
      <c r="Y230">
        <v>0</v>
      </c>
    </row>
    <row r="231">
      <c r="B231">
        <v>239</v>
      </c>
      <c r="C231" t="inlineStr">
        <is>
          <t>HighWay</t>
        </is>
      </c>
      <c r="D231" t="inlineStr">
        <is>
          <t>HWY3_105_Tanker</t>
        </is>
      </c>
      <c r="E231">
        <v>1</v>
      </c>
      <c r="F231" t="inlineStr">
        <is>
          <t>공격 반복</t>
        </is>
      </c>
      <c r="G231">
        <v>3</v>
      </c>
      <c r="H231">
        <v>0</v>
      </c>
      <c r="I231">
        <v>150</v>
      </c>
      <c r="J231">
        <v>0</v>
      </c>
      <c r="K231">
        <v>0</v>
      </c>
      <c r="L231" t="inlineStr">
        <is>
          <t>차량 적 · 원본 전투/성장/코인 시스템</t>
        </is>
      </c>
      <c r="M231" t="inlineStr">
        <is>
          <t>Normal</t>
        </is>
      </c>
      <c r="N231">
        <v>0</v>
      </c>
      <c r="O231">
        <f>'밸런스 조정'!C154*'밸런스 조정'!C292*'밸런스 조정'!C149*(1+('몬스터 성장'!G6/'몬스터 성장'!F6-1)*(U231/'밸런스 조정'!C119)^'몬스터 성장'!H6)</f>
        <v>409.127657278</v>
      </c>
      <c r="P231">
        <v>0</v>
      </c>
      <c r="Q231">
        <v>0</v>
      </c>
      <c r="R231">
        <v>124</v>
      </c>
      <c r="S231" t="inlineStr">
        <is>
          <t>Tanker</t>
        </is>
      </c>
      <c r="T231" t="inlineStr">
        <is>
          <t>Jam</t>
        </is>
      </c>
      <c r="U231">
        <v>779.1</v>
      </c>
      <c r="V231">
        <v>2</v>
      </c>
      <c r="W231">
        <v>680.9</v>
      </c>
      <c r="X231">
        <v>127</v>
      </c>
      <c r="Y231">
        <v>0</v>
      </c>
    </row>
    <row r="232">
      <c r="B232">
        <v>240</v>
      </c>
      <c r="C232" t="inlineStr">
        <is>
          <t>HighWay</t>
        </is>
      </c>
      <c r="D232" t="inlineStr">
        <is>
          <t>HWY3_106_Taxi</t>
        </is>
      </c>
      <c r="E232">
        <v>1</v>
      </c>
      <c r="F232" t="inlineStr">
        <is>
          <t>공격 반복</t>
        </is>
      </c>
      <c r="G232">
        <v>4</v>
      </c>
      <c r="H232">
        <v>0</v>
      </c>
      <c r="I232">
        <v>150</v>
      </c>
      <c r="J232">
        <v>0</v>
      </c>
      <c r="K232">
        <v>0</v>
      </c>
      <c r="L232" t="inlineStr">
        <is>
          <t>차량 적 · 원본 전투/성장/코인 시스템</t>
        </is>
      </c>
      <c r="M232" t="inlineStr">
        <is>
          <t>Normal</t>
        </is>
      </c>
      <c r="N232">
        <v>0</v>
      </c>
      <c r="O232">
        <f>'밸런스 조정'!C154*'밸런스 조정'!C292*'밸런스 조정'!C146*(1+('몬스터 성장'!G6/'몬스터 성장'!F6-1)*(U232/'밸런스 조정'!C119)^'몬스터 성장'!H6)</f>
        <v>207.522266298</v>
      </c>
      <c r="P232">
        <v>0</v>
      </c>
      <c r="Q232">
        <v>0</v>
      </c>
      <c r="R232">
        <v>62</v>
      </c>
      <c r="S232" t="inlineStr">
        <is>
          <t>Taxi</t>
        </is>
      </c>
      <c r="T232" t="inlineStr">
        <is>
          <t>Jam</t>
        </is>
      </c>
      <c r="U232">
        <v>790.3</v>
      </c>
      <c r="V232">
        <v>0</v>
      </c>
      <c r="W232">
        <v>690.6</v>
      </c>
      <c r="X232">
        <v>128</v>
      </c>
      <c r="Y232">
        <v>0</v>
      </c>
    </row>
    <row r="233">
      <c r="B233">
        <v>241</v>
      </c>
      <c r="C233" t="inlineStr">
        <is>
          <t>HighWay</t>
        </is>
      </c>
      <c r="D233" t="inlineStr">
        <is>
          <t>HWY3_107_Tanker</t>
        </is>
      </c>
      <c r="E233">
        <v>1</v>
      </c>
      <c r="F233" t="inlineStr">
        <is>
          <t>공격 반복</t>
        </is>
      </c>
      <c r="G233">
        <v>4</v>
      </c>
      <c r="H233">
        <v>0</v>
      </c>
      <c r="I233">
        <v>150</v>
      </c>
      <c r="J233">
        <v>0</v>
      </c>
      <c r="K233">
        <v>0</v>
      </c>
      <c r="L233" t="inlineStr">
        <is>
          <t>차량 적 · 원본 전투/성장/코인 시스템</t>
        </is>
      </c>
      <c r="M233" t="inlineStr">
        <is>
          <t>Normal</t>
        </is>
      </c>
      <c r="N233">
        <v>0</v>
      </c>
      <c r="O233">
        <f>'밸런스 조정'!C154*'밸런스 조정'!C292*'밸런스 조정'!C149*(1+('몬스터 성장'!G6/'몬스터 성장'!F6-1)*(U233/'밸런스 조정'!C119)^'몬스터 성장'!H6)</f>
        <v>415.044532597</v>
      </c>
      <c r="P233">
        <v>0</v>
      </c>
      <c r="Q233">
        <v>0</v>
      </c>
      <c r="R233">
        <v>124</v>
      </c>
      <c r="S233" t="inlineStr">
        <is>
          <t>Tanker</t>
        </is>
      </c>
      <c r="T233" t="inlineStr">
        <is>
          <t>Jam</t>
        </is>
      </c>
      <c r="U233">
        <v>790.3</v>
      </c>
      <c r="V233">
        <v>1</v>
      </c>
      <c r="W233">
        <v>690.6</v>
      </c>
      <c r="X233">
        <v>128</v>
      </c>
      <c r="Y233">
        <v>0</v>
      </c>
    </row>
    <row r="234">
      <c r="B234">
        <v>242</v>
      </c>
      <c r="C234" t="inlineStr">
        <is>
          <t>HighWay</t>
        </is>
      </c>
      <c r="D234" t="inlineStr">
        <is>
          <t>HWY3_108_OneTon</t>
        </is>
      </c>
      <c r="E234">
        <v>1</v>
      </c>
      <c r="F234" t="inlineStr">
        <is>
          <t>공격 반복</t>
        </is>
      </c>
      <c r="G234">
        <v>4</v>
      </c>
      <c r="H234">
        <v>0</v>
      </c>
      <c r="I234">
        <v>150</v>
      </c>
      <c r="J234">
        <v>0</v>
      </c>
      <c r="K234">
        <v>0</v>
      </c>
      <c r="L234" t="inlineStr">
        <is>
          <t>차량 적 · 원본 전투/성장/코인 시스템</t>
        </is>
      </c>
      <c r="M234" t="inlineStr">
        <is>
          <t>Normal</t>
        </is>
      </c>
      <c r="N234">
        <v>0</v>
      </c>
      <c r="O234">
        <f>'밸런스 조정'!C154*'밸런스 조정'!C292*'밸런스 조정'!C147*(1+('몬스터 성장'!G6/'몬스터 성장'!F6-1)*(U234/'밸런스 조정'!C119)^'몬스터 성장'!H6)</f>
        <v>269.778946188</v>
      </c>
      <c r="P234">
        <v>0</v>
      </c>
      <c r="Q234">
        <v>0</v>
      </c>
      <c r="R234">
        <v>62</v>
      </c>
      <c r="S234" t="inlineStr">
        <is>
          <t>OneTon</t>
        </is>
      </c>
      <c r="T234" t="inlineStr">
        <is>
          <t>Jam</t>
        </is>
      </c>
      <c r="U234">
        <v>790.3</v>
      </c>
      <c r="V234">
        <v>2</v>
      </c>
      <c r="W234">
        <v>690.6</v>
      </c>
      <c r="X234">
        <v>128</v>
      </c>
      <c r="Y234">
        <v>0</v>
      </c>
    </row>
    <row r="235">
      <c r="B235">
        <v>243</v>
      </c>
      <c r="C235" t="inlineStr">
        <is>
          <t>HighWay</t>
        </is>
      </c>
      <c r="D235" t="inlineStr">
        <is>
          <t>HWY3_109_Sedan</t>
        </is>
      </c>
      <c r="E235">
        <v>1</v>
      </c>
      <c r="F235" t="inlineStr">
        <is>
          <t>공격 반복</t>
        </is>
      </c>
      <c r="G235">
        <v>5</v>
      </c>
      <c r="H235">
        <v>0</v>
      </c>
      <c r="I235">
        <v>150</v>
      </c>
      <c r="J235">
        <v>0</v>
      </c>
      <c r="K235">
        <v>0</v>
      </c>
      <c r="L235" t="inlineStr">
        <is>
          <t>차량 적 · 원본 전투/성장/코인 시스템</t>
        </is>
      </c>
      <c r="M235" t="inlineStr">
        <is>
          <t>Normal</t>
        </is>
      </c>
      <c r="N235">
        <v>0</v>
      </c>
      <c r="O235">
        <f>'밸런스 조정'!C154*'밸런스 조정'!C292*'밸런스 조정'!C145*(1+('몬스터 성장'!G6/'몬스터 성장'!F6-1)*(U235/'밸런스 조정'!C119)^'몬스터 성장'!H6)</f>
        <v>210.522929652</v>
      </c>
      <c r="P235">
        <v>0</v>
      </c>
      <c r="Q235">
        <v>0</v>
      </c>
      <c r="R235">
        <v>62</v>
      </c>
      <c r="S235" t="inlineStr">
        <is>
          <t>Sedan</t>
        </is>
      </c>
      <c r="T235" t="inlineStr">
        <is>
          <t>Jam</t>
        </is>
      </c>
      <c r="U235">
        <v>801.5</v>
      </c>
      <c r="V235">
        <v>0</v>
      </c>
      <c r="W235">
        <v>700.3</v>
      </c>
      <c r="X235">
        <v>129</v>
      </c>
      <c r="Y235">
        <v>0</v>
      </c>
    </row>
    <row r="236">
      <c r="B236">
        <v>244</v>
      </c>
      <c r="C236" t="inlineStr">
        <is>
          <t>HighWay</t>
        </is>
      </c>
      <c r="D236" t="inlineStr">
        <is>
          <t>HWY3_110_OneTon</t>
        </is>
      </c>
      <c r="E236">
        <v>1</v>
      </c>
      <c r="F236" t="inlineStr">
        <is>
          <t>공격 반복</t>
        </is>
      </c>
      <c r="G236">
        <v>5</v>
      </c>
      <c r="H236">
        <v>0</v>
      </c>
      <c r="I236">
        <v>150</v>
      </c>
      <c r="J236">
        <v>0</v>
      </c>
      <c r="K236">
        <v>0</v>
      </c>
      <c r="L236" t="inlineStr">
        <is>
          <t>차량 적 · 원본 전투/성장/코인 시스템</t>
        </is>
      </c>
      <c r="M236" t="inlineStr">
        <is>
          <t>Normal</t>
        </is>
      </c>
      <c r="N236">
        <v>0</v>
      </c>
      <c r="O236">
        <f>'밸런스 조정'!C154*'밸런스 조정'!C292*'밸런스 조정'!C147*(1+('몬스터 성장'!G6/'몬스터 성장'!F6-1)*(U236/'밸런스 조정'!C119)^'몬스터 성장'!H6)</f>
        <v>273.679808547</v>
      </c>
      <c r="P236">
        <v>0</v>
      </c>
      <c r="Q236">
        <v>0</v>
      </c>
      <c r="R236">
        <v>62</v>
      </c>
      <c r="S236" t="inlineStr">
        <is>
          <t>OneTon</t>
        </is>
      </c>
      <c r="T236" t="inlineStr">
        <is>
          <t>Jam</t>
        </is>
      </c>
      <c r="U236">
        <v>801.5</v>
      </c>
      <c r="V236">
        <v>1</v>
      </c>
      <c r="W236">
        <v>700.3</v>
      </c>
      <c r="X236">
        <v>129</v>
      </c>
      <c r="Y236">
        <v>0</v>
      </c>
    </row>
    <row r="237">
      <c r="B237">
        <v>245</v>
      </c>
      <c r="C237" t="inlineStr">
        <is>
          <t>HighWay</t>
        </is>
      </c>
      <c r="D237" t="inlineStr">
        <is>
          <t>HWY3_111_Box</t>
        </is>
      </c>
      <c r="E237">
        <v>1</v>
      </c>
      <c r="F237" t="inlineStr">
        <is>
          <t>공격 반복</t>
        </is>
      </c>
      <c r="G237">
        <v>5</v>
      </c>
      <c r="H237">
        <v>0</v>
      </c>
      <c r="I237">
        <v>150</v>
      </c>
      <c r="J237">
        <v>0</v>
      </c>
      <c r="K237">
        <v>0</v>
      </c>
      <c r="L237" t="inlineStr">
        <is>
          <t>차량 적 · 원본 전투/성장/코인 시스템</t>
        </is>
      </c>
      <c r="M237" t="inlineStr">
        <is>
          <t>Normal</t>
        </is>
      </c>
      <c r="N237">
        <v>0</v>
      </c>
      <c r="O237">
        <f>'밸런스 조정'!C154*'밸런스 조정'!C292*'밸런스 조정'!C148*(1+('몬스터 성장'!G6/'몬스터 성장'!F6-1)*(U237/'밸런스 조정'!C119)^'몬스터 성장'!H6)</f>
        <v>336.836687442</v>
      </c>
      <c r="P237">
        <v>0</v>
      </c>
      <c r="Q237">
        <v>0</v>
      </c>
      <c r="R237">
        <v>62</v>
      </c>
      <c r="S237" t="inlineStr">
        <is>
          <t>Box</t>
        </is>
      </c>
      <c r="T237" t="inlineStr">
        <is>
          <t>Jam</t>
        </is>
      </c>
      <c r="U237">
        <v>801.5</v>
      </c>
      <c r="V237">
        <v>2</v>
      </c>
      <c r="W237">
        <v>700.3</v>
      </c>
      <c r="X237">
        <v>129</v>
      </c>
      <c r="Y237">
        <v>0</v>
      </c>
    </row>
    <row r="238">
      <c r="B238">
        <v>246</v>
      </c>
      <c r="C238" t="inlineStr">
        <is>
          <t>HighWay</t>
        </is>
      </c>
      <c r="D238" t="inlineStr">
        <is>
          <t>HWY3_112_OneTon</t>
        </is>
      </c>
      <c r="E238">
        <v>1</v>
      </c>
      <c r="F238" t="inlineStr">
        <is>
          <t>공격 반복</t>
        </is>
      </c>
      <c r="G238">
        <v>3</v>
      </c>
      <c r="H238">
        <v>0</v>
      </c>
      <c r="I238">
        <v>150</v>
      </c>
      <c r="J238">
        <v>0</v>
      </c>
      <c r="K238">
        <v>0</v>
      </c>
      <c r="L238" t="inlineStr">
        <is>
          <t>차량 적 · 원본 전투/성장/코인 시스템</t>
        </is>
      </c>
      <c r="M238" t="inlineStr">
        <is>
          <t>Normal</t>
        </is>
      </c>
      <c r="N238">
        <v>0</v>
      </c>
      <c r="O238">
        <f>'밸런스 조정'!C154*'밸런스 조정'!C292*'밸런스 조정'!C147*(1+('몬스터 성장'!G6/'몬스터 성장'!F6-1)*(U238/'밸런스 조정'!C119)^'몬스터 성장'!H6)</f>
        <v>276.039601231</v>
      </c>
      <c r="P238">
        <v>0</v>
      </c>
      <c r="Q238">
        <v>0</v>
      </c>
      <c r="R238">
        <v>62</v>
      </c>
      <c r="S238" t="inlineStr">
        <is>
          <t>OneTon</t>
        </is>
      </c>
      <c r="T238" t="inlineStr">
        <is>
          <t>Jam</t>
        </is>
      </c>
      <c r="U238">
        <v>808.2</v>
      </c>
      <c r="V238">
        <v>0</v>
      </c>
      <c r="W238">
        <v>710</v>
      </c>
      <c r="X238">
        <v>130</v>
      </c>
      <c r="Y238">
        <v>0</v>
      </c>
    </row>
    <row r="239">
      <c r="B239">
        <v>247</v>
      </c>
      <c r="C239" t="inlineStr">
        <is>
          <t>HighWay</t>
        </is>
      </c>
      <c r="D239" t="inlineStr">
        <is>
          <t>HWY3_113_Taxi</t>
        </is>
      </c>
      <c r="E239">
        <v>1</v>
      </c>
      <c r="F239" t="inlineStr">
        <is>
          <t>공격 반복</t>
        </is>
      </c>
      <c r="G239">
        <v>3</v>
      </c>
      <c r="H239">
        <v>0</v>
      </c>
      <c r="I239">
        <v>150</v>
      </c>
      <c r="J239">
        <v>0</v>
      </c>
      <c r="K239">
        <v>0</v>
      </c>
      <c r="L239" t="inlineStr">
        <is>
          <t>차량 적 · 원본 전투/성장/코인 시스템</t>
        </is>
      </c>
      <c r="M239" t="inlineStr">
        <is>
          <t>Normal</t>
        </is>
      </c>
      <c r="N239">
        <v>0</v>
      </c>
      <c r="O239">
        <f>'밸런스 조정'!C154*'밸런스 조정'!C292*'밸런스 조정'!C146*(1+('몬스터 성장'!G6/'몬스터 성장'!F6-1)*(U239/'밸런스 조정'!C119)^'몬스터 성장'!H6)</f>
        <v>212.338154793</v>
      </c>
      <c r="P239">
        <v>0</v>
      </c>
      <c r="Q239">
        <v>0</v>
      </c>
      <c r="R239">
        <v>62</v>
      </c>
      <c r="S239" t="inlineStr">
        <is>
          <t>Taxi</t>
        </is>
      </c>
      <c r="T239" t="inlineStr">
        <is>
          <t>Jam</t>
        </is>
      </c>
      <c r="U239">
        <v>808.2</v>
      </c>
      <c r="V239">
        <v>1</v>
      </c>
      <c r="W239">
        <v>710</v>
      </c>
      <c r="X239">
        <v>130</v>
      </c>
      <c r="Y239">
        <v>0</v>
      </c>
    </row>
    <row r="240">
      <c r="B240">
        <v>248</v>
      </c>
      <c r="C240" t="inlineStr">
        <is>
          <t>HighWay</t>
        </is>
      </c>
      <c r="D240" t="inlineStr">
        <is>
          <t>HWY3_114_Tanker</t>
        </is>
      </c>
      <c r="E240">
        <v>1</v>
      </c>
      <c r="F240" t="inlineStr">
        <is>
          <t>공격 반복</t>
        </is>
      </c>
      <c r="G240">
        <v>3</v>
      </c>
      <c r="H240">
        <v>0</v>
      </c>
      <c r="I240">
        <v>150</v>
      </c>
      <c r="J240">
        <v>0</v>
      </c>
      <c r="K240">
        <v>0</v>
      </c>
      <c r="L240" t="inlineStr">
        <is>
          <t>차량 적 · 원본 전투/성장/코인 시스템</t>
        </is>
      </c>
      <c r="M240" t="inlineStr">
        <is>
          <t>Normal</t>
        </is>
      </c>
      <c r="N240">
        <v>0</v>
      </c>
      <c r="O240">
        <f>'밸런스 조정'!C154*'밸런스 조정'!C292*'밸런스 조정'!C149*(1+('몬스터 성장'!G6/'몬스터 성장'!F6-1)*(U240/'밸런스 조정'!C119)^'몬스터 성장'!H6)</f>
        <v>424.676309586</v>
      </c>
      <c r="P240">
        <v>0</v>
      </c>
      <c r="Q240">
        <v>0</v>
      </c>
      <c r="R240">
        <v>124</v>
      </c>
      <c r="S240" t="inlineStr">
        <is>
          <t>Tanker</t>
        </is>
      </c>
      <c r="T240" t="inlineStr">
        <is>
          <t>Jam</t>
        </is>
      </c>
      <c r="U240">
        <v>808.2</v>
      </c>
      <c r="V240">
        <v>2</v>
      </c>
      <c r="W240">
        <v>710</v>
      </c>
      <c r="X240">
        <v>130</v>
      </c>
      <c r="Y240">
        <v>0</v>
      </c>
    </row>
    <row r="241">
      <c r="B241">
        <v>249</v>
      </c>
      <c r="C241" t="inlineStr">
        <is>
          <t>HighWay</t>
        </is>
      </c>
      <c r="D241" t="inlineStr">
        <is>
          <t>HWY3_115_Box</t>
        </is>
      </c>
      <c r="E241">
        <v>1</v>
      </c>
      <c r="F241" t="inlineStr">
        <is>
          <t>공격 반복</t>
        </is>
      </c>
      <c r="G241">
        <v>4</v>
      </c>
      <c r="H241">
        <v>0</v>
      </c>
      <c r="I241">
        <v>150</v>
      </c>
      <c r="J241">
        <v>0</v>
      </c>
      <c r="K241">
        <v>0</v>
      </c>
      <c r="L241" t="inlineStr">
        <is>
          <t>차량 적 · 원본 전투/성장/코인 시스템</t>
        </is>
      </c>
      <c r="M241" t="inlineStr">
        <is>
          <t>Normal</t>
        </is>
      </c>
      <c r="N241">
        <v>0</v>
      </c>
      <c r="O241">
        <f>'밸런스 조정'!C154*'밸런스 조정'!C292*'밸런스 조정'!C148*(1+('몬스터 성장'!G6/'몬스터 성장'!F6-1)*(U241/'밸런스 조정'!C119)^'몬스터 성장'!H6)</f>
        <v>344.650086164</v>
      </c>
      <c r="P241">
        <v>0</v>
      </c>
      <c r="Q241">
        <v>0</v>
      </c>
      <c r="R241">
        <v>62</v>
      </c>
      <c r="S241" t="inlineStr">
        <is>
          <t>Box</t>
        </is>
      </c>
      <c r="T241" t="inlineStr">
        <is>
          <t>Jam</t>
        </is>
      </c>
      <c r="U241">
        <v>819.4</v>
      </c>
      <c r="V241">
        <v>0</v>
      </c>
      <c r="W241">
        <v>719.7</v>
      </c>
      <c r="X241">
        <v>131</v>
      </c>
      <c r="Y241">
        <v>0</v>
      </c>
    </row>
    <row r="242">
      <c r="B242">
        <v>250</v>
      </c>
      <c r="C242" t="inlineStr">
        <is>
          <t>HighWay</t>
        </is>
      </c>
      <c r="D242" t="inlineStr">
        <is>
          <t>HWY3_116_Sedan</t>
        </is>
      </c>
      <c r="E242">
        <v>1</v>
      </c>
      <c r="F242" t="inlineStr">
        <is>
          <t>공격 반복</t>
        </is>
      </c>
      <c r="G242">
        <v>4</v>
      </c>
      <c r="H242">
        <v>0</v>
      </c>
      <c r="I242">
        <v>150</v>
      </c>
      <c r="J242">
        <v>0</v>
      </c>
      <c r="K242">
        <v>0</v>
      </c>
      <c r="L242" t="inlineStr">
        <is>
          <t>차량 적 · 원본 전투/성장/코인 시스템</t>
        </is>
      </c>
      <c r="M242" t="inlineStr">
        <is>
          <t>Normal</t>
        </is>
      </c>
      <c r="N242">
        <v>0</v>
      </c>
      <c r="O242">
        <f>'밸런스 조정'!C154*'밸런스 조정'!C292*'밸런스 조정'!C145*(1+('몬스터 성장'!G6/'몬스터 성장'!F6-1)*(U242/'밸런스 조정'!C119)^'몬스터 성장'!H6)</f>
        <v>215.406303853</v>
      </c>
      <c r="P242">
        <v>0</v>
      </c>
      <c r="Q242">
        <v>0</v>
      </c>
      <c r="R242">
        <v>62</v>
      </c>
      <c r="S242" t="inlineStr">
        <is>
          <t>Sedan</t>
        </is>
      </c>
      <c r="T242" t="inlineStr">
        <is>
          <t>Jam</t>
        </is>
      </c>
      <c r="U242">
        <v>819.4</v>
      </c>
      <c r="V242">
        <v>1</v>
      </c>
      <c r="W242">
        <v>719.7</v>
      </c>
      <c r="X242">
        <v>131</v>
      </c>
      <c r="Y242">
        <v>0</v>
      </c>
    </row>
    <row r="243">
      <c r="B243">
        <v>251</v>
      </c>
      <c r="C243" t="inlineStr">
        <is>
          <t>HighWay</t>
        </is>
      </c>
      <c r="D243" t="inlineStr">
        <is>
          <t>HWY3_117_OneTon</t>
        </is>
      </c>
      <c r="E243">
        <v>1</v>
      </c>
      <c r="F243" t="inlineStr">
        <is>
          <t>공격 반복</t>
        </is>
      </c>
      <c r="G243">
        <v>4</v>
      </c>
      <c r="H243">
        <v>0</v>
      </c>
      <c r="I243">
        <v>150</v>
      </c>
      <c r="J243">
        <v>0</v>
      </c>
      <c r="K243">
        <v>0</v>
      </c>
      <c r="L243" t="inlineStr">
        <is>
          <t>차량 적 · 원본 전투/성장/코인 시스템</t>
        </is>
      </c>
      <c r="M243" t="inlineStr">
        <is>
          <t>Normal</t>
        </is>
      </c>
      <c r="N243">
        <v>0</v>
      </c>
      <c r="O243">
        <f>'밸런스 조정'!C154*'밸런스 조정'!C292*'밸런스 조정'!C147*(1+('몬스터 성장'!G6/'몬스터 성장'!F6-1)*(U243/'밸런스 조정'!C119)^'몬스터 성장'!H6)</f>
        <v>280.028195009</v>
      </c>
      <c r="P243">
        <v>0</v>
      </c>
      <c r="Q243">
        <v>0</v>
      </c>
      <c r="R243">
        <v>62</v>
      </c>
      <c r="S243" t="inlineStr">
        <is>
          <t>OneTon</t>
        </is>
      </c>
      <c r="T243" t="inlineStr">
        <is>
          <t>Jam</t>
        </is>
      </c>
      <c r="U243">
        <v>819.4</v>
      </c>
      <c r="V243">
        <v>2</v>
      </c>
      <c r="W243">
        <v>719.7</v>
      </c>
      <c r="X243">
        <v>131</v>
      </c>
      <c r="Y243">
        <v>0</v>
      </c>
    </row>
    <row r="244">
      <c r="B244">
        <v>252</v>
      </c>
      <c r="C244" t="inlineStr">
        <is>
          <t>HighWay</t>
        </is>
      </c>
      <c r="D244" t="inlineStr">
        <is>
          <t>HWY3_118_Tanker</t>
        </is>
      </c>
      <c r="E244">
        <v>1</v>
      </c>
      <c r="F244" t="inlineStr">
        <is>
          <t>공격 반복</t>
        </is>
      </c>
      <c r="G244">
        <v>5</v>
      </c>
      <c r="H244">
        <v>0</v>
      </c>
      <c r="I244">
        <v>150</v>
      </c>
      <c r="J244">
        <v>0</v>
      </c>
      <c r="K244">
        <v>0</v>
      </c>
      <c r="L244" t="inlineStr">
        <is>
          <t>차량 적 · 원본 전투/성장/코인 시스템</t>
        </is>
      </c>
      <c r="M244" t="inlineStr">
        <is>
          <t>Normal</t>
        </is>
      </c>
      <c r="N244">
        <v>0</v>
      </c>
      <c r="O244">
        <f>'밸런스 조정'!C154*'밸런스 조정'!C292*'밸런스 조정'!C149*(1+('몬스터 성장'!G6/'몬스터 성장'!F6-1)*(U244/'밸런스 조정'!C119)^'몬스터 성장'!H6)</f>
        <v>437.033357212</v>
      </c>
      <c r="P244">
        <v>0</v>
      </c>
      <c r="Q244">
        <v>0</v>
      </c>
      <c r="R244">
        <v>124</v>
      </c>
      <c r="S244" t="inlineStr">
        <is>
          <t>Tanker</t>
        </is>
      </c>
      <c r="T244" t="inlineStr">
        <is>
          <t>Jam</t>
        </is>
      </c>
      <c r="U244">
        <v>830.6</v>
      </c>
      <c r="V244">
        <v>0</v>
      </c>
      <c r="W244">
        <v>729.4</v>
      </c>
      <c r="X244">
        <v>132</v>
      </c>
      <c r="Y244">
        <v>0</v>
      </c>
    </row>
    <row r="245">
      <c r="B245">
        <v>253</v>
      </c>
      <c r="C245" t="inlineStr">
        <is>
          <t>HighWay</t>
        </is>
      </c>
      <c r="D245" t="inlineStr">
        <is>
          <t>HWY3_119_Taxi</t>
        </is>
      </c>
      <c r="E245">
        <v>1</v>
      </c>
      <c r="F245" t="inlineStr">
        <is>
          <t>공격 반복</t>
        </is>
      </c>
      <c r="G245">
        <v>5</v>
      </c>
      <c r="H245">
        <v>0</v>
      </c>
      <c r="I245">
        <v>150</v>
      </c>
      <c r="J245">
        <v>0</v>
      </c>
      <c r="K245">
        <v>0</v>
      </c>
      <c r="L245" t="inlineStr">
        <is>
          <t>차량 적 · 원본 전투/성장/코인 시스템</t>
        </is>
      </c>
      <c r="M245" t="inlineStr">
        <is>
          <t>Normal</t>
        </is>
      </c>
      <c r="N245">
        <v>0</v>
      </c>
      <c r="O245">
        <f>'밸런스 조정'!C154*'밸런스 조정'!C292*'밸런스 조정'!C146*(1+('몬스터 성장'!G6/'몬스터 성장'!F6-1)*(U245/'밸런스 조정'!C119)^'몬스터 성장'!H6)</f>
        <v>218.516678606</v>
      </c>
      <c r="P245">
        <v>0</v>
      </c>
      <c r="Q245">
        <v>0</v>
      </c>
      <c r="R245">
        <v>62</v>
      </c>
      <c r="S245" t="inlineStr">
        <is>
          <t>Taxi</t>
        </is>
      </c>
      <c r="T245" t="inlineStr">
        <is>
          <t>Jam</t>
        </is>
      </c>
      <c r="U245">
        <v>830.6</v>
      </c>
      <c r="V245">
        <v>1</v>
      </c>
      <c r="W245">
        <v>729.4</v>
      </c>
      <c r="X245">
        <v>132</v>
      </c>
      <c r="Y245">
        <v>0</v>
      </c>
    </row>
    <row r="246">
      <c r="B246">
        <v>254</v>
      </c>
      <c r="C246" t="inlineStr">
        <is>
          <t>HighWay</t>
        </is>
      </c>
      <c r="D246" t="inlineStr">
        <is>
          <t>HWY3_120_Box</t>
        </is>
      </c>
      <c r="E246">
        <v>1</v>
      </c>
      <c r="F246" t="inlineStr">
        <is>
          <t>공격 반복</t>
        </is>
      </c>
      <c r="G246">
        <v>5</v>
      </c>
      <c r="H246">
        <v>0</v>
      </c>
      <c r="I246">
        <v>150</v>
      </c>
      <c r="J246">
        <v>0</v>
      </c>
      <c r="K246">
        <v>0</v>
      </c>
      <c r="L246" t="inlineStr">
        <is>
          <t>차량 적 · 원본 전투/성장/코인 시스템</t>
        </is>
      </c>
      <c r="M246" t="inlineStr">
        <is>
          <t>Normal</t>
        </is>
      </c>
      <c r="N246">
        <v>0</v>
      </c>
      <c r="O246">
        <f>'밸런스 조정'!C154*'밸런스 조정'!C292*'밸런스 조정'!C148*(1+('몬스터 성장'!G6/'몬스터 성장'!F6-1)*(U246/'밸런스 조정'!C119)^'몬스터 성장'!H6)</f>
        <v>349.62668577</v>
      </c>
      <c r="P246">
        <v>0</v>
      </c>
      <c r="Q246">
        <v>0</v>
      </c>
      <c r="R246">
        <v>62</v>
      </c>
      <c r="S246" t="inlineStr">
        <is>
          <t>Box</t>
        </is>
      </c>
      <c r="T246" t="inlineStr">
        <is>
          <t>Jam</t>
        </is>
      </c>
      <c r="U246">
        <v>830.6</v>
      </c>
      <c r="V246">
        <v>2</v>
      </c>
      <c r="W246">
        <v>729.4</v>
      </c>
      <c r="X246">
        <v>132</v>
      </c>
      <c r="Y246">
        <v>0</v>
      </c>
    </row>
    <row r="247">
      <c r="B247">
        <v>255</v>
      </c>
      <c r="C247" t="inlineStr">
        <is>
          <t>HighWay</t>
        </is>
      </c>
      <c r="D247" t="inlineStr">
        <is>
          <t>HWY3_121_OneTon</t>
        </is>
      </c>
      <c r="E247">
        <v>1</v>
      </c>
      <c r="F247" t="inlineStr">
        <is>
          <t>공격 반복</t>
        </is>
      </c>
      <c r="G247">
        <v>3</v>
      </c>
      <c r="H247">
        <v>0</v>
      </c>
      <c r="I247">
        <v>150</v>
      </c>
      <c r="J247">
        <v>0</v>
      </c>
      <c r="K247">
        <v>0</v>
      </c>
      <c r="L247" t="inlineStr">
        <is>
          <t>차량 적 · 원본 전투/성장/코인 시스템</t>
        </is>
      </c>
      <c r="M247" t="inlineStr">
        <is>
          <t>Normal</t>
        </is>
      </c>
      <c r="N247">
        <v>0</v>
      </c>
      <c r="O247">
        <f>'밸런스 조정'!C154*'밸런스 조정'!C292*'밸런스 조정'!C147*(1+('몬스터 성장'!G6/'몬스터 성장'!F6-1)*(U247/'밸런스 조정'!C119)^'몬스터 성장'!H6)</f>
        <v>286.516795077</v>
      </c>
      <c r="P247">
        <v>0</v>
      </c>
      <c r="Q247">
        <v>0</v>
      </c>
      <c r="R247">
        <v>62</v>
      </c>
      <c r="S247" t="inlineStr">
        <is>
          <t>OneTon</t>
        </is>
      </c>
      <c r="T247" t="inlineStr">
        <is>
          <t>Jam</t>
        </is>
      </c>
      <c r="U247">
        <v>837.3</v>
      </c>
      <c r="V247">
        <v>0</v>
      </c>
      <c r="W247">
        <v>739.1</v>
      </c>
      <c r="X247">
        <v>133</v>
      </c>
      <c r="Y247">
        <v>0</v>
      </c>
    </row>
    <row r="248">
      <c r="B248">
        <v>256</v>
      </c>
      <c r="C248" t="inlineStr">
        <is>
          <t>HighWay</t>
        </is>
      </c>
      <c r="D248" t="inlineStr">
        <is>
          <t>HWY3_122_Box</t>
        </is>
      </c>
      <c r="E248">
        <v>1</v>
      </c>
      <c r="F248" t="inlineStr">
        <is>
          <t>공격 반복</t>
        </is>
      </c>
      <c r="G248">
        <v>3</v>
      </c>
      <c r="H248">
        <v>0</v>
      </c>
      <c r="I248">
        <v>150</v>
      </c>
      <c r="J248">
        <v>0</v>
      </c>
      <c r="K248">
        <v>0</v>
      </c>
      <c r="L248" t="inlineStr">
        <is>
          <t>차량 적 · 원본 전투/성장/코인 시스템</t>
        </is>
      </c>
      <c r="M248" t="inlineStr">
        <is>
          <t>Normal</t>
        </is>
      </c>
      <c r="N248">
        <v>0</v>
      </c>
      <c r="O248">
        <f>'밸런스 조정'!C154*'밸런스 조정'!C292*'밸런스 조정'!C148*(1+('몬스터 성장'!G6/'몬스터 성장'!F6-1)*(U248/'밸런스 조정'!C119)^'몬스터 성장'!H6)</f>
        <v>352.636055479</v>
      </c>
      <c r="P248">
        <v>0</v>
      </c>
      <c r="Q248">
        <v>0</v>
      </c>
      <c r="R248">
        <v>62</v>
      </c>
      <c r="S248" t="inlineStr">
        <is>
          <t>Box</t>
        </is>
      </c>
      <c r="T248" t="inlineStr">
        <is>
          <t>Jam</t>
        </is>
      </c>
      <c r="U248">
        <v>837.3</v>
      </c>
      <c r="V248">
        <v>1</v>
      </c>
      <c r="W248">
        <v>739.1</v>
      </c>
      <c r="X248">
        <v>133</v>
      </c>
      <c r="Y248">
        <v>0</v>
      </c>
    </row>
    <row r="249">
      <c r="B249">
        <v>257</v>
      </c>
      <c r="C249" t="inlineStr">
        <is>
          <t>HighWay</t>
        </is>
      </c>
      <c r="D249" t="inlineStr">
        <is>
          <t>HWY3_123_Sedan</t>
        </is>
      </c>
      <c r="E249">
        <v>1</v>
      </c>
      <c r="F249" t="inlineStr">
        <is>
          <t>공격 반복</t>
        </is>
      </c>
      <c r="G249">
        <v>3</v>
      </c>
      <c r="H249">
        <v>0</v>
      </c>
      <c r="I249">
        <v>150</v>
      </c>
      <c r="J249">
        <v>0</v>
      </c>
      <c r="K249">
        <v>0</v>
      </c>
      <c r="L249" t="inlineStr">
        <is>
          <t>차량 적 · 원본 전투/성장/코인 시스템</t>
        </is>
      </c>
      <c r="M249" t="inlineStr">
        <is>
          <t>Normal</t>
        </is>
      </c>
      <c r="N249">
        <v>0</v>
      </c>
      <c r="O249">
        <f>'밸런스 조정'!C154*'밸런스 조정'!C292*'밸런스 조정'!C145*(1+('몬스터 성장'!G6/'몬스터 성장'!F6-1)*(U249/'밸런스 조정'!C119)^'몬스터 성장'!H6)</f>
        <v>220.397534675</v>
      </c>
      <c r="P249">
        <v>0</v>
      </c>
      <c r="Q249">
        <v>0</v>
      </c>
      <c r="R249">
        <v>62</v>
      </c>
      <c r="S249" t="inlineStr">
        <is>
          <t>Sedan</t>
        </is>
      </c>
      <c r="T249" t="inlineStr">
        <is>
          <t>Jam</t>
        </is>
      </c>
      <c r="U249">
        <v>837.3</v>
      </c>
      <c r="V249">
        <v>2</v>
      </c>
      <c r="W249">
        <v>739.1</v>
      </c>
      <c r="X249">
        <v>133</v>
      </c>
      <c r="Y249">
        <v>0</v>
      </c>
    </row>
    <row r="250">
      <c r="B250">
        <v>258</v>
      </c>
      <c r="C250" t="inlineStr">
        <is>
          <t>HighWay</t>
        </is>
      </c>
      <c r="D250" t="inlineStr">
        <is>
          <t>HWY3_124_Box</t>
        </is>
      </c>
      <c r="E250">
        <v>1</v>
      </c>
      <c r="F250" t="inlineStr">
        <is>
          <t>공격 반복</t>
        </is>
      </c>
      <c r="G250">
        <v>4</v>
      </c>
      <c r="H250">
        <v>0</v>
      </c>
      <c r="I250">
        <v>150</v>
      </c>
      <c r="J250">
        <v>0</v>
      </c>
      <c r="K250">
        <v>0</v>
      </c>
      <c r="L250" t="inlineStr">
        <is>
          <t>차량 적 · 원본 전투/성장/코인 시스템</t>
        </is>
      </c>
      <c r="M250" t="inlineStr">
        <is>
          <t>Normal</t>
        </is>
      </c>
      <c r="N250">
        <v>0</v>
      </c>
      <c r="O250">
        <f>'밸런스 조정'!C154*'밸런스 조정'!C292*'밸런스 조정'!C148*(1+('몬스터 성장'!G6/'몬스터 성장'!F6-1)*(U250/'밸런스 조정'!C119)^'몬스터 성장'!H6)</f>
        <v>357.720632216</v>
      </c>
      <c r="P250">
        <v>0</v>
      </c>
      <c r="Q250">
        <v>0</v>
      </c>
      <c r="R250">
        <v>62</v>
      </c>
      <c r="S250" t="inlineStr">
        <is>
          <t>Box</t>
        </is>
      </c>
      <c r="T250" t="inlineStr">
        <is>
          <t>Jam</t>
        </is>
      </c>
      <c r="U250">
        <v>848.5</v>
      </c>
      <c r="V250">
        <v>0</v>
      </c>
      <c r="W250">
        <v>748.8</v>
      </c>
      <c r="X250">
        <v>134</v>
      </c>
      <c r="Y250">
        <v>0</v>
      </c>
    </row>
    <row r="251">
      <c r="B251">
        <v>259</v>
      </c>
      <c r="C251" t="inlineStr">
        <is>
          <t>HighWay</t>
        </is>
      </c>
      <c r="D251" t="inlineStr">
        <is>
          <t>HWY3_125_Tanker</t>
        </is>
      </c>
      <c r="E251">
        <v>1</v>
      </c>
      <c r="F251" t="inlineStr">
        <is>
          <t>공격 반복</t>
        </is>
      </c>
      <c r="G251">
        <v>4</v>
      </c>
      <c r="H251">
        <v>0</v>
      </c>
      <c r="I251">
        <v>150</v>
      </c>
      <c r="J251">
        <v>0</v>
      </c>
      <c r="K251">
        <v>0</v>
      </c>
      <c r="L251" t="inlineStr">
        <is>
          <t>차량 적 · 원본 전투/성장/코인 시스템</t>
        </is>
      </c>
      <c r="M251" t="inlineStr">
        <is>
          <t>Normal</t>
        </is>
      </c>
      <c r="N251">
        <v>0</v>
      </c>
      <c r="O251">
        <f>'밸런스 조정'!C154*'밸런스 조정'!C292*'밸런스 조정'!C149*(1+('몬스터 성장'!G6/'몬스터 성장'!F6-1)*(U251/'밸런스 조정'!C119)^'몬스터 성장'!H6)</f>
        <v>447.15079027</v>
      </c>
      <c r="P251">
        <v>0</v>
      </c>
      <c r="Q251">
        <v>0</v>
      </c>
      <c r="R251">
        <v>124</v>
      </c>
      <c r="S251" t="inlineStr">
        <is>
          <t>Tanker</t>
        </is>
      </c>
      <c r="T251" t="inlineStr">
        <is>
          <t>Jam</t>
        </is>
      </c>
      <c r="U251">
        <v>848.5</v>
      </c>
      <c r="V251">
        <v>1</v>
      </c>
      <c r="W251">
        <v>748.8</v>
      </c>
      <c r="X251">
        <v>134</v>
      </c>
      <c r="Y251">
        <v>0</v>
      </c>
    </row>
    <row r="252">
      <c r="B252">
        <v>260</v>
      </c>
      <c r="C252" t="inlineStr">
        <is>
          <t>HighWay</t>
        </is>
      </c>
      <c r="D252" t="inlineStr">
        <is>
          <t>HWY3_126_Taxi</t>
        </is>
      </c>
      <c r="E252">
        <v>1</v>
      </c>
      <c r="F252" t="inlineStr">
        <is>
          <t>공격 반복</t>
        </is>
      </c>
      <c r="G252">
        <v>4</v>
      </c>
      <c r="H252">
        <v>0</v>
      </c>
      <c r="I252">
        <v>150</v>
      </c>
      <c r="J252">
        <v>0</v>
      </c>
      <c r="K252">
        <v>0</v>
      </c>
      <c r="L252" t="inlineStr">
        <is>
          <t>차량 적 · 원본 전투/성장/코인 시스템</t>
        </is>
      </c>
      <c r="M252" t="inlineStr">
        <is>
          <t>Normal</t>
        </is>
      </c>
      <c r="N252">
        <v>0</v>
      </c>
      <c r="O252">
        <f>'밸런스 조정'!C154*'밸런스 조정'!C292*'밸런스 조정'!C146*(1+('몬스터 성장'!G6/'몬스터 성장'!F6-1)*(U252/'밸런스 조정'!C119)^'몬스터 성장'!H6)</f>
        <v>223.575395135</v>
      </c>
      <c r="P252">
        <v>0</v>
      </c>
      <c r="Q252">
        <v>0</v>
      </c>
      <c r="R252">
        <v>62</v>
      </c>
      <c r="S252" t="inlineStr">
        <is>
          <t>Taxi</t>
        </is>
      </c>
      <c r="T252" t="inlineStr">
        <is>
          <t>Jam</t>
        </is>
      </c>
      <c r="U252">
        <v>848.5</v>
      </c>
      <c r="V252">
        <v>2</v>
      </c>
      <c r="W252">
        <v>748.8</v>
      </c>
      <c r="X252">
        <v>134</v>
      </c>
      <c r="Y252">
        <v>0</v>
      </c>
    </row>
    <row r="253">
      <c r="B253">
        <v>261</v>
      </c>
      <c r="C253" t="inlineStr">
        <is>
          <t>HighWay</t>
        </is>
      </c>
      <c r="D253" t="inlineStr">
        <is>
          <t>HWY3_127_Tanker</t>
        </is>
      </c>
      <c r="E253">
        <v>1</v>
      </c>
      <c r="F253" t="inlineStr">
        <is>
          <t>공격 반복</t>
        </is>
      </c>
      <c r="G253">
        <v>5</v>
      </c>
      <c r="H253">
        <v>0</v>
      </c>
      <c r="I253">
        <v>150</v>
      </c>
      <c r="J253">
        <v>0</v>
      </c>
      <c r="K253">
        <v>0</v>
      </c>
      <c r="L253" t="inlineStr">
        <is>
          <t>차량 적 · 원본 전투/성장/코인 시스템</t>
        </is>
      </c>
      <c r="M253" t="inlineStr">
        <is>
          <t>Normal</t>
        </is>
      </c>
      <c r="N253">
        <v>0</v>
      </c>
      <c r="O253">
        <f>'밸런스 조정'!C154*'밸런스 조정'!C292*'밸런스 조정'!C149*(1+('몬스터 성장'!G6/'몬스터 성장'!F6-1)*(U253/'밸런스 조정'!C119)^'몬스터 성장'!H6)</f>
        <v>453.590962577</v>
      </c>
      <c r="P253">
        <v>0</v>
      </c>
      <c r="Q253">
        <v>0</v>
      </c>
      <c r="R253">
        <v>124</v>
      </c>
      <c r="S253" t="inlineStr">
        <is>
          <t>Tanker</t>
        </is>
      </c>
      <c r="T253" t="inlineStr">
        <is>
          <t>Jam</t>
        </is>
      </c>
      <c r="U253">
        <v>859.7</v>
      </c>
      <c r="V253">
        <v>0</v>
      </c>
      <c r="W253">
        <v>758.5</v>
      </c>
      <c r="X253">
        <v>135</v>
      </c>
      <c r="Y253">
        <v>0</v>
      </c>
    </row>
    <row r="254">
      <c r="B254">
        <v>262</v>
      </c>
      <c r="C254" t="inlineStr">
        <is>
          <t>HighWay</t>
        </is>
      </c>
      <c r="D254" t="inlineStr">
        <is>
          <t>HWY3_128_OneTon</t>
        </is>
      </c>
      <c r="E254">
        <v>1</v>
      </c>
      <c r="F254" t="inlineStr">
        <is>
          <t>공격 반복</t>
        </is>
      </c>
      <c r="G254">
        <v>5</v>
      </c>
      <c r="H254">
        <v>0</v>
      </c>
      <c r="I254">
        <v>150</v>
      </c>
      <c r="J254">
        <v>0</v>
      </c>
      <c r="K254">
        <v>0</v>
      </c>
      <c r="L254" t="inlineStr">
        <is>
          <t>차량 적 · 원본 전투/성장/코인 시스템</t>
        </is>
      </c>
      <c r="M254" t="inlineStr">
        <is>
          <t>Normal</t>
        </is>
      </c>
      <c r="N254">
        <v>0</v>
      </c>
      <c r="O254">
        <f>'밸런스 조정'!C154*'밸런스 조정'!C292*'밸런스 조정'!C147*(1+('몬스터 성장'!G6/'몬스터 성장'!F6-1)*(U254/'밸런스 조정'!C119)^'몬스터 성장'!H6)</f>
        <v>294.834125675</v>
      </c>
      <c r="P254">
        <v>0</v>
      </c>
      <c r="Q254">
        <v>0</v>
      </c>
      <c r="R254">
        <v>62</v>
      </c>
      <c r="S254" t="inlineStr">
        <is>
          <t>OneTon</t>
        </is>
      </c>
      <c r="T254" t="inlineStr">
        <is>
          <t>Jam</t>
        </is>
      </c>
      <c r="U254">
        <v>859.7</v>
      </c>
      <c r="V254">
        <v>1</v>
      </c>
      <c r="W254">
        <v>758.5</v>
      </c>
      <c r="X254">
        <v>135</v>
      </c>
      <c r="Y254">
        <v>0</v>
      </c>
    </row>
    <row r="255">
      <c r="B255">
        <v>263</v>
      </c>
      <c r="C255" t="inlineStr">
        <is>
          <t>HighWay</t>
        </is>
      </c>
      <c r="D255" t="inlineStr">
        <is>
          <t>HWY3_129_Sedan</t>
        </is>
      </c>
      <c r="E255">
        <v>1</v>
      </c>
      <c r="F255" t="inlineStr">
        <is>
          <t>공격 반복</t>
        </is>
      </c>
      <c r="G255">
        <v>5</v>
      </c>
      <c r="H255">
        <v>0</v>
      </c>
      <c r="I255">
        <v>150</v>
      </c>
      <c r="J255">
        <v>0</v>
      </c>
      <c r="K255">
        <v>0</v>
      </c>
      <c r="L255" t="inlineStr">
        <is>
          <t>차량 적 · 원본 전투/성장/코인 시스템</t>
        </is>
      </c>
      <c r="M255" t="inlineStr">
        <is>
          <t>Normal</t>
        </is>
      </c>
      <c r="N255">
        <v>0</v>
      </c>
      <c r="O255">
        <f>'밸런스 조정'!C154*'밸런스 조정'!C292*'밸런스 조정'!C145*(1+('몬스터 성장'!G6/'몬스터 성장'!F6-1)*(U255/'밸런스 조정'!C119)^'몬스터 성장'!H6)</f>
        <v>226.795481289</v>
      </c>
      <c r="P255">
        <v>0</v>
      </c>
      <c r="Q255">
        <v>0</v>
      </c>
      <c r="R255">
        <v>62</v>
      </c>
      <c r="S255" t="inlineStr">
        <is>
          <t>Sedan</t>
        </is>
      </c>
      <c r="T255" t="inlineStr">
        <is>
          <t>Jam</t>
        </is>
      </c>
      <c r="U255">
        <v>859.7</v>
      </c>
      <c r="V255">
        <v>2</v>
      </c>
      <c r="W255">
        <v>758.5</v>
      </c>
      <c r="X255">
        <v>135</v>
      </c>
      <c r="Y255">
        <v>0</v>
      </c>
    </row>
    <row r="256">
      <c r="B256">
        <v>264</v>
      </c>
      <c r="C256" t="inlineStr">
        <is>
          <t>HighWay</t>
        </is>
      </c>
      <c r="D256" t="inlineStr">
        <is>
          <t>HWY3_130_Taxi</t>
        </is>
      </c>
      <c r="E256">
        <v>1</v>
      </c>
      <c r="F256" t="inlineStr">
        <is>
          <t>공격 반복</t>
        </is>
      </c>
      <c r="G256">
        <v>3</v>
      </c>
      <c r="H256">
        <v>0</v>
      </c>
      <c r="I256">
        <v>150</v>
      </c>
      <c r="J256">
        <v>0</v>
      </c>
      <c r="K256">
        <v>0</v>
      </c>
      <c r="L256" t="inlineStr">
        <is>
          <t>차량 적 · 원본 전투/성장/코인 시스템</t>
        </is>
      </c>
      <c r="M256" t="inlineStr">
        <is>
          <t>Normal</t>
        </is>
      </c>
      <c r="N256">
        <v>0</v>
      </c>
      <c r="O256">
        <f>'밸런스 조정'!C154*'밸런스 조정'!C292*'밸런스 조정'!C146*(1+('몬스터 성장'!G6/'몬스터 성장'!F6-1)*(U256/'밸런스 조정'!C119)^'몬스터 성장'!H6)</f>
        <v>228.741968284</v>
      </c>
      <c r="P256">
        <v>0</v>
      </c>
      <c r="Q256">
        <v>0</v>
      </c>
      <c r="R256">
        <v>62</v>
      </c>
      <c r="S256" t="inlineStr">
        <is>
          <t>Taxi</t>
        </is>
      </c>
      <c r="T256" t="inlineStr">
        <is>
          <t>Jam</t>
        </is>
      </c>
      <c r="U256">
        <v>866.4</v>
      </c>
      <c r="V256">
        <v>0</v>
      </c>
      <c r="W256">
        <v>768.2</v>
      </c>
      <c r="X256">
        <v>136</v>
      </c>
      <c r="Y256">
        <v>0</v>
      </c>
    </row>
    <row r="257">
      <c r="B257">
        <v>265</v>
      </c>
      <c r="C257" t="inlineStr">
        <is>
          <t>HighWay</t>
        </is>
      </c>
      <c r="D257" t="inlineStr">
        <is>
          <t>HWY3_131_Box</t>
        </is>
      </c>
      <c r="E257">
        <v>1</v>
      </c>
      <c r="F257" t="inlineStr">
        <is>
          <t>공격 반복</t>
        </is>
      </c>
      <c r="G257">
        <v>3</v>
      </c>
      <c r="H257">
        <v>0</v>
      </c>
      <c r="I257">
        <v>150</v>
      </c>
      <c r="J257">
        <v>0</v>
      </c>
      <c r="K257">
        <v>0</v>
      </c>
      <c r="L257" t="inlineStr">
        <is>
          <t>차량 적 · 원본 전투/성장/코인 시스템</t>
        </is>
      </c>
      <c r="M257" t="inlineStr">
        <is>
          <t>Normal</t>
        </is>
      </c>
      <c r="N257">
        <v>0</v>
      </c>
      <c r="O257">
        <f>'밸런스 조정'!C154*'밸런스 조정'!C292*'밸런스 조정'!C148*(1+('몬스터 성장'!G6/'몬스터 성장'!F6-1)*(U257/'밸런스 조정'!C119)^'몬스터 성장'!H6)</f>
        <v>365.987149254</v>
      </c>
      <c r="P257">
        <v>0</v>
      </c>
      <c r="Q257">
        <v>0</v>
      </c>
      <c r="R257">
        <v>62</v>
      </c>
      <c r="S257" t="inlineStr">
        <is>
          <t>Box</t>
        </is>
      </c>
      <c r="T257" t="inlineStr">
        <is>
          <t>Jam</t>
        </is>
      </c>
      <c r="U257">
        <v>866.4</v>
      </c>
      <c r="V257">
        <v>1</v>
      </c>
      <c r="W257">
        <v>768.2</v>
      </c>
      <c r="X257">
        <v>136</v>
      </c>
      <c r="Y257">
        <v>0</v>
      </c>
    </row>
    <row r="258">
      <c r="B258">
        <v>266</v>
      </c>
      <c r="C258" t="inlineStr">
        <is>
          <t>HighWay</t>
        </is>
      </c>
      <c r="D258" t="inlineStr">
        <is>
          <t>HWY3_132_Tanker</t>
        </is>
      </c>
      <c r="E258">
        <v>1</v>
      </c>
      <c r="F258" t="inlineStr">
        <is>
          <t>공격 반복</t>
        </is>
      </c>
      <c r="G258">
        <v>3</v>
      </c>
      <c r="H258">
        <v>0</v>
      </c>
      <c r="I258">
        <v>150</v>
      </c>
      <c r="J258">
        <v>0</v>
      </c>
      <c r="K258">
        <v>0</v>
      </c>
      <c r="L258" t="inlineStr">
        <is>
          <t>차량 적 · 원본 전투/성장/코인 시스템</t>
        </is>
      </c>
      <c r="M258" t="inlineStr">
        <is>
          <t>Normal</t>
        </is>
      </c>
      <c r="N258">
        <v>0</v>
      </c>
      <c r="O258">
        <f>'밸런스 조정'!C154*'밸런스 조정'!C292*'밸런스 조정'!C149*(1+('몬스터 성장'!G6/'몬스터 성장'!F6-1)*(U258/'밸런스 조정'!C119)^'몬스터 성장'!H6)</f>
        <v>457.483936568</v>
      </c>
      <c r="P258">
        <v>0</v>
      </c>
      <c r="Q258">
        <v>0</v>
      </c>
      <c r="R258">
        <v>124</v>
      </c>
      <c r="S258" t="inlineStr">
        <is>
          <t>Tanker</t>
        </is>
      </c>
      <c r="T258" t="inlineStr">
        <is>
          <t>Jam</t>
        </is>
      </c>
      <c r="U258">
        <v>866.4</v>
      </c>
      <c r="V258">
        <v>2</v>
      </c>
      <c r="W258">
        <v>768.2</v>
      </c>
      <c r="X258">
        <v>136</v>
      </c>
      <c r="Y258">
        <v>0</v>
      </c>
    </row>
    <row r="259">
      <c r="B259">
        <v>267</v>
      </c>
      <c r="C259" t="inlineStr">
        <is>
          <t>HighWay</t>
        </is>
      </c>
      <c r="D259" t="inlineStr">
        <is>
          <t>HWY3_133_Sedan</t>
        </is>
      </c>
      <c r="E259">
        <v>1</v>
      </c>
      <c r="F259" t="inlineStr">
        <is>
          <t>공격 반복</t>
        </is>
      </c>
      <c r="G259">
        <v>4</v>
      </c>
      <c r="H259">
        <v>0</v>
      </c>
      <c r="I259">
        <v>150</v>
      </c>
      <c r="J259">
        <v>0</v>
      </c>
      <c r="K259">
        <v>0</v>
      </c>
      <c r="L259" t="inlineStr">
        <is>
          <t>차량 적 · 원본 전투/성장/코인 시스템</t>
        </is>
      </c>
      <c r="M259" t="inlineStr">
        <is>
          <t>Normal</t>
        </is>
      </c>
      <c r="N259">
        <v>0</v>
      </c>
      <c r="O259">
        <f>'밸런스 조정'!C154*'밸런스 조정'!C292*'밸런스 조정'!C145*(1+('몬스터 성장'!G6/'몬스터 성장'!F6-1)*(U259/'밸런스 조정'!C119)^'몬스터 성장'!H6)</f>
        <v>232.029540145</v>
      </c>
      <c r="P259">
        <v>0</v>
      </c>
      <c r="Q259">
        <v>0</v>
      </c>
      <c r="R259">
        <v>62</v>
      </c>
      <c r="S259" t="inlineStr">
        <is>
          <t>Sedan</t>
        </is>
      </c>
      <c r="T259" t="inlineStr">
        <is>
          <t>Jam</t>
        </is>
      </c>
      <c r="U259">
        <v>877.6</v>
      </c>
      <c r="V259">
        <v>0</v>
      </c>
      <c r="W259">
        <v>777.9</v>
      </c>
      <c r="X259">
        <v>137</v>
      </c>
      <c r="Y259">
        <v>0</v>
      </c>
    </row>
    <row r="260">
      <c r="B260">
        <v>268</v>
      </c>
      <c r="C260" t="inlineStr">
        <is>
          <t>HighWay</t>
        </is>
      </c>
      <c r="D260" t="inlineStr">
        <is>
          <t>HWY3_134_Tanker</t>
        </is>
      </c>
      <c r="E260">
        <v>1</v>
      </c>
      <c r="F260" t="inlineStr">
        <is>
          <t>공격 반복</t>
        </is>
      </c>
      <c r="G260">
        <v>4</v>
      </c>
      <c r="H260">
        <v>0</v>
      </c>
      <c r="I260">
        <v>150</v>
      </c>
      <c r="J260">
        <v>0</v>
      </c>
      <c r="K260">
        <v>0</v>
      </c>
      <c r="L260" t="inlineStr">
        <is>
          <t>차량 적 · 원본 전투/성장/코인 시스템</t>
        </is>
      </c>
      <c r="M260" t="inlineStr">
        <is>
          <t>Normal</t>
        </is>
      </c>
      <c r="N260">
        <v>0</v>
      </c>
      <c r="O260">
        <f>'밸런스 조정'!C154*'밸런스 조정'!C292*'밸런스 조정'!C149*(1+('몬스터 성장'!G6/'몬스터 성장'!F6-1)*(U260/'밸런스 조정'!C119)^'몬스터 성장'!H6)</f>
        <v>464.059080289</v>
      </c>
      <c r="P260">
        <v>0</v>
      </c>
      <c r="Q260">
        <v>0</v>
      </c>
      <c r="R260">
        <v>124</v>
      </c>
      <c r="S260" t="inlineStr">
        <is>
          <t>Tanker</t>
        </is>
      </c>
      <c r="T260" t="inlineStr">
        <is>
          <t>Jam</t>
        </is>
      </c>
      <c r="U260">
        <v>877.6</v>
      </c>
      <c r="V260">
        <v>1</v>
      </c>
      <c r="W260">
        <v>777.9</v>
      </c>
      <c r="X260">
        <v>137</v>
      </c>
      <c r="Y260">
        <v>0</v>
      </c>
    </row>
    <row r="261">
      <c r="B261">
        <v>269</v>
      </c>
      <c r="C261" t="inlineStr">
        <is>
          <t>HighWay</t>
        </is>
      </c>
      <c r="D261" t="inlineStr">
        <is>
          <t>HWY3_135_OneTon</t>
        </is>
      </c>
      <c r="E261">
        <v>1</v>
      </c>
      <c r="F261" t="inlineStr">
        <is>
          <t>공격 반복</t>
        </is>
      </c>
      <c r="G261">
        <v>4</v>
      </c>
      <c r="H261">
        <v>0</v>
      </c>
      <c r="I261">
        <v>150</v>
      </c>
      <c r="J261">
        <v>0</v>
      </c>
      <c r="K261">
        <v>0</v>
      </c>
      <c r="L261" t="inlineStr">
        <is>
          <t>차량 적 · 원본 전투/성장/코인 시스템</t>
        </is>
      </c>
      <c r="M261" t="inlineStr">
        <is>
          <t>Normal</t>
        </is>
      </c>
      <c r="N261">
        <v>0</v>
      </c>
      <c r="O261">
        <f>'밸런스 조정'!C154*'밸런스 조정'!C292*'밸런스 조정'!C147*(1+('몬스터 성장'!G6/'몬스터 성장'!F6-1)*(U261/'밸런스 조정'!C119)^'몬스터 성장'!H6)</f>
        <v>301.638402188</v>
      </c>
      <c r="P261">
        <v>0</v>
      </c>
      <c r="Q261">
        <v>0</v>
      </c>
      <c r="R261">
        <v>62</v>
      </c>
      <c r="S261" t="inlineStr">
        <is>
          <t>OneTon</t>
        </is>
      </c>
      <c r="T261" t="inlineStr">
        <is>
          <t>Jam</t>
        </is>
      </c>
      <c r="U261">
        <v>877.6</v>
      </c>
      <c r="V261">
        <v>2</v>
      </c>
      <c r="W261">
        <v>777.9</v>
      </c>
      <c r="X261">
        <v>137</v>
      </c>
      <c r="Y261">
        <v>0</v>
      </c>
    </row>
    <row r="262">
      <c r="B262">
        <v>270</v>
      </c>
      <c r="C262" t="inlineStr">
        <is>
          <t>HighWay</t>
        </is>
      </c>
      <c r="D262" t="inlineStr">
        <is>
          <t>HWY3_136_Taxi</t>
        </is>
      </c>
      <c r="E262">
        <v>1</v>
      </c>
      <c r="F262" t="inlineStr">
        <is>
          <t>공격 반복</t>
        </is>
      </c>
      <c r="G262">
        <v>5</v>
      </c>
      <c r="H262">
        <v>0</v>
      </c>
      <c r="I262">
        <v>150</v>
      </c>
      <c r="J262">
        <v>0</v>
      </c>
      <c r="K262">
        <v>0</v>
      </c>
      <c r="L262" t="inlineStr">
        <is>
          <t>차량 적 · 원본 전투/성장/코인 시스템</t>
        </is>
      </c>
      <c r="M262" t="inlineStr">
        <is>
          <t>Normal</t>
        </is>
      </c>
      <c r="N262">
        <v>0</v>
      </c>
      <c r="O262">
        <f>'밸런스 조정'!C154*'밸런스 조정'!C292*'밸런스 조정'!C146*(1+('몬스터 성장'!G6/'몬스터 성장'!F6-1)*(U262/'밸런스 조정'!C119)^'몬스터 성장'!H6)</f>
        <v>235.359337699</v>
      </c>
      <c r="P262">
        <v>0</v>
      </c>
      <c r="Q262">
        <v>0</v>
      </c>
      <c r="R262">
        <v>62</v>
      </c>
      <c r="S262" t="inlineStr">
        <is>
          <t>Taxi</t>
        </is>
      </c>
      <c r="T262" t="inlineStr">
        <is>
          <t>Jam</t>
        </is>
      </c>
      <c r="U262">
        <v>888.8</v>
      </c>
      <c r="V262">
        <v>0</v>
      </c>
      <c r="W262">
        <v>787.6</v>
      </c>
      <c r="X262">
        <v>138</v>
      </c>
      <c r="Y262">
        <v>0</v>
      </c>
    </row>
    <row r="263">
      <c r="B263">
        <v>271</v>
      </c>
      <c r="C263" t="inlineStr">
        <is>
          <t>HighWay</t>
        </is>
      </c>
      <c r="D263" t="inlineStr">
        <is>
          <t>HWY3_137_OneTon</t>
        </is>
      </c>
      <c r="E263">
        <v>1</v>
      </c>
      <c r="F263" t="inlineStr">
        <is>
          <t>공격 반복</t>
        </is>
      </c>
      <c r="G263">
        <v>5</v>
      </c>
      <c r="H263">
        <v>0</v>
      </c>
      <c r="I263">
        <v>150</v>
      </c>
      <c r="J263">
        <v>0</v>
      </c>
      <c r="K263">
        <v>0</v>
      </c>
      <c r="L263" t="inlineStr">
        <is>
          <t>차량 적 · 원본 전투/성장/코인 시스템</t>
        </is>
      </c>
      <c r="M263" t="inlineStr">
        <is>
          <t>Normal</t>
        </is>
      </c>
      <c r="N263">
        <v>0</v>
      </c>
      <c r="O263">
        <f>'밸런스 조정'!C154*'밸런스 조정'!C292*'밸런스 조정'!C147*(1+('몬스터 성장'!G6/'몬스터 성장'!F6-1)*(U263/'밸런스 조정'!C119)^'몬스터 성장'!H6)</f>
        <v>305.967139009</v>
      </c>
      <c r="P263">
        <v>0</v>
      </c>
      <c r="Q263">
        <v>0</v>
      </c>
      <c r="R263">
        <v>62</v>
      </c>
      <c r="S263" t="inlineStr">
        <is>
          <t>OneTon</t>
        </is>
      </c>
      <c r="T263" t="inlineStr">
        <is>
          <t>Jam</t>
        </is>
      </c>
      <c r="U263">
        <v>888.8</v>
      </c>
      <c r="V263">
        <v>1</v>
      </c>
      <c r="W263">
        <v>787.6</v>
      </c>
      <c r="X263">
        <v>138</v>
      </c>
      <c r="Y263">
        <v>0</v>
      </c>
    </row>
    <row r="264">
      <c r="B264">
        <v>272</v>
      </c>
      <c r="C264" t="inlineStr">
        <is>
          <t>HighWay</t>
        </is>
      </c>
      <c r="D264" t="inlineStr">
        <is>
          <t>HWY3_138_Box</t>
        </is>
      </c>
      <c r="E264">
        <v>1</v>
      </c>
      <c r="F264" t="inlineStr">
        <is>
          <t>공격 반복</t>
        </is>
      </c>
      <c r="G264">
        <v>5</v>
      </c>
      <c r="H264">
        <v>0</v>
      </c>
      <c r="I264">
        <v>150</v>
      </c>
      <c r="J264">
        <v>0</v>
      </c>
      <c r="K264">
        <v>0</v>
      </c>
      <c r="L264" t="inlineStr">
        <is>
          <t>차량 적 · 원본 전투/성장/코인 시스템</t>
        </is>
      </c>
      <c r="M264" t="inlineStr">
        <is>
          <t>Normal</t>
        </is>
      </c>
      <c r="N264">
        <v>0</v>
      </c>
      <c r="O264">
        <f>'밸런스 조정'!C154*'밸런스 조정'!C292*'밸런스 조정'!C148*(1+('몬스터 성장'!G6/'몬스터 성장'!F6-1)*(U264/'밸런스 조정'!C119)^'몬스터 성장'!H6)</f>
        <v>376.574940318</v>
      </c>
      <c r="P264">
        <v>0</v>
      </c>
      <c r="Q264">
        <v>0</v>
      </c>
      <c r="R264">
        <v>62</v>
      </c>
      <c r="S264" t="inlineStr">
        <is>
          <t>Box</t>
        </is>
      </c>
      <c r="T264" t="inlineStr">
        <is>
          <t>Jam</t>
        </is>
      </c>
      <c r="U264">
        <v>888.8</v>
      </c>
      <c r="V264">
        <v>2</v>
      </c>
      <c r="W264">
        <v>787.6</v>
      </c>
      <c r="X264">
        <v>138</v>
      </c>
      <c r="Y264">
        <v>0</v>
      </c>
    </row>
    <row r="265">
      <c r="B265">
        <v>273</v>
      </c>
      <c r="C265" t="inlineStr">
        <is>
          <t>HighWay</t>
        </is>
      </c>
      <c r="D265" t="inlineStr">
        <is>
          <t>HWY3_139_OneTon</t>
        </is>
      </c>
      <c r="E265">
        <v>1</v>
      </c>
      <c r="F265" t="inlineStr">
        <is>
          <t>공격 반복</t>
        </is>
      </c>
      <c r="G265">
        <v>3</v>
      </c>
      <c r="H265">
        <v>0</v>
      </c>
      <c r="I265">
        <v>150</v>
      </c>
      <c r="J265">
        <v>0</v>
      </c>
      <c r="K265">
        <v>0</v>
      </c>
      <c r="L265" t="inlineStr">
        <is>
          <t>차량 적 · 원본 전투/성장/코인 시스템</t>
        </is>
      </c>
      <c r="M265" t="inlineStr">
        <is>
          <t>Normal</t>
        </is>
      </c>
      <c r="N265">
        <v>0</v>
      </c>
      <c r="O265">
        <f>'밸런스 조정'!C154*'밸런스 조정'!C292*'밸런스 조정'!C147*(1+('몬스터 성장'!G6/'몬스터 성장'!F6-1)*(U265/'밸런스 조정'!C119)^'몬스터 성장'!H6)</f>
        <v>308.582892308</v>
      </c>
      <c r="P265">
        <v>0</v>
      </c>
      <c r="Q265">
        <v>0</v>
      </c>
      <c r="R265">
        <v>62</v>
      </c>
      <c r="S265" t="inlineStr">
        <is>
          <t>OneTon</t>
        </is>
      </c>
      <c r="T265" t="inlineStr">
        <is>
          <t>Jam</t>
        </is>
      </c>
      <c r="U265">
        <v>895.5</v>
      </c>
      <c r="V265">
        <v>0</v>
      </c>
      <c r="W265">
        <v>797.3</v>
      </c>
      <c r="X265">
        <v>139</v>
      </c>
      <c r="Y265">
        <v>0</v>
      </c>
    </row>
    <row r="266">
      <c r="B266">
        <v>274</v>
      </c>
      <c r="C266" t="inlineStr">
        <is>
          <t>HighWay</t>
        </is>
      </c>
      <c r="D266" t="inlineStr">
        <is>
          <t>HWY3_140_Sedan</t>
        </is>
      </c>
      <c r="E266">
        <v>1</v>
      </c>
      <c r="F266" t="inlineStr">
        <is>
          <t>공격 반복</t>
        </is>
      </c>
      <c r="G266">
        <v>3</v>
      </c>
      <c r="H266">
        <v>0</v>
      </c>
      <c r="I266">
        <v>150</v>
      </c>
      <c r="J266">
        <v>0</v>
      </c>
      <c r="K266">
        <v>0</v>
      </c>
      <c r="L266" t="inlineStr">
        <is>
          <t>차량 적 · 원본 전투/성장/코인 시스템</t>
        </is>
      </c>
      <c r="M266" t="inlineStr">
        <is>
          <t>Normal</t>
        </is>
      </c>
      <c r="N266">
        <v>0</v>
      </c>
      <c r="O266">
        <f>'밸런스 조정'!C154*'밸런스 조정'!C292*'밸런스 조정'!C145*(1+('몬스터 성장'!G6/'몬스터 성장'!F6-1)*(U266/'밸런스 조정'!C119)^'몬스터 성장'!H6)</f>
        <v>237.371455621</v>
      </c>
      <c r="P266">
        <v>0</v>
      </c>
      <c r="Q266">
        <v>0</v>
      </c>
      <c r="R266">
        <v>62</v>
      </c>
      <c r="S266" t="inlineStr">
        <is>
          <t>Sedan</t>
        </is>
      </c>
      <c r="T266" t="inlineStr">
        <is>
          <t>Jam</t>
        </is>
      </c>
      <c r="U266">
        <v>895.5</v>
      </c>
      <c r="V266">
        <v>1</v>
      </c>
      <c r="W266">
        <v>797.3</v>
      </c>
      <c r="X266">
        <v>139</v>
      </c>
      <c r="Y266">
        <v>0</v>
      </c>
    </row>
    <row r="267">
      <c r="B267">
        <v>275</v>
      </c>
      <c r="C267" t="inlineStr">
        <is>
          <t>HighWay</t>
        </is>
      </c>
      <c r="D267" t="inlineStr">
        <is>
          <t>HWY3_141_Tanker</t>
        </is>
      </c>
      <c r="E267">
        <v>1</v>
      </c>
      <c r="F267" t="inlineStr">
        <is>
          <t>공격 반복</t>
        </is>
      </c>
      <c r="G267">
        <v>3</v>
      </c>
      <c r="H267">
        <v>0</v>
      </c>
      <c r="I267">
        <v>150</v>
      </c>
      <c r="J267">
        <v>0</v>
      </c>
      <c r="K267">
        <v>0</v>
      </c>
      <c r="L267" t="inlineStr">
        <is>
          <t>차량 적 · 원본 전투/성장/코인 시스템</t>
        </is>
      </c>
      <c r="M267" t="inlineStr">
        <is>
          <t>Normal</t>
        </is>
      </c>
      <c r="N267">
        <v>0</v>
      </c>
      <c r="O267">
        <f>'밸런스 조정'!C154*'밸런스 조정'!C292*'밸런스 조정'!C149*(1+('몬스터 성장'!G6/'몬스터 성장'!F6-1)*(U267/'밸런스 조정'!C119)^'몬스터 성장'!H6)</f>
        <v>474.742911243</v>
      </c>
      <c r="P267">
        <v>0</v>
      </c>
      <c r="Q267">
        <v>0</v>
      </c>
      <c r="R267">
        <v>124</v>
      </c>
      <c r="S267" t="inlineStr">
        <is>
          <t>Tanker</t>
        </is>
      </c>
      <c r="T267" t="inlineStr">
        <is>
          <t>Jam</t>
        </is>
      </c>
      <c r="U267">
        <v>895.5</v>
      </c>
      <c r="V267">
        <v>2</v>
      </c>
      <c r="W267">
        <v>797.3</v>
      </c>
      <c r="X267">
        <v>139</v>
      </c>
      <c r="Y267">
        <v>0</v>
      </c>
    </row>
    <row r="268">
      <c r="B268">
        <v>276</v>
      </c>
      <c r="C268" t="inlineStr">
        <is>
          <t>HighWay</t>
        </is>
      </c>
      <c r="D268" t="inlineStr">
        <is>
          <t>HWY3_142_Box</t>
        </is>
      </c>
      <c r="E268">
        <v>1</v>
      </c>
      <c r="F268" t="inlineStr">
        <is>
          <t>공격 반복</t>
        </is>
      </c>
      <c r="G268">
        <v>4</v>
      </c>
      <c r="H268">
        <v>0</v>
      </c>
      <c r="I268">
        <v>150</v>
      </c>
      <c r="J268">
        <v>0</v>
      </c>
      <c r="K268">
        <v>0</v>
      </c>
      <c r="L268" t="inlineStr">
        <is>
          <t>차량 적 · 원본 전투/성장/코인 시스템</t>
        </is>
      </c>
      <c r="M268" t="inlineStr">
        <is>
          <t>Normal</t>
        </is>
      </c>
      <c r="N268">
        <v>0</v>
      </c>
      <c r="O268">
        <f>'밸런스 조정'!C154*'밸런스 조정'!C292*'밸런스 조정'!C148*(1+('몬스터 성장'!G6/'몬스터 성장'!F6-1)*(U268/'밸런스 조정'!C119)^'몬스터 성장'!H6)</f>
        <v>385.229982212</v>
      </c>
      <c r="P268">
        <v>0</v>
      </c>
      <c r="Q268">
        <v>0</v>
      </c>
      <c r="R268">
        <v>62</v>
      </c>
      <c r="S268" t="inlineStr">
        <is>
          <t>Box</t>
        </is>
      </c>
      <c r="T268" t="inlineStr">
        <is>
          <t>Jam</t>
        </is>
      </c>
      <c r="U268">
        <v>906.7</v>
      </c>
      <c r="V268">
        <v>0</v>
      </c>
      <c r="W268">
        <v>807</v>
      </c>
      <c r="X268">
        <v>140</v>
      </c>
      <c r="Y268">
        <v>0</v>
      </c>
    </row>
    <row r="269">
      <c r="B269">
        <v>277</v>
      </c>
      <c r="C269" t="inlineStr">
        <is>
          <t>HighWay</t>
        </is>
      </c>
      <c r="D269" t="inlineStr">
        <is>
          <t>HWY3_143_Taxi</t>
        </is>
      </c>
      <c r="E269">
        <v>1</v>
      </c>
      <c r="F269" t="inlineStr">
        <is>
          <t>공격 반복</t>
        </is>
      </c>
      <c r="G269">
        <v>4</v>
      </c>
      <c r="H269">
        <v>0</v>
      </c>
      <c r="I269">
        <v>150</v>
      </c>
      <c r="J269">
        <v>0</v>
      </c>
      <c r="K269">
        <v>0</v>
      </c>
      <c r="L269" t="inlineStr">
        <is>
          <t>차량 적 · 원본 전투/성장/코인 시스템</t>
        </is>
      </c>
      <c r="M269" t="inlineStr">
        <is>
          <t>Normal</t>
        </is>
      </c>
      <c r="N269">
        <v>0</v>
      </c>
      <c r="O269">
        <f>'밸런스 조정'!C154*'밸런스 조정'!C292*'밸런스 조정'!C146*(1+('몬스터 성장'!G6/'몬스터 성장'!F6-1)*(U269/'밸런스 조정'!C119)^'몬스터 성장'!H6)</f>
        <v>240.768738882</v>
      </c>
      <c r="P269">
        <v>0</v>
      </c>
      <c r="Q269">
        <v>0</v>
      </c>
      <c r="R269">
        <v>62</v>
      </c>
      <c r="S269" t="inlineStr">
        <is>
          <t>Taxi</t>
        </is>
      </c>
      <c r="T269" t="inlineStr">
        <is>
          <t>Jam</t>
        </is>
      </c>
      <c r="U269">
        <v>906.7</v>
      </c>
      <c r="V269">
        <v>1</v>
      </c>
      <c r="W269">
        <v>807</v>
      </c>
      <c r="X269">
        <v>140</v>
      </c>
      <c r="Y269">
        <v>0</v>
      </c>
    </row>
    <row r="270">
      <c r="B270">
        <v>278</v>
      </c>
      <c r="C270" t="inlineStr">
        <is>
          <t>HighWay</t>
        </is>
      </c>
      <c r="D270" t="inlineStr">
        <is>
          <t>HWY3_144_OneTon</t>
        </is>
      </c>
      <c r="E270">
        <v>1</v>
      </c>
      <c r="F270" t="inlineStr">
        <is>
          <t>공격 반복</t>
        </is>
      </c>
      <c r="G270">
        <v>4</v>
      </c>
      <c r="H270">
        <v>0</v>
      </c>
      <c r="I270">
        <v>150</v>
      </c>
      <c r="J270">
        <v>0</v>
      </c>
      <c r="K270">
        <v>0</v>
      </c>
      <c r="L270" t="inlineStr">
        <is>
          <t>차량 적 · 원본 전투/성장/코인 시스템</t>
        </is>
      </c>
      <c r="M270" t="inlineStr">
        <is>
          <t>Normal</t>
        </is>
      </c>
      <c r="N270">
        <v>0</v>
      </c>
      <c r="O270">
        <f>'밸런스 조정'!C154*'밸런스 조정'!C292*'밸런스 조정'!C147*(1+('몬스터 성장'!G6/'몬스터 성장'!F6-1)*(U270/'밸런스 조정'!C119)^'몬스터 성장'!H6)</f>
        <v>312.999360547</v>
      </c>
      <c r="P270">
        <v>0</v>
      </c>
      <c r="Q270">
        <v>0</v>
      </c>
      <c r="R270">
        <v>62</v>
      </c>
      <c r="S270" t="inlineStr">
        <is>
          <t>OneTon</t>
        </is>
      </c>
      <c r="T270" t="inlineStr">
        <is>
          <t>Jam</t>
        </is>
      </c>
      <c r="U270">
        <v>906.7</v>
      </c>
      <c r="V270">
        <v>2</v>
      </c>
      <c r="W270">
        <v>807</v>
      </c>
      <c r="X270">
        <v>140</v>
      </c>
      <c r="Y270">
        <v>0</v>
      </c>
    </row>
    <row r="271">
      <c r="B271">
        <v>279</v>
      </c>
      <c r="C271" t="inlineStr">
        <is>
          <t>HighWay</t>
        </is>
      </c>
      <c r="D271" t="inlineStr">
        <is>
          <t>HWY3_145_Taxi</t>
        </is>
      </c>
      <c r="E271">
        <v>1</v>
      </c>
      <c r="F271" t="inlineStr">
        <is>
          <t>공격 반복</t>
        </is>
      </c>
      <c r="G271">
        <v>5</v>
      </c>
      <c r="H271">
        <v>0</v>
      </c>
      <c r="I271">
        <v>150</v>
      </c>
      <c r="J271">
        <v>0</v>
      </c>
      <c r="K271">
        <v>0</v>
      </c>
      <c r="L271" t="inlineStr">
        <is>
          <t>차량 적 · 원본 전투/성장/코인 시스템</t>
        </is>
      </c>
      <c r="M271" t="inlineStr">
        <is>
          <t>Normal</t>
        </is>
      </c>
      <c r="N271">
        <v>0</v>
      </c>
      <c r="O271">
        <f>'밸런스 조정'!C154*'밸런스 조정'!C292*'밸런스 조정'!C146*(1+('몬스터 성장'!G6/'몬스터 성장'!F6-1)*(U271/'밸런스 조정'!C119)^'몬스터 성장'!H6)</f>
        <v>244.208247837</v>
      </c>
      <c r="P271">
        <v>0</v>
      </c>
      <c r="Q271">
        <v>0</v>
      </c>
      <c r="R271">
        <v>62</v>
      </c>
      <c r="S271" t="inlineStr">
        <is>
          <t>Taxi</t>
        </is>
      </c>
      <c r="T271" t="inlineStr">
        <is>
          <t>Jam</t>
        </is>
      </c>
      <c r="U271">
        <v>917.9</v>
      </c>
      <c r="V271">
        <v>0</v>
      </c>
      <c r="W271">
        <v>816.7</v>
      </c>
      <c r="X271">
        <v>141</v>
      </c>
      <c r="Y271">
        <v>0</v>
      </c>
    </row>
    <row r="272">
      <c r="B272">
        <v>280</v>
      </c>
      <c r="C272" t="inlineStr">
        <is>
          <t>HighWay</t>
        </is>
      </c>
      <c r="D272" t="inlineStr">
        <is>
          <t>HWY3_146_Bus</t>
        </is>
      </c>
      <c r="E272">
        <v>1</v>
      </c>
      <c r="F272" t="inlineStr">
        <is>
          <t>공격 반복</t>
        </is>
      </c>
      <c r="G272">
        <v>5</v>
      </c>
      <c r="H272">
        <v>0</v>
      </c>
      <c r="I272">
        <v>150</v>
      </c>
      <c r="J272">
        <v>0</v>
      </c>
      <c r="K272">
        <v>0</v>
      </c>
      <c r="L272" t="inlineStr">
        <is>
          <t>차량 적 · 원본 전투/성장/코인 시스템</t>
        </is>
      </c>
      <c r="M272" t="inlineStr">
        <is>
          <t>Normal</t>
        </is>
      </c>
      <c r="N272">
        <v>0</v>
      </c>
      <c r="O272">
        <f>'밸런스 조정'!C154*'밸런스 조정'!C292*'밸런스 조정'!C150*(1+('몬스터 성장'!G6/'몬스터 성장'!F6-1)*(U272/'밸런스 조정'!C119)^'몬스터 성장'!H6)</f>
        <v>732.624743511</v>
      </c>
      <c r="P272">
        <v>0</v>
      </c>
      <c r="Q272">
        <v>0</v>
      </c>
      <c r="R272">
        <v>124</v>
      </c>
      <c r="S272" t="inlineStr">
        <is>
          <t>Bus</t>
        </is>
      </c>
      <c r="T272" t="inlineStr">
        <is>
          <t>Jam</t>
        </is>
      </c>
      <c r="U272">
        <v>917.9</v>
      </c>
      <c r="V272">
        <v>1.5</v>
      </c>
      <c r="W272">
        <v>816.7</v>
      </c>
      <c r="X272">
        <v>141</v>
      </c>
      <c r="Y272">
        <v>0</v>
      </c>
    </row>
    <row r="273">
      <c r="B273">
        <v>281</v>
      </c>
      <c r="C273" t="inlineStr">
        <is>
          <t>HighWay</t>
        </is>
      </c>
      <c r="D273" t="inlineStr">
        <is>
          <t>HWY3_147_OneTon</t>
        </is>
      </c>
      <c r="E273">
        <v>1</v>
      </c>
      <c r="F273" t="inlineStr">
        <is>
          <t>공격 반복</t>
        </is>
      </c>
      <c r="G273">
        <v>5</v>
      </c>
      <c r="H273">
        <v>0</v>
      </c>
      <c r="I273">
        <v>150</v>
      </c>
      <c r="J273">
        <v>0</v>
      </c>
      <c r="K273">
        <v>0</v>
      </c>
      <c r="L273" t="inlineStr">
        <is>
          <t>차량 적 · 원본 전투/성장/코인 시스템</t>
        </is>
      </c>
      <c r="M273" t="inlineStr">
        <is>
          <t>Normal</t>
        </is>
      </c>
      <c r="N273">
        <v>0</v>
      </c>
      <c r="O273">
        <f>'밸런스 조정'!C154*'밸런스 조정'!C292*'밸런스 조정'!C147*(1+('몬스터 성장'!G6/'몬스터 성장'!F6-1)*(U273/'밸런스 조정'!C119)^'몬스터 성장'!H6)</f>
        <v>327.237056547</v>
      </c>
      <c r="P273">
        <v>0</v>
      </c>
      <c r="Q273">
        <v>0</v>
      </c>
      <c r="R273">
        <v>62</v>
      </c>
      <c r="S273" t="inlineStr">
        <is>
          <t>OneTon</t>
        </is>
      </c>
      <c r="T273" t="inlineStr">
        <is>
          <t>Jam</t>
        </is>
      </c>
      <c r="U273">
        <v>941.9</v>
      </c>
      <c r="V273">
        <v>2</v>
      </c>
      <c r="W273">
        <v>816.7</v>
      </c>
      <c r="X273">
        <v>141</v>
      </c>
      <c r="Y273">
        <v>0</v>
      </c>
    </row>
    <row r="274">
      <c r="B274">
        <v>282</v>
      </c>
      <c r="C274" t="inlineStr">
        <is>
          <t>HighWay</t>
        </is>
      </c>
      <c r="D274" t="inlineStr">
        <is>
          <t>HWY3_148_OneTon</t>
        </is>
      </c>
      <c r="E274">
        <v>1</v>
      </c>
      <c r="F274" t="inlineStr">
        <is>
          <t>공격 반복</t>
        </is>
      </c>
      <c r="G274">
        <v>3</v>
      </c>
      <c r="H274">
        <v>0</v>
      </c>
      <c r="I274">
        <v>150</v>
      </c>
      <c r="J274">
        <v>0</v>
      </c>
      <c r="K274">
        <v>0</v>
      </c>
      <c r="L274" t="inlineStr">
        <is>
          <t>차량 적 · 원본 전투/성장/코인 시스템</t>
        </is>
      </c>
      <c r="M274" t="inlineStr">
        <is>
          <t>Normal</t>
        </is>
      </c>
      <c r="N274">
        <v>0</v>
      </c>
      <c r="O274">
        <f>'밸런스 조정'!C154*'밸런스 조정'!C292*'밸런스 조정'!C147*(1+('몬스터 성장'!G6/'몬스터 성장'!F6-1)*(U274/'밸런스 조정'!C119)^'몬스터 성장'!H6)</f>
        <v>320.171795692</v>
      </c>
      <c r="P274">
        <v>0</v>
      </c>
      <c r="Q274">
        <v>0</v>
      </c>
      <c r="R274">
        <v>62</v>
      </c>
      <c r="S274" t="inlineStr">
        <is>
          <t>OneTon</t>
        </is>
      </c>
      <c r="T274" t="inlineStr">
        <is>
          <t>Jam</t>
        </is>
      </c>
      <c r="U274">
        <v>924.6</v>
      </c>
      <c r="V274">
        <v>0</v>
      </c>
      <c r="W274">
        <v>826.4</v>
      </c>
      <c r="X274">
        <v>142</v>
      </c>
      <c r="Y274">
        <v>0</v>
      </c>
    </row>
    <row r="275">
      <c r="B275">
        <v>283</v>
      </c>
      <c r="C275" t="inlineStr">
        <is>
          <t>HighWay</t>
        </is>
      </c>
      <c r="D275" t="inlineStr">
        <is>
          <t>HWY3_149_Box</t>
        </is>
      </c>
      <c r="E275">
        <v>1</v>
      </c>
      <c r="F275" t="inlineStr">
        <is>
          <t>공격 반복</t>
        </is>
      </c>
      <c r="G275">
        <v>3</v>
      </c>
      <c r="H275">
        <v>0</v>
      </c>
      <c r="I275">
        <v>150</v>
      </c>
      <c r="J275">
        <v>0</v>
      </c>
      <c r="K275">
        <v>0</v>
      </c>
      <c r="L275" t="inlineStr">
        <is>
          <t>차량 적 · 원본 전투/성장/코인 시스템</t>
        </is>
      </c>
      <c r="M275" t="inlineStr">
        <is>
          <t>Normal</t>
        </is>
      </c>
      <c r="N275">
        <v>0</v>
      </c>
      <c r="O275">
        <f>'밸런스 조정'!C154*'밸런스 조정'!C292*'밸런스 조정'!C148*(1+('몬스터 성장'!G6/'몬스터 성장'!F6-1)*(U275/'밸런스 조정'!C119)^'몬스터 성장'!H6)</f>
        <v>394.057594698</v>
      </c>
      <c r="P275">
        <v>0</v>
      </c>
      <c r="Q275">
        <v>0</v>
      </c>
      <c r="R275">
        <v>62</v>
      </c>
      <c r="S275" t="inlineStr">
        <is>
          <t>Box</t>
        </is>
      </c>
      <c r="T275" t="inlineStr">
        <is>
          <t>Jam</t>
        </is>
      </c>
      <c r="U275">
        <v>924.6</v>
      </c>
      <c r="V275">
        <v>1</v>
      </c>
      <c r="W275">
        <v>826.4</v>
      </c>
      <c r="X275">
        <v>142</v>
      </c>
      <c r="Y275">
        <v>0</v>
      </c>
    </row>
    <row r="276">
      <c r="B276">
        <v>284</v>
      </c>
      <c r="C276" t="inlineStr">
        <is>
          <t>HighWay</t>
        </is>
      </c>
      <c r="D276" t="inlineStr">
        <is>
          <t>HWY3_150_Taxi</t>
        </is>
      </c>
      <c r="E276">
        <v>1</v>
      </c>
      <c r="F276" t="inlineStr">
        <is>
          <t>공격 반복</t>
        </is>
      </c>
      <c r="G276">
        <v>3</v>
      </c>
      <c r="H276">
        <v>0</v>
      </c>
      <c r="I276">
        <v>150</v>
      </c>
      <c r="J276">
        <v>0</v>
      </c>
      <c r="K276">
        <v>0</v>
      </c>
      <c r="L276" t="inlineStr">
        <is>
          <t>차량 적 · 원본 전투/성장/코인 시스템</t>
        </is>
      </c>
      <c r="M276" t="inlineStr">
        <is>
          <t>Normal</t>
        </is>
      </c>
      <c r="N276">
        <v>0</v>
      </c>
      <c r="O276">
        <f>'밸런스 조정'!C154*'밸런스 조정'!C292*'밸런스 조정'!C146*(1+('몬스터 성장'!G6/'몬스터 성장'!F6-1)*(U276/'밸런스 조정'!C119)^'몬스터 성장'!H6)</f>
        <v>246.285996686</v>
      </c>
      <c r="P276">
        <v>0</v>
      </c>
      <c r="Q276">
        <v>0</v>
      </c>
      <c r="R276">
        <v>62</v>
      </c>
      <c r="S276" t="inlineStr">
        <is>
          <t>Taxi</t>
        </is>
      </c>
      <c r="T276" t="inlineStr">
        <is>
          <t>Jam</t>
        </is>
      </c>
      <c r="U276">
        <v>924.6</v>
      </c>
      <c r="V276">
        <v>2</v>
      </c>
      <c r="W276">
        <v>826.4</v>
      </c>
      <c r="X276">
        <v>142</v>
      </c>
      <c r="Y276">
        <v>0</v>
      </c>
    </row>
    <row r="277">
      <c r="B277">
        <v>285</v>
      </c>
      <c r="C277" t="inlineStr">
        <is>
          <t>HighWay</t>
        </is>
      </c>
      <c r="D277" t="inlineStr">
        <is>
          <t>HWY3_151_Box</t>
        </is>
      </c>
      <c r="E277">
        <v>1</v>
      </c>
      <c r="F277" t="inlineStr">
        <is>
          <t>공격 반복</t>
        </is>
      </c>
      <c r="G277">
        <v>4</v>
      </c>
      <c r="H277">
        <v>0</v>
      </c>
      <c r="I277">
        <v>150</v>
      </c>
      <c r="J277">
        <v>0</v>
      </c>
      <c r="K277">
        <v>0</v>
      </c>
      <c r="L277" t="inlineStr">
        <is>
          <t>차량 적 · 원본 전투/성장/코인 시스템</t>
        </is>
      </c>
      <c r="M277" t="inlineStr">
        <is>
          <t>Normal</t>
        </is>
      </c>
      <c r="N277">
        <v>0</v>
      </c>
      <c r="O277">
        <f>'밸런스 조정'!C154*'밸런스 조정'!C292*'밸런스 조정'!C148*(1+('몬스터 성장'!G6/'몬스터 성장'!F6-1)*(U277/'밸런스 조정'!C119)^'몬스터 성장'!H6)</f>
        <v>399.668786156</v>
      </c>
      <c r="P277">
        <v>0</v>
      </c>
      <c r="Q277">
        <v>0</v>
      </c>
      <c r="R277">
        <v>62</v>
      </c>
      <c r="S277" t="inlineStr">
        <is>
          <t>Box</t>
        </is>
      </c>
      <c r="T277" t="inlineStr">
        <is>
          <t>Jam</t>
        </is>
      </c>
      <c r="U277">
        <v>935.8</v>
      </c>
      <c r="V277">
        <v>0</v>
      </c>
      <c r="W277">
        <v>836.1</v>
      </c>
      <c r="X277">
        <v>143</v>
      </c>
      <c r="Y277">
        <v>0</v>
      </c>
    </row>
    <row r="278">
      <c r="B278">
        <v>286</v>
      </c>
      <c r="C278" t="inlineStr">
        <is>
          <t>HighWay</t>
        </is>
      </c>
      <c r="D278" t="inlineStr">
        <is>
          <t>HWY3_152_Tanker</t>
        </is>
      </c>
      <c r="E278">
        <v>1</v>
      </c>
      <c r="F278" t="inlineStr">
        <is>
          <t>공격 반복</t>
        </is>
      </c>
      <c r="G278">
        <v>4</v>
      </c>
      <c r="H278">
        <v>0</v>
      </c>
      <c r="I278">
        <v>150</v>
      </c>
      <c r="J278">
        <v>0</v>
      </c>
      <c r="K278">
        <v>0</v>
      </c>
      <c r="L278" t="inlineStr">
        <is>
          <t>차량 적 · 원본 전투/성장/코인 시스템</t>
        </is>
      </c>
      <c r="M278" t="inlineStr">
        <is>
          <t>Normal</t>
        </is>
      </c>
      <c r="N278">
        <v>0</v>
      </c>
      <c r="O278">
        <f>'밸런스 조정'!C154*'밸런스 조정'!C292*'밸런스 조정'!C149*(1+('몬스터 성장'!G6/'몬스터 성장'!F6-1)*(U278/'밸런스 조정'!C119)^'몬스터 성장'!H6)</f>
        <v>499.585982696</v>
      </c>
      <c r="P278">
        <v>0</v>
      </c>
      <c r="Q278">
        <v>0</v>
      </c>
      <c r="R278">
        <v>124</v>
      </c>
      <c r="S278" t="inlineStr">
        <is>
          <t>Tanker</t>
        </is>
      </c>
      <c r="T278" t="inlineStr">
        <is>
          <t>Jam</t>
        </is>
      </c>
      <c r="U278">
        <v>935.8</v>
      </c>
      <c r="V278">
        <v>1</v>
      </c>
      <c r="W278">
        <v>836.1</v>
      </c>
      <c r="X278">
        <v>143</v>
      </c>
      <c r="Y278">
        <v>0</v>
      </c>
    </row>
    <row r="279">
      <c r="B279">
        <v>287</v>
      </c>
      <c r="C279" t="inlineStr">
        <is>
          <t>HighWay</t>
        </is>
      </c>
      <c r="D279" t="inlineStr">
        <is>
          <t>HWY3_153_Sedan</t>
        </is>
      </c>
      <c r="E279">
        <v>1</v>
      </c>
      <c r="F279" t="inlineStr">
        <is>
          <t>공격 반복</t>
        </is>
      </c>
      <c r="G279">
        <v>4</v>
      </c>
      <c r="H279">
        <v>0</v>
      </c>
      <c r="I279">
        <v>150</v>
      </c>
      <c r="J279">
        <v>0</v>
      </c>
      <c r="K279">
        <v>0</v>
      </c>
      <c r="L279" t="inlineStr">
        <is>
          <t>차량 적 · 원본 전투/성장/코인 시스템</t>
        </is>
      </c>
      <c r="M279" t="inlineStr">
        <is>
          <t>Normal</t>
        </is>
      </c>
      <c r="N279">
        <v>0</v>
      </c>
      <c r="O279">
        <f>'밸런스 조정'!C154*'밸런스 조정'!C292*'밸런스 조정'!C145*(1+('몬스터 성장'!G6/'몬스터 성장'!F6-1)*(U279/'밸런스 조정'!C119)^'몬스터 성장'!H6)</f>
        <v>249.792991348</v>
      </c>
      <c r="P279">
        <v>0</v>
      </c>
      <c r="Q279">
        <v>0</v>
      </c>
      <c r="R279">
        <v>62</v>
      </c>
      <c r="S279" t="inlineStr">
        <is>
          <t>Sedan</t>
        </is>
      </c>
      <c r="T279" t="inlineStr">
        <is>
          <t>Jam</t>
        </is>
      </c>
      <c r="U279">
        <v>935.8</v>
      </c>
      <c r="V279">
        <v>2</v>
      </c>
      <c r="W279">
        <v>836.1</v>
      </c>
      <c r="X279">
        <v>143</v>
      </c>
      <c r="Y279">
        <v>0</v>
      </c>
    </row>
    <row r="280">
      <c r="B280">
        <v>288</v>
      </c>
      <c r="C280" t="inlineStr">
        <is>
          <t>HighWay</t>
        </is>
      </c>
      <c r="D280" t="inlineStr">
        <is>
          <t>HWY3_154_Tanker</t>
        </is>
      </c>
      <c r="E280">
        <v>1</v>
      </c>
      <c r="F280" t="inlineStr">
        <is>
          <t>공격 반복</t>
        </is>
      </c>
      <c r="G280">
        <v>5</v>
      </c>
      <c r="H280">
        <v>0</v>
      </c>
      <c r="I280">
        <v>150</v>
      </c>
      <c r="J280">
        <v>0</v>
      </c>
      <c r="K280">
        <v>0</v>
      </c>
      <c r="L280" t="inlineStr">
        <is>
          <t>차량 적 · 원본 전투/성장/코인 시스템</t>
        </is>
      </c>
      <c r="M280" t="inlineStr">
        <is>
          <t>Normal</t>
        </is>
      </c>
      <c r="N280">
        <v>0</v>
      </c>
      <c r="O280">
        <f>'밸런스 조정'!C154*'밸런스 조정'!C292*'밸런스 조정'!C149*(1+('몬스터 성장'!G6/'몬스터 성장'!F6-1)*(U280/'밸런스 조정'!C119)^'몬스터 성장'!H6)</f>
        <v>506.684423406</v>
      </c>
      <c r="P280">
        <v>0</v>
      </c>
      <c r="Q280">
        <v>0</v>
      </c>
      <c r="R280">
        <v>124</v>
      </c>
      <c r="S280" t="inlineStr">
        <is>
          <t>Tanker</t>
        </is>
      </c>
      <c r="T280" t="inlineStr">
        <is>
          <t>Jam</t>
        </is>
      </c>
      <c r="U280">
        <v>947</v>
      </c>
      <c r="V280">
        <v>0</v>
      </c>
      <c r="W280">
        <v>845.8</v>
      </c>
      <c r="X280">
        <v>144</v>
      </c>
      <c r="Y280">
        <v>0</v>
      </c>
    </row>
    <row r="281">
      <c r="B281">
        <v>289</v>
      </c>
      <c r="C281" t="inlineStr">
        <is>
          <t>HighWay</t>
        </is>
      </c>
      <c r="D281" t="inlineStr">
        <is>
          <t>HWY3_155_OneTon</t>
        </is>
      </c>
      <c r="E281">
        <v>1</v>
      </c>
      <c r="F281" t="inlineStr">
        <is>
          <t>공격 반복</t>
        </is>
      </c>
      <c r="G281">
        <v>5</v>
      </c>
      <c r="H281">
        <v>0</v>
      </c>
      <c r="I281">
        <v>150</v>
      </c>
      <c r="J281">
        <v>0</v>
      </c>
      <c r="K281">
        <v>0</v>
      </c>
      <c r="L281" t="inlineStr">
        <is>
          <t>차량 적 · 원본 전투/성장/코인 시스템</t>
        </is>
      </c>
      <c r="M281" t="inlineStr">
        <is>
          <t>Normal</t>
        </is>
      </c>
      <c r="N281">
        <v>0</v>
      </c>
      <c r="O281">
        <f>'밸런스 조정'!C154*'밸런스 조정'!C292*'밸런스 조정'!C147*(1+('몬스터 성장'!G6/'몬스터 성장'!F6-1)*(U281/'밸런스 조정'!C119)^'몬스터 성장'!H6)</f>
        <v>329.344875214</v>
      </c>
      <c r="P281">
        <v>0</v>
      </c>
      <c r="Q281">
        <v>0</v>
      </c>
      <c r="R281">
        <v>62</v>
      </c>
      <c r="S281" t="inlineStr">
        <is>
          <t>OneTon</t>
        </is>
      </c>
      <c r="T281" t="inlineStr">
        <is>
          <t>Jam</t>
        </is>
      </c>
      <c r="U281">
        <v>947</v>
      </c>
      <c r="V281">
        <v>1</v>
      </c>
      <c r="W281">
        <v>845.8</v>
      </c>
      <c r="X281">
        <v>144</v>
      </c>
      <c r="Y281">
        <v>0</v>
      </c>
    </row>
    <row r="282">
      <c r="B282">
        <v>290</v>
      </c>
      <c r="C282" t="inlineStr">
        <is>
          <t>HighWay</t>
        </is>
      </c>
      <c r="D282" t="inlineStr">
        <is>
          <t>HWY3_156_Taxi</t>
        </is>
      </c>
      <c r="E282">
        <v>1</v>
      </c>
      <c r="F282" t="inlineStr">
        <is>
          <t>공격 반복</t>
        </is>
      </c>
      <c r="G282">
        <v>5</v>
      </c>
      <c r="H282">
        <v>0</v>
      </c>
      <c r="I282">
        <v>150</v>
      </c>
      <c r="J282">
        <v>0</v>
      </c>
      <c r="K282">
        <v>0</v>
      </c>
      <c r="L282" t="inlineStr">
        <is>
          <t>차량 적 · 원본 전투/성장/코인 시스템</t>
        </is>
      </c>
      <c r="M282" t="inlineStr">
        <is>
          <t>Normal</t>
        </is>
      </c>
      <c r="N282">
        <v>0</v>
      </c>
      <c r="O282">
        <f>'밸런스 조정'!C154*'밸런스 조정'!C292*'밸런스 조정'!C146*(1+('몬스터 성장'!G6/'몬스터 성장'!F6-1)*(U282/'밸런스 조정'!C119)^'몬스터 성장'!H6)</f>
        <v>253.342211703</v>
      </c>
      <c r="P282">
        <v>0</v>
      </c>
      <c r="Q282">
        <v>0</v>
      </c>
      <c r="R282">
        <v>62</v>
      </c>
      <c r="S282" t="inlineStr">
        <is>
          <t>Taxi</t>
        </is>
      </c>
      <c r="T282" t="inlineStr">
        <is>
          <t>Jam</t>
        </is>
      </c>
      <c r="U282">
        <v>947</v>
      </c>
      <c r="V282">
        <v>2</v>
      </c>
      <c r="W282">
        <v>845.8</v>
      </c>
      <c r="X282">
        <v>144</v>
      </c>
      <c r="Y282">
        <v>0</v>
      </c>
    </row>
    <row r="283">
      <c r="B283">
        <v>291</v>
      </c>
      <c r="C283" t="inlineStr">
        <is>
          <t>HighWay</t>
        </is>
      </c>
      <c r="D283" t="inlineStr">
        <is>
          <t>HWY3_157_Sedan</t>
        </is>
      </c>
      <c r="E283">
        <v>1</v>
      </c>
      <c r="F283" t="inlineStr">
        <is>
          <t>공격 반복</t>
        </is>
      </c>
      <c r="G283">
        <v>3</v>
      </c>
      <c r="H283">
        <v>0</v>
      </c>
      <c r="I283">
        <v>150</v>
      </c>
      <c r="J283">
        <v>0</v>
      </c>
      <c r="K283">
        <v>0</v>
      </c>
      <c r="L283" t="inlineStr">
        <is>
          <t>차량 적 · 원본 전투/성장/코인 시스템</t>
        </is>
      </c>
      <c r="M283" t="inlineStr">
        <is>
          <t>Normal</t>
        </is>
      </c>
      <c r="N283">
        <v>0</v>
      </c>
      <c r="O283">
        <f>'밸런스 조정'!C154*'밸런스 조정'!C292*'밸런스 조정'!C145*(1+('몬스터 성장'!G6/'몬스터 성장'!F6-1)*(U283/'밸런스 조정'!C119)^'몬스터 성장'!H6)</f>
        <v>255.485591479</v>
      </c>
      <c r="P283">
        <v>0</v>
      </c>
      <c r="Q283">
        <v>0</v>
      </c>
      <c r="R283">
        <v>62</v>
      </c>
      <c r="S283" t="inlineStr">
        <is>
          <t>Sedan</t>
        </is>
      </c>
      <c r="T283" t="inlineStr">
        <is>
          <t>Jam</t>
        </is>
      </c>
      <c r="U283">
        <v>953.7</v>
      </c>
      <c r="V283">
        <v>0</v>
      </c>
      <c r="W283">
        <v>855.5</v>
      </c>
      <c r="X283">
        <v>145</v>
      </c>
      <c r="Y283">
        <v>0</v>
      </c>
    </row>
    <row r="284">
      <c r="B284">
        <v>292</v>
      </c>
      <c r="C284" t="inlineStr">
        <is>
          <t>HighWay</t>
        </is>
      </c>
      <c r="D284" t="inlineStr">
        <is>
          <t>HWY3_158_Box</t>
        </is>
      </c>
      <c r="E284">
        <v>1</v>
      </c>
      <c r="F284" t="inlineStr">
        <is>
          <t>공격 반복</t>
        </is>
      </c>
      <c r="G284">
        <v>3</v>
      </c>
      <c r="H284">
        <v>0</v>
      </c>
      <c r="I284">
        <v>150</v>
      </c>
      <c r="J284">
        <v>0</v>
      </c>
      <c r="K284">
        <v>0</v>
      </c>
      <c r="L284" t="inlineStr">
        <is>
          <t>차량 적 · 원본 전투/성장/코인 시스템</t>
        </is>
      </c>
      <c r="M284" t="inlineStr">
        <is>
          <t>Normal</t>
        </is>
      </c>
      <c r="N284">
        <v>0</v>
      </c>
      <c r="O284">
        <f>'밸런스 조정'!C154*'밸런스 조정'!C292*'밸런스 조정'!C148*(1+('몬스터 성장'!G6/'몬스터 성장'!F6-1)*(U284/'밸런스 조정'!C119)^'몬스터 성장'!H6)</f>
        <v>408.776946367</v>
      </c>
      <c r="P284">
        <v>0</v>
      </c>
      <c r="Q284">
        <v>0</v>
      </c>
      <c r="R284">
        <v>62</v>
      </c>
      <c r="S284" t="inlineStr">
        <is>
          <t>Box</t>
        </is>
      </c>
      <c r="T284" t="inlineStr">
        <is>
          <t>Jam</t>
        </is>
      </c>
      <c r="U284">
        <v>953.7</v>
      </c>
      <c r="V284">
        <v>1</v>
      </c>
      <c r="W284">
        <v>855.5</v>
      </c>
      <c r="X284">
        <v>145</v>
      </c>
      <c r="Y284">
        <v>0</v>
      </c>
    </row>
    <row r="285">
      <c r="B285">
        <v>293</v>
      </c>
      <c r="C285" t="inlineStr">
        <is>
          <t>HighWay</t>
        </is>
      </c>
      <c r="D285" t="inlineStr">
        <is>
          <t>HWY3_159_Tanker</t>
        </is>
      </c>
      <c r="E285">
        <v>1</v>
      </c>
      <c r="F285" t="inlineStr">
        <is>
          <t>공격 반복</t>
        </is>
      </c>
      <c r="G285">
        <v>3</v>
      </c>
      <c r="H285">
        <v>0</v>
      </c>
      <c r="I285">
        <v>150</v>
      </c>
      <c r="J285">
        <v>0</v>
      </c>
      <c r="K285">
        <v>0</v>
      </c>
      <c r="L285" t="inlineStr">
        <is>
          <t>차량 적 · 원본 전투/성장/코인 시스템</t>
        </is>
      </c>
      <c r="M285" t="inlineStr">
        <is>
          <t>Normal</t>
        </is>
      </c>
      <c r="N285">
        <v>0</v>
      </c>
      <c r="O285">
        <f>'밸런스 조정'!C154*'밸런스 조정'!C292*'밸런스 조정'!C149*(1+('몬스터 성장'!G6/'몬스터 성장'!F6-1)*(U285/'밸런스 조정'!C119)^'몬스터 성장'!H6)</f>
        <v>510.971182959</v>
      </c>
      <c r="P285">
        <v>0</v>
      </c>
      <c r="Q285">
        <v>0</v>
      </c>
      <c r="R285">
        <v>124</v>
      </c>
      <c r="S285" t="inlineStr">
        <is>
          <t>Tanker</t>
        </is>
      </c>
      <c r="T285" t="inlineStr">
        <is>
          <t>Jam</t>
        </is>
      </c>
      <c r="U285">
        <v>953.7</v>
      </c>
      <c r="V285">
        <v>2</v>
      </c>
      <c r="W285">
        <v>855.5</v>
      </c>
      <c r="X285">
        <v>145</v>
      </c>
      <c r="Y285">
        <v>0</v>
      </c>
    </row>
    <row r="286">
      <c r="B286">
        <v>294</v>
      </c>
      <c r="C286" t="inlineStr">
        <is>
          <t>HighWay</t>
        </is>
      </c>
      <c r="D286" t="inlineStr">
        <is>
          <t>HWY3_160_Taxi</t>
        </is>
      </c>
      <c r="E286">
        <v>1</v>
      </c>
      <c r="F286" t="inlineStr">
        <is>
          <t>공격 반복</t>
        </is>
      </c>
      <c r="G286">
        <v>4</v>
      </c>
      <c r="H286">
        <v>0</v>
      </c>
      <c r="I286">
        <v>150</v>
      </c>
      <c r="J286">
        <v>0</v>
      </c>
      <c r="K286">
        <v>0</v>
      </c>
      <c r="L286" t="inlineStr">
        <is>
          <t>차량 적 · 원본 전투/성장/코인 시스템</t>
        </is>
      </c>
      <c r="M286" t="inlineStr">
        <is>
          <t>Normal</t>
        </is>
      </c>
      <c r="N286">
        <v>0</v>
      </c>
      <c r="O286">
        <f>'밸런스 조정'!C154*'밸런스 조정'!C292*'밸런스 조정'!C146*(1+('몬스터 성장'!G6/'몬스터 성장'!F6-1)*(U286/'밸런스 조정'!C119)^'몬스터 성장'!H6)</f>
        <v>259.102297541</v>
      </c>
      <c r="P286">
        <v>0</v>
      </c>
      <c r="Q286">
        <v>0</v>
      </c>
      <c r="R286">
        <v>62</v>
      </c>
      <c r="S286" t="inlineStr">
        <is>
          <t>Taxi</t>
        </is>
      </c>
      <c r="T286" t="inlineStr">
        <is>
          <t>Jam</t>
        </is>
      </c>
      <c r="U286">
        <v>964.9</v>
      </c>
      <c r="V286">
        <v>0</v>
      </c>
      <c r="W286">
        <v>865.2</v>
      </c>
      <c r="X286">
        <v>146</v>
      </c>
      <c r="Y286">
        <v>0</v>
      </c>
    </row>
    <row r="287">
      <c r="B287">
        <v>295</v>
      </c>
      <c r="C287" t="inlineStr">
        <is>
          <t>HighWay</t>
        </is>
      </c>
      <c r="D287" t="inlineStr">
        <is>
          <t>HWY3_161_Tanker</t>
        </is>
      </c>
      <c r="E287">
        <v>1</v>
      </c>
      <c r="F287" t="inlineStr">
        <is>
          <t>공격 반복</t>
        </is>
      </c>
      <c r="G287">
        <v>4</v>
      </c>
      <c r="H287">
        <v>0</v>
      </c>
      <c r="I287">
        <v>150</v>
      </c>
      <c r="J287">
        <v>0</v>
      </c>
      <c r="K287">
        <v>0</v>
      </c>
      <c r="L287" t="inlineStr">
        <is>
          <t>차량 적 · 원본 전투/성장/코인 시스템</t>
        </is>
      </c>
      <c r="M287" t="inlineStr">
        <is>
          <t>Normal</t>
        </is>
      </c>
      <c r="N287">
        <v>0</v>
      </c>
      <c r="O287">
        <f>'밸런스 조정'!C154*'밸런스 조정'!C292*'밸런스 조정'!C149*(1+('몬스터 성장'!G6/'몬스터 성장'!F6-1)*(U287/'밸런스 조정'!C119)^'몬스터 성장'!H6)</f>
        <v>518.204595082</v>
      </c>
      <c r="P287">
        <v>0</v>
      </c>
      <c r="Q287">
        <v>0</v>
      </c>
      <c r="R287">
        <v>124</v>
      </c>
      <c r="S287" t="inlineStr">
        <is>
          <t>Tanker</t>
        </is>
      </c>
      <c r="T287" t="inlineStr">
        <is>
          <t>Jam</t>
        </is>
      </c>
      <c r="U287">
        <v>964.9</v>
      </c>
      <c r="V287">
        <v>1</v>
      </c>
      <c r="W287">
        <v>865.2</v>
      </c>
      <c r="X287">
        <v>146</v>
      </c>
      <c r="Y287">
        <v>0</v>
      </c>
    </row>
    <row r="288">
      <c r="B288">
        <v>296</v>
      </c>
      <c r="C288" t="inlineStr">
        <is>
          <t>HighWay</t>
        </is>
      </c>
      <c r="D288" t="inlineStr">
        <is>
          <t>HWY3_162_OneTon</t>
        </is>
      </c>
      <c r="E288">
        <v>1</v>
      </c>
      <c r="F288" t="inlineStr">
        <is>
          <t>공격 반복</t>
        </is>
      </c>
      <c r="G288">
        <v>4</v>
      </c>
      <c r="H288">
        <v>0</v>
      </c>
      <c r="I288">
        <v>150</v>
      </c>
      <c r="J288">
        <v>0</v>
      </c>
      <c r="K288">
        <v>0</v>
      </c>
      <c r="L288" t="inlineStr">
        <is>
          <t>차량 적 · 원본 전투/성장/코인 시스템</t>
        </is>
      </c>
      <c r="M288" t="inlineStr">
        <is>
          <t>Normal</t>
        </is>
      </c>
      <c r="N288">
        <v>0</v>
      </c>
      <c r="O288">
        <f>'밸런스 조정'!C154*'밸런스 조정'!C292*'밸런스 조정'!C147*(1+('몬스터 성장'!G6/'몬스터 성장'!F6-1)*(U288/'밸런스 조정'!C119)^'몬스터 성장'!H6)</f>
        <v>336.832986803</v>
      </c>
      <c r="P288">
        <v>0</v>
      </c>
      <c r="Q288">
        <v>0</v>
      </c>
      <c r="R288">
        <v>62</v>
      </c>
      <c r="S288" t="inlineStr">
        <is>
          <t>OneTon</t>
        </is>
      </c>
      <c r="T288" t="inlineStr">
        <is>
          <t>Jam</t>
        </is>
      </c>
      <c r="U288">
        <v>964.9</v>
      </c>
      <c r="V288">
        <v>2</v>
      </c>
      <c r="W288">
        <v>865.2</v>
      </c>
      <c r="X288">
        <v>146</v>
      </c>
      <c r="Y288">
        <v>0</v>
      </c>
    </row>
    <row r="289">
      <c r="B289">
        <v>297</v>
      </c>
      <c r="C289" t="inlineStr">
        <is>
          <t>HighWay</t>
        </is>
      </c>
      <c r="D289" t="inlineStr">
        <is>
          <t>HWY3_163_Sedan</t>
        </is>
      </c>
      <c r="E289">
        <v>1</v>
      </c>
      <c r="F289" t="inlineStr">
        <is>
          <t>공격 반복</t>
        </is>
      </c>
      <c r="G289">
        <v>5</v>
      </c>
      <c r="H289">
        <v>0</v>
      </c>
      <c r="I289">
        <v>150</v>
      </c>
      <c r="J289">
        <v>0</v>
      </c>
      <c r="K289">
        <v>0</v>
      </c>
      <c r="L289" t="inlineStr">
        <is>
          <t>차량 적 · 원본 전투/성장/코인 시스템</t>
        </is>
      </c>
      <c r="M289" t="inlineStr">
        <is>
          <t>Normal</t>
        </is>
      </c>
      <c r="N289">
        <v>0</v>
      </c>
      <c r="O289">
        <f>'밸런스 조정'!C154*'밸런스 조정'!C292*'밸런스 조정'!C145*(1+('몬스터 성장'!G6/'몬스터 성장'!F6-1)*(U289/'밸런스 조정'!C119)^'몬스터 성장'!H6)</f>
        <v>262.761229297</v>
      </c>
      <c r="P289">
        <v>0</v>
      </c>
      <c r="Q289">
        <v>0</v>
      </c>
      <c r="R289">
        <v>62</v>
      </c>
      <c r="S289" t="inlineStr">
        <is>
          <t>Sedan</t>
        </is>
      </c>
      <c r="T289" t="inlineStr">
        <is>
          <t>Jam</t>
        </is>
      </c>
      <c r="U289">
        <v>976.1</v>
      </c>
      <c r="V289">
        <v>0</v>
      </c>
      <c r="W289">
        <v>874.9</v>
      </c>
      <c r="X289">
        <v>147</v>
      </c>
      <c r="Y289">
        <v>0</v>
      </c>
    </row>
    <row r="290">
      <c r="B290">
        <v>298</v>
      </c>
      <c r="C290" t="inlineStr">
        <is>
          <t>HighWay</t>
        </is>
      </c>
      <c r="D290" t="inlineStr">
        <is>
          <t>HWY3_164_OneTon</t>
        </is>
      </c>
      <c r="E290">
        <v>1</v>
      </c>
      <c r="F290" t="inlineStr">
        <is>
          <t>공격 반복</t>
        </is>
      </c>
      <c r="G290">
        <v>5</v>
      </c>
      <c r="H290">
        <v>0</v>
      </c>
      <c r="I290">
        <v>150</v>
      </c>
      <c r="J290">
        <v>0</v>
      </c>
      <c r="K290">
        <v>0</v>
      </c>
      <c r="L290" t="inlineStr">
        <is>
          <t>차량 적 · 원본 전투/성장/코인 시스템</t>
        </is>
      </c>
      <c r="M290" t="inlineStr">
        <is>
          <t>Normal</t>
        </is>
      </c>
      <c r="N290">
        <v>0</v>
      </c>
      <c r="O290">
        <f>'밸런스 조정'!C154*'밸런스 조정'!C292*'밸런스 조정'!C147*(1+('몬스터 성장'!G6/'몬스터 성장'!F6-1)*(U290/'밸런스 조정'!C119)^'몬스터 성장'!H6)</f>
        <v>341.589598085</v>
      </c>
      <c r="P290">
        <v>0</v>
      </c>
      <c r="Q290">
        <v>0</v>
      </c>
      <c r="R290">
        <v>62</v>
      </c>
      <c r="S290" t="inlineStr">
        <is>
          <t>OneTon</t>
        </is>
      </c>
      <c r="T290" t="inlineStr">
        <is>
          <t>Jam</t>
        </is>
      </c>
      <c r="U290">
        <v>976.1</v>
      </c>
      <c r="V290">
        <v>1</v>
      </c>
      <c r="W290">
        <v>874.9</v>
      </c>
      <c r="X290">
        <v>147</v>
      </c>
      <c r="Y290">
        <v>0</v>
      </c>
    </row>
    <row r="291">
      <c r="B291">
        <v>299</v>
      </c>
      <c r="C291" t="inlineStr">
        <is>
          <t>HighWay</t>
        </is>
      </c>
      <c r="D291" t="inlineStr">
        <is>
          <t>HWY3_165_Box</t>
        </is>
      </c>
      <c r="E291">
        <v>1</v>
      </c>
      <c r="F291" t="inlineStr">
        <is>
          <t>공격 반복</t>
        </is>
      </c>
      <c r="G291">
        <v>5</v>
      </c>
      <c r="H291">
        <v>0</v>
      </c>
      <c r="I291">
        <v>150</v>
      </c>
      <c r="J291">
        <v>0</v>
      </c>
      <c r="K291">
        <v>0</v>
      </c>
      <c r="L291" t="inlineStr">
        <is>
          <t>차량 적 · 원본 전투/성장/코인 시스템</t>
        </is>
      </c>
      <c r="M291" t="inlineStr">
        <is>
          <t>Normal</t>
        </is>
      </c>
      <c r="N291">
        <v>0</v>
      </c>
      <c r="O291">
        <f>'밸런스 조정'!C154*'밸런스 조정'!C292*'밸런스 조정'!C148*(1+('몬스터 성장'!G6/'몬스터 성장'!F6-1)*(U291/'밸런스 조정'!C119)^'몬스터 성장'!H6)</f>
        <v>420.417966874</v>
      </c>
      <c r="P291">
        <v>0</v>
      </c>
      <c r="Q291">
        <v>0</v>
      </c>
      <c r="R291">
        <v>62</v>
      </c>
      <c r="S291" t="inlineStr">
        <is>
          <t>Box</t>
        </is>
      </c>
      <c r="T291" t="inlineStr">
        <is>
          <t>Jam</t>
        </is>
      </c>
      <c r="U291">
        <v>976.1</v>
      </c>
      <c r="V291">
        <v>2</v>
      </c>
      <c r="W291">
        <v>874.9</v>
      </c>
      <c r="X291">
        <v>147</v>
      </c>
      <c r="Y291">
        <v>0</v>
      </c>
    </row>
    <row r="292">
      <c r="B292">
        <v>300</v>
      </c>
      <c r="C292" t="inlineStr">
        <is>
          <t>HighWay</t>
        </is>
      </c>
      <c r="D292" t="inlineStr">
        <is>
          <t>HWY3_166_OneTon</t>
        </is>
      </c>
      <c r="E292">
        <v>1</v>
      </c>
      <c r="F292" t="inlineStr">
        <is>
          <t>공격 반복</t>
        </is>
      </c>
      <c r="G292">
        <v>3</v>
      </c>
      <c r="H292">
        <v>0</v>
      </c>
      <c r="I292">
        <v>150</v>
      </c>
      <c r="J292">
        <v>0</v>
      </c>
      <c r="K292">
        <v>0</v>
      </c>
      <c r="L292" t="inlineStr">
        <is>
          <t>차량 적 · 원본 전투/성장/코인 시스템</t>
        </is>
      </c>
      <c r="M292" t="inlineStr">
        <is>
          <t>Normal</t>
        </is>
      </c>
      <c r="N292">
        <v>0</v>
      </c>
      <c r="O292">
        <f>'밸런스 조정'!C154*'밸런스 조정'!C292*'밸런스 조정'!C147*(1+('몬스터 성장'!G6/'몬스터 성장'!F6-1)*(U292/'밸런스 조정'!C119)^'몬스터 성장'!H6)</f>
        <v>344.461312</v>
      </c>
      <c r="P292">
        <v>0</v>
      </c>
      <c r="Q292">
        <v>0</v>
      </c>
      <c r="R292">
        <v>62</v>
      </c>
      <c r="S292" t="inlineStr">
        <is>
          <t>OneTon</t>
        </is>
      </c>
      <c r="T292" t="inlineStr">
        <is>
          <t>Jam</t>
        </is>
      </c>
      <c r="U292">
        <v>982.8</v>
      </c>
      <c r="V292">
        <v>0</v>
      </c>
      <c r="W292">
        <v>884.6</v>
      </c>
      <c r="X292">
        <v>148</v>
      </c>
      <c r="Y292">
        <v>0</v>
      </c>
    </row>
    <row r="293">
      <c r="B293">
        <v>301</v>
      </c>
      <c r="C293" t="inlineStr">
        <is>
          <t>HighWay</t>
        </is>
      </c>
      <c r="D293" t="inlineStr">
        <is>
          <t>HWY3_167_Taxi</t>
        </is>
      </c>
      <c r="E293">
        <v>1</v>
      </c>
      <c r="F293" t="inlineStr">
        <is>
          <t>공격 반복</t>
        </is>
      </c>
      <c r="G293">
        <v>3</v>
      </c>
      <c r="H293">
        <v>0</v>
      </c>
      <c r="I293">
        <v>150</v>
      </c>
      <c r="J293">
        <v>0</v>
      </c>
      <c r="K293">
        <v>0</v>
      </c>
      <c r="L293" t="inlineStr">
        <is>
          <t>차량 적 · 원본 전투/성장/코인 시스템</t>
        </is>
      </c>
      <c r="M293" t="inlineStr">
        <is>
          <t>Normal</t>
        </is>
      </c>
      <c r="N293">
        <v>0</v>
      </c>
      <c r="O293">
        <f>'밸런스 조정'!C154*'밸런스 조정'!C292*'밸런스 조정'!C146*(1+('몬스터 성장'!G6/'몬스터 성장'!F6-1)*(U293/'밸런스 조정'!C119)^'몬스터 성장'!H6)</f>
        <v>264.97024</v>
      </c>
      <c r="P293">
        <v>0</v>
      </c>
      <c r="Q293">
        <v>0</v>
      </c>
      <c r="R293">
        <v>62</v>
      </c>
      <c r="S293" t="inlineStr">
        <is>
          <t>Taxi</t>
        </is>
      </c>
      <c r="T293" t="inlineStr">
        <is>
          <t>Jam</t>
        </is>
      </c>
      <c r="U293">
        <v>982.8</v>
      </c>
      <c r="V293">
        <v>1</v>
      </c>
      <c r="W293">
        <v>884.6</v>
      </c>
      <c r="X293">
        <v>148</v>
      </c>
      <c r="Y293">
        <v>0</v>
      </c>
    </row>
    <row r="294">
      <c r="B294">
        <v>302</v>
      </c>
      <c r="C294" t="inlineStr">
        <is>
          <t>HighWay</t>
        </is>
      </c>
      <c r="D294" t="inlineStr">
        <is>
          <t>HWY3_168_Tanker</t>
        </is>
      </c>
      <c r="E294">
        <v>1</v>
      </c>
      <c r="F294" t="inlineStr">
        <is>
          <t>공격 반복</t>
        </is>
      </c>
      <c r="G294">
        <v>3</v>
      </c>
      <c r="H294">
        <v>0</v>
      </c>
      <c r="I294">
        <v>150</v>
      </c>
      <c r="J294">
        <v>0</v>
      </c>
      <c r="K294">
        <v>0</v>
      </c>
      <c r="L294" t="inlineStr">
        <is>
          <t>차량 적 · 원본 전투/성장/코인 시스템</t>
        </is>
      </c>
      <c r="M294" t="inlineStr">
        <is>
          <t>Normal</t>
        </is>
      </c>
      <c r="N294">
        <v>0</v>
      </c>
      <c r="O294">
        <f>'밸런스 조정'!C154*'밸런스 조정'!C292*'밸런스 조정'!C149*(1+('몬스터 성장'!G6/'몬스터 성장'!F6-1)*(U294/'밸런스 조정'!C119)^'몬스터 성장'!H6)</f>
        <v>529.94048</v>
      </c>
      <c r="P294">
        <v>0</v>
      </c>
      <c r="Q294">
        <v>0</v>
      </c>
      <c r="R294">
        <v>124</v>
      </c>
      <c r="S294" t="inlineStr">
        <is>
          <t>Tanker</t>
        </is>
      </c>
      <c r="T294" t="inlineStr">
        <is>
          <t>Jam</t>
        </is>
      </c>
      <c r="U294">
        <v>982.8</v>
      </c>
      <c r="V294">
        <v>2</v>
      </c>
      <c r="W294">
        <v>884.6</v>
      </c>
      <c r="X294">
        <v>148</v>
      </c>
      <c r="Y294">
        <v>0</v>
      </c>
    </row>
    <row r="295">
      <c r="B295">
        <v>303</v>
      </c>
      <c r="C295" t="inlineStr">
        <is>
          <t>HighWay</t>
        </is>
      </c>
      <c r="D295" t="inlineStr">
        <is>
          <t>HWY3_169_Box</t>
        </is>
      </c>
      <c r="E295">
        <v>1</v>
      </c>
      <c r="F295" t="inlineStr">
        <is>
          <t>공격 반복</t>
        </is>
      </c>
      <c r="G295">
        <v>4</v>
      </c>
      <c r="H295">
        <v>0</v>
      </c>
      <c r="I295">
        <v>150</v>
      </c>
      <c r="J295">
        <v>0</v>
      </c>
      <c r="K295">
        <v>0</v>
      </c>
      <c r="L295" t="inlineStr">
        <is>
          <t>차량 적 · 원본 전투/성장/코인 시스템</t>
        </is>
      </c>
      <c r="M295" t="inlineStr">
        <is>
          <t>Normal</t>
        </is>
      </c>
      <c r="N295">
        <v>0</v>
      </c>
      <c r="O295">
        <f>'밸런스 조정'!C154*'밸런스 조정'!C292*'밸런스 조정'!C148*(1+('몬스터 성장'!G6/'몬스터 성장'!F6-1)*(U295/'밸런스 조정'!C119)^'몬스터 성장'!H6)</f>
        <v>429.91465194</v>
      </c>
      <c r="P295">
        <v>0</v>
      </c>
      <c r="Q295">
        <v>0</v>
      </c>
      <c r="R295">
        <v>62</v>
      </c>
      <c r="S295" t="inlineStr">
        <is>
          <t>Box</t>
        </is>
      </c>
      <c r="T295" t="inlineStr">
        <is>
          <t>Jam</t>
        </is>
      </c>
      <c r="U295">
        <v>994</v>
      </c>
      <c r="V295">
        <v>0</v>
      </c>
      <c r="W295">
        <v>894.3</v>
      </c>
      <c r="X295">
        <v>149</v>
      </c>
      <c r="Y295">
        <v>0</v>
      </c>
    </row>
    <row r="296">
      <c r="B296">
        <v>304</v>
      </c>
      <c r="C296" t="inlineStr">
        <is>
          <t>HighWay</t>
        </is>
      </c>
      <c r="D296" t="inlineStr">
        <is>
          <t>HWY3_170_Sedan</t>
        </is>
      </c>
      <c r="E296">
        <v>1</v>
      </c>
      <c r="F296" t="inlineStr">
        <is>
          <t>공격 반복</t>
        </is>
      </c>
      <c r="G296">
        <v>4</v>
      </c>
      <c r="H296">
        <v>0</v>
      </c>
      <c r="I296">
        <v>150</v>
      </c>
      <c r="J296">
        <v>0</v>
      </c>
      <c r="K296">
        <v>0</v>
      </c>
      <c r="L296" t="inlineStr">
        <is>
          <t>차량 적 · 원본 전투/성장/코인 시스템</t>
        </is>
      </c>
      <c r="M296" t="inlineStr">
        <is>
          <t>Normal</t>
        </is>
      </c>
      <c r="N296">
        <v>0</v>
      </c>
      <c r="O296">
        <f>'밸런스 조정'!C154*'밸런스 조정'!C292*'밸런스 조정'!C145*(1+('몬스터 성장'!G6/'몬스터 성장'!F6-1)*(U296/'밸런스 조정'!C119)^'몬스터 성장'!H6)</f>
        <v>268.696657462</v>
      </c>
      <c r="P296">
        <v>0</v>
      </c>
      <c r="Q296">
        <v>0</v>
      </c>
      <c r="R296">
        <v>62</v>
      </c>
      <c r="S296" t="inlineStr">
        <is>
          <t>Sedan</t>
        </is>
      </c>
      <c r="T296" t="inlineStr">
        <is>
          <t>Jam</t>
        </is>
      </c>
      <c r="U296">
        <v>994</v>
      </c>
      <c r="V296">
        <v>1</v>
      </c>
      <c r="W296">
        <v>894.3</v>
      </c>
      <c r="X296">
        <v>149</v>
      </c>
      <c r="Y296">
        <v>0</v>
      </c>
    </row>
    <row r="297">
      <c r="B297">
        <v>305</v>
      </c>
      <c r="C297" t="inlineStr">
        <is>
          <t>HighWay</t>
        </is>
      </c>
      <c r="D297" t="inlineStr">
        <is>
          <t>HWY3_171_OneTon</t>
        </is>
      </c>
      <c r="E297">
        <v>1</v>
      </c>
      <c r="F297" t="inlineStr">
        <is>
          <t>공격 반복</t>
        </is>
      </c>
      <c r="G297">
        <v>4</v>
      </c>
      <c r="H297">
        <v>0</v>
      </c>
      <c r="I297">
        <v>150</v>
      </c>
      <c r="J297">
        <v>0</v>
      </c>
      <c r="K297">
        <v>0</v>
      </c>
      <c r="L297" t="inlineStr">
        <is>
          <t>차량 적 · 원본 전투/성장/코인 시스템</t>
        </is>
      </c>
      <c r="M297" t="inlineStr">
        <is>
          <t>Normal</t>
        </is>
      </c>
      <c r="N297">
        <v>0</v>
      </c>
      <c r="O297">
        <f>'밸런스 조정'!C154*'밸런스 조정'!C292*'밸런스 조정'!C147*(1+('몬스터 성장'!G6/'몬스터 성장'!F6-1)*(U297/'밸런스 조정'!C119)^'몬스터 성장'!H6)</f>
        <v>349.305654701</v>
      </c>
      <c r="P297">
        <v>0</v>
      </c>
      <c r="Q297">
        <v>0</v>
      </c>
      <c r="R297">
        <v>62</v>
      </c>
      <c r="S297" t="inlineStr">
        <is>
          <t>OneTon</t>
        </is>
      </c>
      <c r="T297" t="inlineStr">
        <is>
          <t>Jam</t>
        </is>
      </c>
      <c r="U297">
        <v>994</v>
      </c>
      <c r="V297">
        <v>2</v>
      </c>
      <c r="W297">
        <v>894.3</v>
      </c>
      <c r="X297">
        <v>149</v>
      </c>
      <c r="Y297">
        <v>0</v>
      </c>
    </row>
    <row r="298">
      <c r="B298">
        <v>306</v>
      </c>
      <c r="C298" t="inlineStr">
        <is>
          <t>HighWay</t>
        </is>
      </c>
      <c r="D298" t="inlineStr">
        <is>
          <t>HWY3_172_Tanker</t>
        </is>
      </c>
      <c r="E298">
        <v>1</v>
      </c>
      <c r="F298" t="inlineStr">
        <is>
          <t>공격 반복</t>
        </is>
      </c>
      <c r="G298">
        <v>5</v>
      </c>
      <c r="H298">
        <v>0</v>
      </c>
      <c r="I298">
        <v>150</v>
      </c>
      <c r="J298">
        <v>0</v>
      </c>
      <c r="K298">
        <v>0</v>
      </c>
      <c r="L298" t="inlineStr">
        <is>
          <t>차량 적 · 원본 전투/성장/코인 시스템</t>
        </is>
      </c>
      <c r="M298" t="inlineStr">
        <is>
          <t>Normal</t>
        </is>
      </c>
      <c r="N298">
        <v>0</v>
      </c>
      <c r="O298">
        <f>'밸런스 조정'!C154*'밸런스 조정'!C292*'밸런스 조정'!C149*(1+('몬스터 성장'!G6/'몬스터 성장'!F6-1)*(U298/'밸런스 조정'!C119)^'몬스터 성장'!H6)</f>
        <v>544.930601236</v>
      </c>
      <c r="P298">
        <v>0</v>
      </c>
      <c r="Q298">
        <v>0</v>
      </c>
      <c r="R298">
        <v>124</v>
      </c>
      <c r="S298" t="inlineStr">
        <is>
          <t>Tanker</t>
        </is>
      </c>
      <c r="T298" t="inlineStr">
        <is>
          <t>Jam</t>
        </is>
      </c>
      <c r="U298">
        <v>1005.2</v>
      </c>
      <c r="V298">
        <v>0</v>
      </c>
      <c r="W298">
        <v>904</v>
      </c>
      <c r="X298">
        <v>150</v>
      </c>
      <c r="Y298">
        <v>0</v>
      </c>
    </row>
    <row r="299">
      <c r="B299">
        <v>307</v>
      </c>
      <c r="C299" t="inlineStr">
        <is>
          <t>HighWay</t>
        </is>
      </c>
      <c r="D299" t="inlineStr">
        <is>
          <t>HWY3_173_Taxi</t>
        </is>
      </c>
      <c r="E299">
        <v>1</v>
      </c>
      <c r="F299" t="inlineStr">
        <is>
          <t>공격 반복</t>
        </is>
      </c>
      <c r="G299">
        <v>5</v>
      </c>
      <c r="H299">
        <v>0</v>
      </c>
      <c r="I299">
        <v>150</v>
      </c>
      <c r="J299">
        <v>0</v>
      </c>
      <c r="K299">
        <v>0</v>
      </c>
      <c r="L299" t="inlineStr">
        <is>
          <t>차량 적 · 원본 전투/성장/코인 시스템</t>
        </is>
      </c>
      <c r="M299" t="inlineStr">
        <is>
          <t>Normal</t>
        </is>
      </c>
      <c r="N299">
        <v>0</v>
      </c>
      <c r="O299">
        <f>'밸런스 조정'!C154*'밸런스 조정'!C292*'밸런스 조정'!C146*(1+('몬스터 성장'!G6/'몬스터 성장'!F6-1)*(U299/'밸런스 조정'!C119)^'몬스터 성장'!H6)</f>
        <v>272.465300618</v>
      </c>
      <c r="P299">
        <v>0</v>
      </c>
      <c r="Q299">
        <v>0</v>
      </c>
      <c r="R299">
        <v>62</v>
      </c>
      <c r="S299" t="inlineStr">
        <is>
          <t>Taxi</t>
        </is>
      </c>
      <c r="T299" t="inlineStr">
        <is>
          <t>Jam</t>
        </is>
      </c>
      <c r="U299">
        <v>1005.2</v>
      </c>
      <c r="V299">
        <v>1</v>
      </c>
      <c r="W299">
        <v>904</v>
      </c>
      <c r="X299">
        <v>150</v>
      </c>
      <c r="Y299">
        <v>0</v>
      </c>
    </row>
    <row r="300">
      <c r="B300">
        <v>308</v>
      </c>
      <c r="C300" t="inlineStr">
        <is>
          <t>HighWay</t>
        </is>
      </c>
      <c r="D300" t="inlineStr">
        <is>
          <t>HWY3_174_Box</t>
        </is>
      </c>
      <c r="E300">
        <v>1</v>
      </c>
      <c r="F300" t="inlineStr">
        <is>
          <t>공격 반복</t>
        </is>
      </c>
      <c r="G300">
        <v>5</v>
      </c>
      <c r="H300">
        <v>0</v>
      </c>
      <c r="I300">
        <v>150</v>
      </c>
      <c r="J300">
        <v>0</v>
      </c>
      <c r="K300">
        <v>0</v>
      </c>
      <c r="L300" t="inlineStr">
        <is>
          <t>차량 적 · 원본 전투/성장/코인 시스템</t>
        </is>
      </c>
      <c r="M300" t="inlineStr">
        <is>
          <t>Normal</t>
        </is>
      </c>
      <c r="N300">
        <v>0</v>
      </c>
      <c r="O300">
        <f>'밸런스 조정'!C154*'밸런스 조정'!C292*'밸런스 조정'!C148*(1+('몬스터 성장'!G6/'몬스터 성장'!F6-1)*(U300/'밸런스 조정'!C119)^'몬스터 성장'!H6)</f>
        <v>435.944480989</v>
      </c>
      <c r="P300">
        <v>0</v>
      </c>
      <c r="Q300">
        <v>0</v>
      </c>
      <c r="R300">
        <v>62</v>
      </c>
      <c r="S300" t="inlineStr">
        <is>
          <t>Box</t>
        </is>
      </c>
      <c r="T300" t="inlineStr">
        <is>
          <t>Jam</t>
        </is>
      </c>
      <c r="U300">
        <v>1005.2</v>
      </c>
      <c r="V300">
        <v>2</v>
      </c>
      <c r="W300">
        <v>904</v>
      </c>
      <c r="X300">
        <v>150</v>
      </c>
      <c r="Y300">
        <v>0</v>
      </c>
    </row>
    <row r="301">
      <c r="B301">
        <v>309</v>
      </c>
      <c r="C301" t="inlineStr">
        <is>
          <t>HighWay</t>
        </is>
      </c>
      <c r="D301" t="inlineStr">
        <is>
          <t>HWY3_175_OneTon</t>
        </is>
      </c>
      <c r="E301">
        <v>1</v>
      </c>
      <c r="F301" t="inlineStr">
        <is>
          <t>공격 반복</t>
        </is>
      </c>
      <c r="G301">
        <v>3</v>
      </c>
      <c r="H301">
        <v>0</v>
      </c>
      <c r="I301">
        <v>150</v>
      </c>
      <c r="J301">
        <v>0</v>
      </c>
      <c r="K301">
        <v>0</v>
      </c>
      <c r="L301" t="inlineStr">
        <is>
          <t>차량 적 · 원본 전투/성장/코인 시스템</t>
        </is>
      </c>
      <c r="M301" t="inlineStr">
        <is>
          <t>Normal</t>
        </is>
      </c>
      <c r="N301">
        <v>0</v>
      </c>
      <c r="O301">
        <f>'밸런스 조정'!C154*'밸런스 조정'!C292*'밸런스 조정'!C147*(1+('몬스터 성장'!G6/'몬스터 성장'!F6-1)*(U301/'밸런스 조정'!C119)^'몬스터 성장'!H6)</f>
        <v>357.161924923</v>
      </c>
      <c r="P301">
        <v>0</v>
      </c>
      <c r="Q301">
        <v>0</v>
      </c>
      <c r="R301">
        <v>62</v>
      </c>
      <c r="S301" t="inlineStr">
        <is>
          <t>OneTon</t>
        </is>
      </c>
      <c r="T301" t="inlineStr">
        <is>
          <t>Jam</t>
        </is>
      </c>
      <c r="U301">
        <v>1011.9</v>
      </c>
      <c r="V301">
        <v>0</v>
      </c>
      <c r="W301">
        <v>913.7</v>
      </c>
      <c r="X301">
        <v>151</v>
      </c>
      <c r="Y301">
        <v>0</v>
      </c>
    </row>
    <row r="302">
      <c r="B302">
        <v>310</v>
      </c>
      <c r="C302" t="inlineStr">
        <is>
          <t>HighWay</t>
        </is>
      </c>
      <c r="D302" t="inlineStr">
        <is>
          <t>HWY3_176_Box</t>
        </is>
      </c>
      <c r="E302">
        <v>1</v>
      </c>
      <c r="F302" t="inlineStr">
        <is>
          <t>공격 반복</t>
        </is>
      </c>
      <c r="G302">
        <v>3</v>
      </c>
      <c r="H302">
        <v>0</v>
      </c>
      <c r="I302">
        <v>150</v>
      </c>
      <c r="J302">
        <v>0</v>
      </c>
      <c r="K302">
        <v>0</v>
      </c>
      <c r="L302" t="inlineStr">
        <is>
          <t>차량 적 · 원본 전투/성장/코인 시스템</t>
        </is>
      </c>
      <c r="M302" t="inlineStr">
        <is>
          <t>Normal</t>
        </is>
      </c>
      <c r="N302">
        <v>0</v>
      </c>
      <c r="O302">
        <f>'밸런스 조정'!C154*'밸런스 조정'!C292*'밸런스 조정'!C148*(1+('몬스터 성장'!G6/'몬스터 성장'!F6-1)*(U302/'밸런스 조정'!C119)^'몬스터 성장'!H6)</f>
        <v>439.583907598</v>
      </c>
      <c r="P302">
        <v>0</v>
      </c>
      <c r="Q302">
        <v>0</v>
      </c>
      <c r="R302">
        <v>62</v>
      </c>
      <c r="S302" t="inlineStr">
        <is>
          <t>Box</t>
        </is>
      </c>
      <c r="T302" t="inlineStr">
        <is>
          <t>Jam</t>
        </is>
      </c>
      <c r="U302">
        <v>1011.9</v>
      </c>
      <c r="V302">
        <v>1</v>
      </c>
      <c r="W302">
        <v>913.7</v>
      </c>
      <c r="X302">
        <v>151</v>
      </c>
      <c r="Y302">
        <v>0</v>
      </c>
    </row>
    <row r="303">
      <c r="B303">
        <v>311</v>
      </c>
      <c r="C303" t="inlineStr">
        <is>
          <t>HighWay</t>
        </is>
      </c>
      <c r="D303" t="inlineStr">
        <is>
          <t>HWY3_177_Sedan</t>
        </is>
      </c>
      <c r="E303">
        <v>1</v>
      </c>
      <c r="F303" t="inlineStr">
        <is>
          <t>공격 반복</t>
        </is>
      </c>
      <c r="G303">
        <v>3</v>
      </c>
      <c r="H303">
        <v>0</v>
      </c>
      <c r="I303">
        <v>150</v>
      </c>
      <c r="J303">
        <v>0</v>
      </c>
      <c r="K303">
        <v>0</v>
      </c>
      <c r="L303" t="inlineStr">
        <is>
          <t>차량 적 · 원본 전투/성장/코인 시스템</t>
        </is>
      </c>
      <c r="M303" t="inlineStr">
        <is>
          <t>Normal</t>
        </is>
      </c>
      <c r="N303">
        <v>0</v>
      </c>
      <c r="O303">
        <f>'밸런스 조정'!C154*'밸런스 조정'!C292*'밸런스 조정'!C145*(1+('몬스터 성장'!G6/'몬스터 성장'!F6-1)*(U303/'밸런스 조정'!C119)^'몬스터 성장'!H6)</f>
        <v>274.739942249</v>
      </c>
      <c r="P303">
        <v>0</v>
      </c>
      <c r="Q303">
        <v>0</v>
      </c>
      <c r="R303">
        <v>62</v>
      </c>
      <c r="S303" t="inlineStr">
        <is>
          <t>Sedan</t>
        </is>
      </c>
      <c r="T303" t="inlineStr">
        <is>
          <t>Jam</t>
        </is>
      </c>
      <c r="U303">
        <v>1011.9</v>
      </c>
      <c r="V303">
        <v>2</v>
      </c>
      <c r="W303">
        <v>913.7</v>
      </c>
      <c r="X303">
        <v>151</v>
      </c>
      <c r="Y303">
        <v>0</v>
      </c>
    </row>
    <row r="304">
      <c r="B304">
        <v>312</v>
      </c>
      <c r="C304" t="inlineStr">
        <is>
          <t>HighWay</t>
        </is>
      </c>
      <c r="D304" t="inlineStr">
        <is>
          <t>HWY3_178_Box</t>
        </is>
      </c>
      <c r="E304">
        <v>1</v>
      </c>
      <c r="F304" t="inlineStr">
        <is>
          <t>공격 반복</t>
        </is>
      </c>
      <c r="G304">
        <v>4</v>
      </c>
      <c r="H304">
        <v>0</v>
      </c>
      <c r="I304">
        <v>150</v>
      </c>
      <c r="J304">
        <v>0</v>
      </c>
      <c r="K304">
        <v>0</v>
      </c>
      <c r="L304" t="inlineStr">
        <is>
          <t>차량 적 · 원본 전투/성장/코인 시스템</t>
        </is>
      </c>
      <c r="M304" t="inlineStr">
        <is>
          <t>Normal</t>
        </is>
      </c>
      <c r="N304">
        <v>0</v>
      </c>
      <c r="O304">
        <f>'밸런스 조정'!C154*'밸런스 조정'!C292*'밸런스 조정'!C148*(1+('몬스터 성장'!G6/'몬스터 성장'!F6-1)*(U304/'밸런스 조정'!C119)^'몬스터 성장'!H6)</f>
        <v>445.721713778</v>
      </c>
      <c r="P304">
        <v>0</v>
      </c>
      <c r="Q304">
        <v>0</v>
      </c>
      <c r="R304">
        <v>62</v>
      </c>
      <c r="S304" t="inlineStr">
        <is>
          <t>Box</t>
        </is>
      </c>
      <c r="T304" t="inlineStr">
        <is>
          <t>Jam</t>
        </is>
      </c>
      <c r="U304">
        <v>1023.1</v>
      </c>
      <c r="V304">
        <v>0</v>
      </c>
      <c r="W304">
        <v>923.4</v>
      </c>
      <c r="X304">
        <v>152</v>
      </c>
      <c r="Y304">
        <v>0</v>
      </c>
    </row>
    <row r="305">
      <c r="B305">
        <v>313</v>
      </c>
      <c r="C305" t="inlineStr">
        <is>
          <t>HighWay</t>
        </is>
      </c>
      <c r="D305" t="inlineStr">
        <is>
          <t>HWY3_179_Tanker</t>
        </is>
      </c>
      <c r="E305">
        <v>1</v>
      </c>
      <c r="F305" t="inlineStr">
        <is>
          <t>공격 반복</t>
        </is>
      </c>
      <c r="G305">
        <v>4</v>
      </c>
      <c r="H305">
        <v>0</v>
      </c>
      <c r="I305">
        <v>150</v>
      </c>
      <c r="J305">
        <v>0</v>
      </c>
      <c r="K305">
        <v>0</v>
      </c>
      <c r="L305" t="inlineStr">
        <is>
          <t>차량 적 · 원본 전투/성장/코인 시스템</t>
        </is>
      </c>
      <c r="M305" t="inlineStr">
        <is>
          <t>Normal</t>
        </is>
      </c>
      <c r="N305">
        <v>0</v>
      </c>
      <c r="O305">
        <f>'밸런스 조정'!C154*'밸런스 조정'!C292*'밸런스 조정'!C149*(1+('몬스터 성장'!G6/'몬스터 성장'!F6-1)*(U305/'밸런스 조정'!C119)^'몬스터 성장'!H6)</f>
        <v>557.152142222</v>
      </c>
      <c r="P305">
        <v>0</v>
      </c>
      <c r="Q305">
        <v>0</v>
      </c>
      <c r="R305">
        <v>124</v>
      </c>
      <c r="S305" t="inlineStr">
        <is>
          <t>Tanker</t>
        </is>
      </c>
      <c r="T305" t="inlineStr">
        <is>
          <t>Jam</t>
        </is>
      </c>
      <c r="U305">
        <v>1023.1</v>
      </c>
      <c r="V305">
        <v>1</v>
      </c>
      <c r="W305">
        <v>923.4</v>
      </c>
      <c r="X305">
        <v>152</v>
      </c>
      <c r="Y305">
        <v>0</v>
      </c>
    </row>
    <row r="306">
      <c r="B306">
        <v>314</v>
      </c>
      <c r="C306" t="inlineStr">
        <is>
          <t>HighWay</t>
        </is>
      </c>
      <c r="D306" t="inlineStr">
        <is>
          <t>HWY3_180_Taxi</t>
        </is>
      </c>
      <c r="E306">
        <v>1</v>
      </c>
      <c r="F306" t="inlineStr">
        <is>
          <t>공격 반복</t>
        </is>
      </c>
      <c r="G306">
        <v>4</v>
      </c>
      <c r="H306">
        <v>0</v>
      </c>
      <c r="I306">
        <v>150</v>
      </c>
      <c r="J306">
        <v>0</v>
      </c>
      <c r="K306">
        <v>0</v>
      </c>
      <c r="L306" t="inlineStr">
        <is>
          <t>차량 적 · 원본 전투/성장/코인 시스템</t>
        </is>
      </c>
      <c r="M306" t="inlineStr">
        <is>
          <t>Normal</t>
        </is>
      </c>
      <c r="N306">
        <v>0</v>
      </c>
      <c r="O306">
        <f>'밸런스 조정'!C154*'밸런스 조정'!C292*'밸런스 조정'!C146*(1+('몬스터 성장'!G6/'몬스터 성장'!F6-1)*(U306/'밸런스 조정'!C119)^'몬스터 성장'!H6)</f>
        <v>278.576071111</v>
      </c>
      <c r="P306">
        <v>0</v>
      </c>
      <c r="Q306">
        <v>0</v>
      </c>
      <c r="R306">
        <v>62</v>
      </c>
      <c r="S306" t="inlineStr">
        <is>
          <t>Taxi</t>
        </is>
      </c>
      <c r="T306" t="inlineStr">
        <is>
          <t>Jam</t>
        </is>
      </c>
      <c r="U306">
        <v>1023.1</v>
      </c>
      <c r="V306">
        <v>2</v>
      </c>
      <c r="W306">
        <v>923.4</v>
      </c>
      <c r="X306">
        <v>152</v>
      </c>
      <c r="Y306">
        <v>0</v>
      </c>
    </row>
    <row r="307">
      <c r="B307">
        <v>315</v>
      </c>
      <c r="C307" t="inlineStr">
        <is>
          <t>HighWay</t>
        </is>
      </c>
      <c r="D307" t="inlineStr">
        <is>
          <t>HWY3_181_Tanker</t>
        </is>
      </c>
      <c r="E307">
        <v>1</v>
      </c>
      <c r="F307" t="inlineStr">
        <is>
          <t>공격 반복</t>
        </is>
      </c>
      <c r="G307">
        <v>5</v>
      </c>
      <c r="H307">
        <v>0</v>
      </c>
      <c r="I307">
        <v>150</v>
      </c>
      <c r="J307">
        <v>0</v>
      </c>
      <c r="K307">
        <v>0</v>
      </c>
      <c r="L307" t="inlineStr">
        <is>
          <t>차량 적 · 원본 전투/성장/코인 시스템</t>
        </is>
      </c>
      <c r="M307" t="inlineStr">
        <is>
          <t>Normal</t>
        </is>
      </c>
      <c r="N307">
        <v>0</v>
      </c>
      <c r="O307">
        <f>'밸런스 조정'!C154*'밸런스 조정'!C292*'밸런스 조정'!C149*(1+('몬스터 성장'!G6/'몬스터 성장'!F6-1)*(U307/'밸런스 조정'!C119)^'몬스터 성장'!H6)</f>
        <v>564.908851335</v>
      </c>
      <c r="P307">
        <v>0</v>
      </c>
      <c r="Q307">
        <v>0</v>
      </c>
      <c r="R307">
        <v>124</v>
      </c>
      <c r="S307" t="inlineStr">
        <is>
          <t>Tanker</t>
        </is>
      </c>
      <c r="T307" t="inlineStr">
        <is>
          <t>Jam</t>
        </is>
      </c>
      <c r="U307">
        <v>1034.3</v>
      </c>
      <c r="V307">
        <v>0</v>
      </c>
      <c r="W307">
        <v>933.1</v>
      </c>
      <c r="X307">
        <v>153</v>
      </c>
      <c r="Y307">
        <v>0</v>
      </c>
    </row>
    <row r="308">
      <c r="B308">
        <v>316</v>
      </c>
      <c r="C308" t="inlineStr">
        <is>
          <t>HighWay</t>
        </is>
      </c>
      <c r="D308" t="inlineStr">
        <is>
          <t>HWY3_182_OneTon</t>
        </is>
      </c>
      <c r="E308">
        <v>1</v>
      </c>
      <c r="F308" t="inlineStr">
        <is>
          <t>공격 반복</t>
        </is>
      </c>
      <c r="G308">
        <v>5</v>
      </c>
      <c r="H308">
        <v>0</v>
      </c>
      <c r="I308">
        <v>150</v>
      </c>
      <c r="J308">
        <v>0</v>
      </c>
      <c r="K308">
        <v>0</v>
      </c>
      <c r="L308" t="inlineStr">
        <is>
          <t>차량 적 · 원본 전투/성장/코인 시스템</t>
        </is>
      </c>
      <c r="M308" t="inlineStr">
        <is>
          <t>Normal</t>
        </is>
      </c>
      <c r="N308">
        <v>0</v>
      </c>
      <c r="O308">
        <f>'밸런스 조정'!C154*'밸런스 조정'!C292*'밸런스 조정'!C147*(1+('몬스터 성장'!G6/'몬스터 성장'!F6-1)*(U308/'밸런스 조정'!C119)^'몬스터 성장'!H6)</f>
        <v>367.190753368</v>
      </c>
      <c r="P308">
        <v>0</v>
      </c>
      <c r="Q308">
        <v>0</v>
      </c>
      <c r="R308">
        <v>62</v>
      </c>
      <c r="S308" t="inlineStr">
        <is>
          <t>OneTon</t>
        </is>
      </c>
      <c r="T308" t="inlineStr">
        <is>
          <t>Jam</t>
        </is>
      </c>
      <c r="U308">
        <v>1034.3</v>
      </c>
      <c r="V308">
        <v>1</v>
      </c>
      <c r="W308">
        <v>933.1</v>
      </c>
      <c r="X308">
        <v>153</v>
      </c>
      <c r="Y308">
        <v>0</v>
      </c>
    </row>
    <row r="309">
      <c r="B309">
        <v>317</v>
      </c>
      <c r="C309" t="inlineStr">
        <is>
          <t>HighWay</t>
        </is>
      </c>
      <c r="D309" t="inlineStr">
        <is>
          <t>HWY3_183_Sedan</t>
        </is>
      </c>
      <c r="E309">
        <v>1</v>
      </c>
      <c r="F309" t="inlineStr">
        <is>
          <t>공격 반복</t>
        </is>
      </c>
      <c r="G309">
        <v>5</v>
      </c>
      <c r="H309">
        <v>0</v>
      </c>
      <c r="I309">
        <v>150</v>
      </c>
      <c r="J309">
        <v>0</v>
      </c>
      <c r="K309">
        <v>0</v>
      </c>
      <c r="L309" t="inlineStr">
        <is>
          <t>차량 적 · 원본 전투/성장/코인 시스템</t>
        </is>
      </c>
      <c r="M309" t="inlineStr">
        <is>
          <t>Normal</t>
        </is>
      </c>
      <c r="N309">
        <v>0</v>
      </c>
      <c r="O309">
        <f>'밸런스 조정'!C154*'밸런스 조정'!C292*'밸런스 조정'!C145*(1+('몬스터 성장'!G6/'몬스터 성장'!F6-1)*(U309/'밸런스 조정'!C119)^'몬스터 성장'!H6)</f>
        <v>282.454425667</v>
      </c>
      <c r="P309">
        <v>0</v>
      </c>
      <c r="Q309">
        <v>0</v>
      </c>
      <c r="R309">
        <v>62</v>
      </c>
      <c r="S309" t="inlineStr">
        <is>
          <t>Sedan</t>
        </is>
      </c>
      <c r="T309" t="inlineStr">
        <is>
          <t>Jam</t>
        </is>
      </c>
      <c r="U309">
        <v>1034.3</v>
      </c>
      <c r="V309">
        <v>2</v>
      </c>
      <c r="W309">
        <v>933.1</v>
      </c>
      <c r="X309">
        <v>153</v>
      </c>
      <c r="Y309">
        <v>0</v>
      </c>
    </row>
    <row r="310">
      <c r="B310">
        <v>318</v>
      </c>
      <c r="C310" t="inlineStr">
        <is>
          <t>HighWay</t>
        </is>
      </c>
      <c r="D310" t="inlineStr">
        <is>
          <t>HWY3_184_Taxi</t>
        </is>
      </c>
      <c r="E310">
        <v>1</v>
      </c>
      <c r="F310" t="inlineStr">
        <is>
          <t>공격 반복</t>
        </is>
      </c>
      <c r="G310">
        <v>3</v>
      </c>
      <c r="H310">
        <v>0</v>
      </c>
      <c r="I310">
        <v>150</v>
      </c>
      <c r="J310">
        <v>0</v>
      </c>
      <c r="K310">
        <v>0</v>
      </c>
      <c r="L310" t="inlineStr">
        <is>
          <t>차량 적 · 원본 전투/성장/코인 시스템</t>
        </is>
      </c>
      <c r="M310" t="inlineStr">
        <is>
          <t>Normal</t>
        </is>
      </c>
      <c r="N310">
        <v>0</v>
      </c>
      <c r="O310">
        <f>'밸런스 조정'!C154*'밸런스 조정'!C292*'밸런스 조정'!C146*(1+('몬스터 성장'!G6/'몬스터 성장'!F6-1)*(U310/'밸런스 조정'!C119)^'몬스터 성장'!H6)</f>
        <v>284.794698225</v>
      </c>
      <c r="P310">
        <v>0</v>
      </c>
      <c r="Q310">
        <v>0</v>
      </c>
      <c r="R310">
        <v>62</v>
      </c>
      <c r="S310" t="inlineStr">
        <is>
          <t>Taxi</t>
        </is>
      </c>
      <c r="T310" t="inlineStr">
        <is>
          <t>Jam</t>
        </is>
      </c>
      <c r="U310">
        <v>1041</v>
      </c>
      <c r="V310">
        <v>0</v>
      </c>
      <c r="W310">
        <v>942.8</v>
      </c>
      <c r="X310">
        <v>154</v>
      </c>
      <c r="Y310">
        <v>0</v>
      </c>
    </row>
    <row r="311">
      <c r="B311">
        <v>319</v>
      </c>
      <c r="C311" t="inlineStr">
        <is>
          <t>HighWay</t>
        </is>
      </c>
      <c r="D311" t="inlineStr">
        <is>
          <t>HWY3_185_Box</t>
        </is>
      </c>
      <c r="E311">
        <v>1</v>
      </c>
      <c r="F311" t="inlineStr">
        <is>
          <t>공격 반복</t>
        </is>
      </c>
      <c r="G311">
        <v>3</v>
      </c>
      <c r="H311">
        <v>0</v>
      </c>
      <c r="I311">
        <v>150</v>
      </c>
      <c r="J311">
        <v>0</v>
      </c>
      <c r="K311">
        <v>0</v>
      </c>
      <c r="L311" t="inlineStr">
        <is>
          <t>차량 적 · 원본 전투/성장/코인 시스템</t>
        </is>
      </c>
      <c r="M311" t="inlineStr">
        <is>
          <t>Normal</t>
        </is>
      </c>
      <c r="N311">
        <v>0</v>
      </c>
      <c r="O311">
        <f>'밸런스 조정'!C154*'밸런스 조정'!C292*'밸런스 조정'!C148*(1+('몬스터 성장'!G6/'몬스터 성장'!F6-1)*(U311/'밸런스 조정'!C119)^'몬스터 성장'!H6)</f>
        <v>455.67151716</v>
      </c>
      <c r="P311">
        <v>0</v>
      </c>
      <c r="Q311">
        <v>0</v>
      </c>
      <c r="R311">
        <v>62</v>
      </c>
      <c r="S311" t="inlineStr">
        <is>
          <t>Box</t>
        </is>
      </c>
      <c r="T311" t="inlineStr">
        <is>
          <t>Jam</t>
        </is>
      </c>
      <c r="U311">
        <v>1041</v>
      </c>
      <c r="V311">
        <v>1</v>
      </c>
      <c r="W311">
        <v>942.8</v>
      </c>
      <c r="X311">
        <v>154</v>
      </c>
      <c r="Y311">
        <v>0</v>
      </c>
    </row>
    <row r="312">
      <c r="B312">
        <v>320</v>
      </c>
      <c r="C312" t="inlineStr">
        <is>
          <t>HighWay</t>
        </is>
      </c>
      <c r="D312" t="inlineStr">
        <is>
          <t>HWY3_186_Tanker</t>
        </is>
      </c>
      <c r="E312">
        <v>1</v>
      </c>
      <c r="F312" t="inlineStr">
        <is>
          <t>공격 반복</t>
        </is>
      </c>
      <c r="G312">
        <v>3</v>
      </c>
      <c r="H312">
        <v>0</v>
      </c>
      <c r="I312">
        <v>150</v>
      </c>
      <c r="J312">
        <v>0</v>
      </c>
      <c r="K312">
        <v>0</v>
      </c>
      <c r="L312" t="inlineStr">
        <is>
          <t>차량 적 · 원본 전투/성장/코인 시스템</t>
        </is>
      </c>
      <c r="M312" t="inlineStr">
        <is>
          <t>Normal</t>
        </is>
      </c>
      <c r="N312">
        <v>0</v>
      </c>
      <c r="O312">
        <f>'밸런스 조정'!C154*'밸런스 조정'!C292*'밸런스 조정'!C149*(1+('몬스터 성장'!G6/'몬스터 성장'!F6-1)*(U312/'밸런스 조정'!C119)^'몬스터 성장'!H6)</f>
        <v>569.58939645</v>
      </c>
      <c r="P312">
        <v>0</v>
      </c>
      <c r="Q312">
        <v>0</v>
      </c>
      <c r="R312">
        <v>124</v>
      </c>
      <c r="S312" t="inlineStr">
        <is>
          <t>Tanker</t>
        </is>
      </c>
      <c r="T312" t="inlineStr">
        <is>
          <t>Jam</t>
        </is>
      </c>
      <c r="U312">
        <v>1041</v>
      </c>
      <c r="V312">
        <v>2</v>
      </c>
      <c r="W312">
        <v>942.8</v>
      </c>
      <c r="X312">
        <v>154</v>
      </c>
      <c r="Y312">
        <v>0</v>
      </c>
    </row>
    <row r="313">
      <c r="B313">
        <v>321</v>
      </c>
      <c r="C313" t="inlineStr">
        <is>
          <t>HighWay</t>
        </is>
      </c>
      <c r="D313" t="inlineStr">
        <is>
          <t>HWY3_187_Sedan</t>
        </is>
      </c>
      <c r="E313">
        <v>1</v>
      </c>
      <c r="F313" t="inlineStr">
        <is>
          <t>공격 반복</t>
        </is>
      </c>
      <c r="G313">
        <v>4</v>
      </c>
      <c r="H313">
        <v>0</v>
      </c>
      <c r="I313">
        <v>150</v>
      </c>
      <c r="J313">
        <v>0</v>
      </c>
      <c r="K313">
        <v>0</v>
      </c>
      <c r="L313" t="inlineStr">
        <is>
          <t>차량 적 · 원본 전투/성장/코인 시스템</t>
        </is>
      </c>
      <c r="M313" t="inlineStr">
        <is>
          <t>Normal</t>
        </is>
      </c>
      <c r="N313">
        <v>0</v>
      </c>
      <c r="O313">
        <f>'밸런스 조정'!C154*'밸런스 조정'!C292*'밸런스 조정'!C145*(1+('몬스터 성장'!G6/'몬스터 성장'!F6-1)*(U313/'밸런스 조정'!C119)^'몬스터 성장'!H6)</f>
        <v>288.740538488</v>
      </c>
      <c r="P313">
        <v>0</v>
      </c>
      <c r="Q313">
        <v>0</v>
      </c>
      <c r="R313">
        <v>62</v>
      </c>
      <c r="S313" t="inlineStr">
        <is>
          <t>Sedan</t>
        </is>
      </c>
      <c r="T313" t="inlineStr">
        <is>
          <t>Jam</t>
        </is>
      </c>
      <c r="U313">
        <v>1052.2</v>
      </c>
      <c r="V313">
        <v>0</v>
      </c>
      <c r="W313">
        <v>952.5</v>
      </c>
      <c r="X313">
        <v>155</v>
      </c>
      <c r="Y313">
        <v>0</v>
      </c>
    </row>
    <row r="314">
      <c r="B314">
        <v>322</v>
      </c>
      <c r="C314" t="inlineStr">
        <is>
          <t>HighWay</t>
        </is>
      </c>
      <c r="D314" t="inlineStr">
        <is>
          <t>HWY3_188_Tanker</t>
        </is>
      </c>
      <c r="E314">
        <v>1</v>
      </c>
      <c r="F314" t="inlineStr">
        <is>
          <t>공격 반복</t>
        </is>
      </c>
      <c r="G314">
        <v>4</v>
      </c>
      <c r="H314">
        <v>0</v>
      </c>
      <c r="I314">
        <v>150</v>
      </c>
      <c r="J314">
        <v>0</v>
      </c>
      <c r="K314">
        <v>0</v>
      </c>
      <c r="L314" t="inlineStr">
        <is>
          <t>차량 적 · 원본 전투/성장/코인 시스템</t>
        </is>
      </c>
      <c r="M314" t="inlineStr">
        <is>
          <t>Normal</t>
        </is>
      </c>
      <c r="N314">
        <v>0</v>
      </c>
      <c r="O314">
        <f>'밸런스 조정'!C154*'밸런스 조정'!C292*'밸런스 조정'!C149*(1+('몬스터 성장'!G6/'몬스터 성장'!F6-1)*(U314/'밸런스 조정'!C119)^'몬스터 성장'!H6)</f>
        <v>577.481076976</v>
      </c>
      <c r="P314">
        <v>0</v>
      </c>
      <c r="Q314">
        <v>0</v>
      </c>
      <c r="R314">
        <v>124</v>
      </c>
      <c r="S314" t="inlineStr">
        <is>
          <t>Tanker</t>
        </is>
      </c>
      <c r="T314" t="inlineStr">
        <is>
          <t>Jam</t>
        </is>
      </c>
      <c r="U314">
        <v>1052.2</v>
      </c>
      <c r="V314">
        <v>1</v>
      </c>
      <c r="W314">
        <v>952.5</v>
      </c>
      <c r="X314">
        <v>155</v>
      </c>
      <c r="Y314">
        <v>0</v>
      </c>
    </row>
    <row r="315">
      <c r="B315">
        <v>323</v>
      </c>
      <c r="C315" t="inlineStr">
        <is>
          <t>HighWay</t>
        </is>
      </c>
      <c r="D315" t="inlineStr">
        <is>
          <t>HWY3_189_OneTon</t>
        </is>
      </c>
      <c r="E315">
        <v>1</v>
      </c>
      <c r="F315" t="inlineStr">
        <is>
          <t>공격 반복</t>
        </is>
      </c>
      <c r="G315">
        <v>4</v>
      </c>
      <c r="H315">
        <v>0</v>
      </c>
      <c r="I315">
        <v>150</v>
      </c>
      <c r="J315">
        <v>0</v>
      </c>
      <c r="K315">
        <v>0</v>
      </c>
      <c r="L315" t="inlineStr">
        <is>
          <t>차량 적 · 원본 전투/성장/코인 시스템</t>
        </is>
      </c>
      <c r="M315" t="inlineStr">
        <is>
          <t>Normal</t>
        </is>
      </c>
      <c r="N315">
        <v>0</v>
      </c>
      <c r="O315">
        <f>'밸런스 조정'!C154*'밸런스 조정'!C292*'밸런스 조정'!C147*(1+('몬스터 성장'!G6/'몬스터 성장'!F6-1)*(U315/'밸런스 조정'!C119)^'몬스터 성장'!H6)</f>
        <v>375.362700034</v>
      </c>
      <c r="P315">
        <v>0</v>
      </c>
      <c r="Q315">
        <v>0</v>
      </c>
      <c r="R315">
        <v>62</v>
      </c>
      <c r="S315" t="inlineStr">
        <is>
          <t>OneTon</t>
        </is>
      </c>
      <c r="T315" t="inlineStr">
        <is>
          <t>Jam</t>
        </is>
      </c>
      <c r="U315">
        <v>1052.2</v>
      </c>
      <c r="V315">
        <v>2</v>
      </c>
      <c r="W315">
        <v>952.5</v>
      </c>
      <c r="X315">
        <v>155</v>
      </c>
      <c r="Y315">
        <v>0</v>
      </c>
    </row>
    <row r="316">
      <c r="B316">
        <v>324</v>
      </c>
      <c r="C316" t="inlineStr">
        <is>
          <t>HighWay</t>
        </is>
      </c>
      <c r="D316" t="inlineStr">
        <is>
          <t>HWY3_190_Taxi</t>
        </is>
      </c>
      <c r="E316">
        <v>1</v>
      </c>
      <c r="F316" t="inlineStr">
        <is>
          <t>공격 반복</t>
        </is>
      </c>
      <c r="G316">
        <v>5</v>
      </c>
      <c r="H316">
        <v>0</v>
      </c>
      <c r="I316">
        <v>150</v>
      </c>
      <c r="J316">
        <v>0</v>
      </c>
      <c r="K316">
        <v>0</v>
      </c>
      <c r="L316" t="inlineStr">
        <is>
          <t>차량 적 · 원본 전투/성장/코인 시스템</t>
        </is>
      </c>
      <c r="M316" t="inlineStr">
        <is>
          <t>Normal</t>
        </is>
      </c>
      <c r="N316">
        <v>0</v>
      </c>
      <c r="O316">
        <f>'밸런스 조정'!C154*'밸런스 조정'!C292*'밸런스 조정'!C146*(1+('몬스터 성장'!G6/'몬스터 성장'!F6-1)*(U316/'밸런스 조정'!C119)^'몬스터 성장'!H6)</f>
        <v>292.728604444</v>
      </c>
      <c r="P316">
        <v>0</v>
      </c>
      <c r="Q316">
        <v>0</v>
      </c>
      <c r="R316">
        <v>62</v>
      </c>
      <c r="S316" t="inlineStr">
        <is>
          <t>Taxi</t>
        </is>
      </c>
      <c r="T316" t="inlineStr">
        <is>
          <t>Jam</t>
        </is>
      </c>
      <c r="U316">
        <v>1063.4</v>
      </c>
      <c r="V316">
        <v>0</v>
      </c>
      <c r="W316">
        <v>962.2</v>
      </c>
      <c r="X316">
        <v>156</v>
      </c>
      <c r="Y316">
        <v>0</v>
      </c>
    </row>
    <row r="317">
      <c r="B317">
        <v>325</v>
      </c>
      <c r="C317" t="inlineStr">
        <is>
          <t>HighWay</t>
        </is>
      </c>
      <c r="D317" t="inlineStr">
        <is>
          <t>HWY3_191_OneTon</t>
        </is>
      </c>
      <c r="E317">
        <v>1</v>
      </c>
      <c r="F317" t="inlineStr">
        <is>
          <t>공격 반복</t>
        </is>
      </c>
      <c r="G317">
        <v>5</v>
      </c>
      <c r="H317">
        <v>0</v>
      </c>
      <c r="I317">
        <v>150</v>
      </c>
      <c r="J317">
        <v>0</v>
      </c>
      <c r="K317">
        <v>0</v>
      </c>
      <c r="L317" t="inlineStr">
        <is>
          <t>차량 적 · 원본 전투/성장/코인 시스템</t>
        </is>
      </c>
      <c r="M317" t="inlineStr">
        <is>
          <t>Normal</t>
        </is>
      </c>
      <c r="N317">
        <v>0</v>
      </c>
      <c r="O317">
        <f>'밸런스 조정'!C154*'밸런스 조정'!C292*'밸런스 조정'!C147*(1+('몬스터 성장'!G6/'몬스터 성장'!F6-1)*(U317/'밸런스 조정'!C119)^'몬스터 성장'!H6)</f>
        <v>380.547185778</v>
      </c>
      <c r="P317">
        <v>0</v>
      </c>
      <c r="Q317">
        <v>0</v>
      </c>
      <c r="R317">
        <v>62</v>
      </c>
      <c r="S317" t="inlineStr">
        <is>
          <t>OneTon</t>
        </is>
      </c>
      <c r="T317" t="inlineStr">
        <is>
          <t>Jam</t>
        </is>
      </c>
      <c r="U317">
        <v>1063.4</v>
      </c>
      <c r="V317">
        <v>1</v>
      </c>
      <c r="W317">
        <v>962.2</v>
      </c>
      <c r="X317">
        <v>156</v>
      </c>
      <c r="Y317">
        <v>0</v>
      </c>
    </row>
    <row r="318">
      <c r="B318">
        <v>326</v>
      </c>
      <c r="C318" t="inlineStr">
        <is>
          <t>HighWay</t>
        </is>
      </c>
      <c r="D318" t="inlineStr">
        <is>
          <t>HWY3_192_Box</t>
        </is>
      </c>
      <c r="E318">
        <v>1</v>
      </c>
      <c r="F318" t="inlineStr">
        <is>
          <t>공격 반복</t>
        </is>
      </c>
      <c r="G318">
        <v>5</v>
      </c>
      <c r="H318">
        <v>0</v>
      </c>
      <c r="I318">
        <v>150</v>
      </c>
      <c r="J318">
        <v>0</v>
      </c>
      <c r="K318">
        <v>0</v>
      </c>
      <c r="L318" t="inlineStr">
        <is>
          <t>차량 적 · 원본 전투/성장/코인 시스템</t>
        </is>
      </c>
      <c r="M318" t="inlineStr">
        <is>
          <t>Normal</t>
        </is>
      </c>
      <c r="N318">
        <v>0</v>
      </c>
      <c r="O318">
        <f>'밸런스 조정'!C154*'밸런스 조정'!C292*'밸런스 조정'!C148*(1+('몬스터 성장'!G6/'몬스터 성장'!F6-1)*(U318/'밸런스 조정'!C119)^'몬스터 성장'!H6)</f>
        <v>468.365767111</v>
      </c>
      <c r="P318">
        <v>0</v>
      </c>
      <c r="Q318">
        <v>0</v>
      </c>
      <c r="R318">
        <v>62</v>
      </c>
      <c r="S318" t="inlineStr">
        <is>
          <t>Box</t>
        </is>
      </c>
      <c r="T318" t="inlineStr">
        <is>
          <t>Jam</t>
        </is>
      </c>
      <c r="U318">
        <v>1063.4</v>
      </c>
      <c r="V318">
        <v>2</v>
      </c>
      <c r="W318">
        <v>962.2</v>
      </c>
      <c r="X318">
        <v>156</v>
      </c>
      <c r="Y318">
        <v>0</v>
      </c>
    </row>
    <row r="319">
      <c r="B319">
        <v>327</v>
      </c>
      <c r="C319" t="inlineStr">
        <is>
          <t>HighWay</t>
        </is>
      </c>
      <c r="D319" t="inlineStr">
        <is>
          <t>HWY3_193_OneTon</t>
        </is>
      </c>
      <c r="E319">
        <v>1</v>
      </c>
      <c r="F319" t="inlineStr">
        <is>
          <t>공격 반복</t>
        </is>
      </c>
      <c r="G319">
        <v>3</v>
      </c>
      <c r="H319">
        <v>0</v>
      </c>
      <c r="I319">
        <v>150</v>
      </c>
      <c r="J319">
        <v>0</v>
      </c>
      <c r="K319">
        <v>0</v>
      </c>
      <c r="L319" t="inlineStr">
        <is>
          <t>차량 적 · 원본 전투/성장/코인 시스템</t>
        </is>
      </c>
      <c r="M319" t="inlineStr">
        <is>
          <t>Normal</t>
        </is>
      </c>
      <c r="N319">
        <v>0</v>
      </c>
      <c r="O319">
        <f>'밸런스 조정'!C154*'밸런스 조정'!C292*'밸런스 조정'!C147*(1+('몬스터 성장'!G6/'몬스터 성장'!F6-1)*(U319/'밸런스 조정'!C119)^'몬스터 성장'!H6)</f>
        <v>383.674860308</v>
      </c>
      <c r="P319">
        <v>0</v>
      </c>
      <c r="Q319">
        <v>0</v>
      </c>
      <c r="R319">
        <v>62</v>
      </c>
      <c r="S319" t="inlineStr">
        <is>
          <t>OneTon</t>
        </is>
      </c>
      <c r="T319" t="inlineStr">
        <is>
          <t>Jam</t>
        </is>
      </c>
      <c r="U319">
        <v>1070.1</v>
      </c>
      <c r="V319">
        <v>0</v>
      </c>
      <c r="W319">
        <v>971.9</v>
      </c>
      <c r="X319">
        <v>157</v>
      </c>
      <c r="Y319">
        <v>0</v>
      </c>
    </row>
    <row r="320">
      <c r="B320">
        <v>328</v>
      </c>
      <c r="C320" t="inlineStr">
        <is>
          <t>HighWay</t>
        </is>
      </c>
      <c r="D320" t="inlineStr">
        <is>
          <t>HWY3_194_Sedan</t>
        </is>
      </c>
      <c r="E320">
        <v>1</v>
      </c>
      <c r="F320" t="inlineStr">
        <is>
          <t>공격 반복</t>
        </is>
      </c>
      <c r="G320">
        <v>3</v>
      </c>
      <c r="H320">
        <v>0</v>
      </c>
      <c r="I320">
        <v>150</v>
      </c>
      <c r="J320">
        <v>0</v>
      </c>
      <c r="K320">
        <v>0</v>
      </c>
      <c r="L320" t="inlineStr">
        <is>
          <t>차량 적 · 원본 전투/성장/코인 시스템</t>
        </is>
      </c>
      <c r="M320" t="inlineStr">
        <is>
          <t>Normal</t>
        </is>
      </c>
      <c r="N320">
        <v>0</v>
      </c>
      <c r="O320">
        <f>'밸런스 조정'!C154*'밸런스 조정'!C292*'밸런스 조정'!C145*(1+('몬스터 성장'!G6/'몬스터 성장'!F6-1)*(U320/'밸런스 조정'!C119)^'몬스터 성장'!H6)</f>
        <v>295.134507929</v>
      </c>
      <c r="P320">
        <v>0</v>
      </c>
      <c r="Q320">
        <v>0</v>
      </c>
      <c r="R320">
        <v>62</v>
      </c>
      <c r="S320" t="inlineStr">
        <is>
          <t>Sedan</t>
        </is>
      </c>
      <c r="T320" t="inlineStr">
        <is>
          <t>Jam</t>
        </is>
      </c>
      <c r="U320">
        <v>1070.1</v>
      </c>
      <c r="V320">
        <v>1</v>
      </c>
      <c r="W320">
        <v>971.9</v>
      </c>
      <c r="X320">
        <v>157</v>
      </c>
      <c r="Y320">
        <v>0</v>
      </c>
    </row>
    <row r="321">
      <c r="B321">
        <v>329</v>
      </c>
      <c r="C321" t="inlineStr">
        <is>
          <t>HighWay</t>
        </is>
      </c>
      <c r="D321" t="inlineStr">
        <is>
          <t>HWY3_195_Tanker</t>
        </is>
      </c>
      <c r="E321">
        <v>1</v>
      </c>
      <c r="F321" t="inlineStr">
        <is>
          <t>공격 반복</t>
        </is>
      </c>
      <c r="G321">
        <v>3</v>
      </c>
      <c r="H321">
        <v>0</v>
      </c>
      <c r="I321">
        <v>150</v>
      </c>
      <c r="J321">
        <v>0</v>
      </c>
      <c r="K321">
        <v>0</v>
      </c>
      <c r="L321" t="inlineStr">
        <is>
          <t>차량 적 · 원본 전투/성장/코인 시스템</t>
        </is>
      </c>
      <c r="M321" t="inlineStr">
        <is>
          <t>Normal</t>
        </is>
      </c>
      <c r="N321">
        <v>0</v>
      </c>
      <c r="O321">
        <f>'밸런스 조정'!C154*'밸런스 조정'!C292*'밸런스 조정'!C149*(1+('몬스터 성장'!G6/'몬스터 성장'!F6-1)*(U321/'밸런스 조정'!C119)^'몬스터 성장'!H6)</f>
        <v>590.269015858</v>
      </c>
      <c r="P321">
        <v>0</v>
      </c>
      <c r="Q321">
        <v>0</v>
      </c>
      <c r="R321">
        <v>124</v>
      </c>
      <c r="S321" t="inlineStr">
        <is>
          <t>Tanker</t>
        </is>
      </c>
      <c r="T321" t="inlineStr">
        <is>
          <t>Jam</t>
        </is>
      </c>
      <c r="U321">
        <v>1070.1</v>
      </c>
      <c r="V321">
        <v>2</v>
      </c>
      <c r="W321">
        <v>971.9</v>
      </c>
      <c r="X321">
        <v>157</v>
      </c>
      <c r="Y321">
        <v>0</v>
      </c>
    </row>
    <row r="322">
      <c r="B322">
        <v>330</v>
      </c>
      <c r="C322" t="inlineStr">
        <is>
          <t>HighWay</t>
        </is>
      </c>
      <c r="D322" t="inlineStr">
        <is>
          <t>HWY3_196_Box</t>
        </is>
      </c>
      <c r="E322">
        <v>1</v>
      </c>
      <c r="F322" t="inlineStr">
        <is>
          <t>공격 반복</t>
        </is>
      </c>
      <c r="G322">
        <v>4</v>
      </c>
      <c r="H322">
        <v>0</v>
      </c>
      <c r="I322">
        <v>150</v>
      </c>
      <c r="J322">
        <v>0</v>
      </c>
      <c r="K322">
        <v>0</v>
      </c>
      <c r="L322" t="inlineStr">
        <is>
          <t>차량 적 · 원본 전투/성장/코인 시스템</t>
        </is>
      </c>
      <c r="M322" t="inlineStr">
        <is>
          <t>Normal</t>
        </is>
      </c>
      <c r="N322">
        <v>0</v>
      </c>
      <c r="O322">
        <f>'밸런스 조정'!C154*'밸런스 조정'!C292*'밸런스 조정'!C148*(1+('몬스터 성장'!G6/'몬스터 성장'!F6-1)*(U322/'밸런스 조정'!C119)^'몬스터 성장'!H6)</f>
        <v>478.704095348</v>
      </c>
      <c r="P322">
        <v>0</v>
      </c>
      <c r="Q322">
        <v>0</v>
      </c>
      <c r="R322">
        <v>62</v>
      </c>
      <c r="S322" t="inlineStr">
        <is>
          <t>Box</t>
        </is>
      </c>
      <c r="T322" t="inlineStr">
        <is>
          <t>Jam</t>
        </is>
      </c>
      <c r="U322">
        <v>1081.3</v>
      </c>
      <c r="V322">
        <v>0</v>
      </c>
      <c r="W322">
        <v>981.6</v>
      </c>
      <c r="X322">
        <v>158</v>
      </c>
      <c r="Y322">
        <v>0</v>
      </c>
    </row>
    <row r="323">
      <c r="B323">
        <v>331</v>
      </c>
      <c r="C323" t="inlineStr">
        <is>
          <t>HighWay</t>
        </is>
      </c>
      <c r="D323" t="inlineStr">
        <is>
          <t>HWY3_197_Taxi</t>
        </is>
      </c>
      <c r="E323">
        <v>1</v>
      </c>
      <c r="F323" t="inlineStr">
        <is>
          <t>공격 반복</t>
        </is>
      </c>
      <c r="G323">
        <v>4</v>
      </c>
      <c r="H323">
        <v>0</v>
      </c>
      <c r="I323">
        <v>150</v>
      </c>
      <c r="J323">
        <v>0</v>
      </c>
      <c r="K323">
        <v>0</v>
      </c>
      <c r="L323" t="inlineStr">
        <is>
          <t>차량 적 · 원본 전투/성장/코인 시스템</t>
        </is>
      </c>
      <c r="M323" t="inlineStr">
        <is>
          <t>Normal</t>
        </is>
      </c>
      <c r="N323">
        <v>0</v>
      </c>
      <c r="O323">
        <f>'밸런스 조정'!C154*'밸런스 조정'!C292*'밸런스 조정'!C146*(1+('몬스터 성장'!G6/'몬스터 성장'!F6-1)*(U323/'밸런스 조정'!C119)^'몬스터 성장'!H6)</f>
        <v>299.190059592</v>
      </c>
      <c r="P323">
        <v>0</v>
      </c>
      <c r="Q323">
        <v>0</v>
      </c>
      <c r="R323">
        <v>62</v>
      </c>
      <c r="S323" t="inlineStr">
        <is>
          <t>Taxi</t>
        </is>
      </c>
      <c r="T323" t="inlineStr">
        <is>
          <t>Jam</t>
        </is>
      </c>
      <c r="U323">
        <v>1081.3</v>
      </c>
      <c r="V323">
        <v>1</v>
      </c>
      <c r="W323">
        <v>981.6</v>
      </c>
      <c r="X323">
        <v>158</v>
      </c>
      <c r="Y323">
        <v>0</v>
      </c>
    </row>
    <row r="324">
      <c r="B324">
        <v>332</v>
      </c>
      <c r="C324" t="inlineStr">
        <is>
          <t>HighWay</t>
        </is>
      </c>
      <c r="D324" t="inlineStr">
        <is>
          <t>HWY3_198_OneTon</t>
        </is>
      </c>
      <c r="E324">
        <v>1</v>
      </c>
      <c r="F324" t="inlineStr">
        <is>
          <t>공격 반복</t>
        </is>
      </c>
      <c r="G324">
        <v>4</v>
      </c>
      <c r="H324">
        <v>0</v>
      </c>
      <c r="I324">
        <v>150</v>
      </c>
      <c r="J324">
        <v>0</v>
      </c>
      <c r="K324">
        <v>0</v>
      </c>
      <c r="L324" t="inlineStr">
        <is>
          <t>차량 적 · 원본 전투/성장/코인 시스템</t>
        </is>
      </c>
      <c r="M324" t="inlineStr">
        <is>
          <t>Normal</t>
        </is>
      </c>
      <c r="N324">
        <v>0</v>
      </c>
      <c r="O324">
        <f>'밸런스 조정'!C154*'밸런스 조정'!C292*'밸런스 조정'!C147*(1+('몬스터 성장'!G6/'몬스터 성장'!F6-1)*(U324/'밸런스 조정'!C119)^'몬스터 성장'!H6)</f>
        <v>388.94707747</v>
      </c>
      <c r="P324">
        <v>0</v>
      </c>
      <c r="Q324">
        <v>0</v>
      </c>
      <c r="R324">
        <v>62</v>
      </c>
      <c r="S324" t="inlineStr">
        <is>
          <t>OneTon</t>
        </is>
      </c>
      <c r="T324" t="inlineStr">
        <is>
          <t>Jam</t>
        </is>
      </c>
      <c r="U324">
        <v>1081.3</v>
      </c>
      <c r="V324">
        <v>2</v>
      </c>
      <c r="W324">
        <v>981.6</v>
      </c>
      <c r="X324">
        <v>158</v>
      </c>
      <c r="Y324">
        <v>0</v>
      </c>
    </row>
    <row r="325">
      <c r="B325">
        <v>333</v>
      </c>
      <c r="C325" t="inlineStr">
        <is>
          <t>HighWay</t>
        </is>
      </c>
      <c r="D325" t="inlineStr">
        <is>
          <t>HWY3_199_Tanker</t>
        </is>
      </c>
      <c r="E325">
        <v>1</v>
      </c>
      <c r="F325" t="inlineStr">
        <is>
          <t>공격 반복</t>
        </is>
      </c>
      <c r="G325">
        <v>5</v>
      </c>
      <c r="H325">
        <v>0</v>
      </c>
      <c r="I325">
        <v>150</v>
      </c>
      <c r="J325">
        <v>0</v>
      </c>
      <c r="K325">
        <v>0</v>
      </c>
      <c r="L325" t="inlineStr">
        <is>
          <t>차량 적 · 원본 전투/성장/코인 시스템</t>
        </is>
      </c>
      <c r="M325" t="inlineStr">
        <is>
          <t>Normal</t>
        </is>
      </c>
      <c r="N325">
        <v>0</v>
      </c>
      <c r="O325">
        <f>'밸런스 조정'!C154*'밸런스 조정'!C292*'밸런스 조정'!C149*(1+('몬스터 성장'!G6/'몬스터 성장'!F6-1)*(U325/'밸런스 조정'!C119)^'몬스터 성장'!H6)</f>
        <v>606.575673899</v>
      </c>
      <c r="P325">
        <v>0</v>
      </c>
      <c r="Q325">
        <v>0</v>
      </c>
      <c r="R325">
        <v>124</v>
      </c>
      <c r="S325" t="inlineStr">
        <is>
          <t>Tanker</t>
        </is>
      </c>
      <c r="T325" t="inlineStr">
        <is>
          <t>Jam</t>
        </is>
      </c>
      <c r="U325">
        <v>1092.5</v>
      </c>
      <c r="V325">
        <v>0</v>
      </c>
      <c r="W325">
        <v>991.3</v>
      </c>
      <c r="X325">
        <v>159</v>
      </c>
      <c r="Y325">
        <v>0</v>
      </c>
    </row>
    <row r="326">
      <c r="B326">
        <v>334</v>
      </c>
      <c r="C326" t="inlineStr">
        <is>
          <t>HighWay</t>
        </is>
      </c>
      <c r="D326" t="inlineStr">
        <is>
          <t>HWY3_200_Sedan</t>
        </is>
      </c>
      <c r="E326">
        <v>1</v>
      </c>
      <c r="F326" t="inlineStr">
        <is>
          <t>공격 반복</t>
        </is>
      </c>
      <c r="G326">
        <v>5</v>
      </c>
      <c r="H326">
        <v>0</v>
      </c>
      <c r="I326">
        <v>150</v>
      </c>
      <c r="J326">
        <v>0</v>
      </c>
      <c r="K326">
        <v>0</v>
      </c>
      <c r="L326" t="inlineStr">
        <is>
          <t>차량 적 · 원본 전투/성장/코인 시스템</t>
        </is>
      </c>
      <c r="M326" t="inlineStr">
        <is>
          <t>Normal</t>
        </is>
      </c>
      <c r="N326">
        <v>0</v>
      </c>
      <c r="O326">
        <f>'밸런스 조정'!C154*'밸런스 조정'!C292*'밸런스 조정'!C145*(1+('몬스터 성장'!G6/'몬스터 성장'!F6-1)*(U326/'밸런스 조정'!C119)^'몬스터 성장'!H6)</f>
        <v>303.287836949</v>
      </c>
      <c r="P326">
        <v>0</v>
      </c>
      <c r="Q326">
        <v>0</v>
      </c>
      <c r="R326">
        <v>62</v>
      </c>
      <c r="S326" t="inlineStr">
        <is>
          <t>Sedan</t>
        </is>
      </c>
      <c r="T326" t="inlineStr">
        <is>
          <t>Jam</t>
        </is>
      </c>
      <c r="U326">
        <v>1092.5</v>
      </c>
      <c r="V326">
        <v>1</v>
      </c>
      <c r="W326">
        <v>991.3</v>
      </c>
      <c r="X326">
        <v>159</v>
      </c>
      <c r="Y326">
        <v>0</v>
      </c>
    </row>
    <row r="327">
      <c r="B327">
        <v>335</v>
      </c>
      <c r="C327" t="inlineStr">
        <is>
          <t>HighWay</t>
        </is>
      </c>
      <c r="D327" t="inlineStr">
        <is>
          <t>HWY3_201_Box</t>
        </is>
      </c>
      <c r="E327">
        <v>1</v>
      </c>
      <c r="F327" t="inlineStr">
        <is>
          <t>공격 반복</t>
        </is>
      </c>
      <c r="G327">
        <v>5</v>
      </c>
      <c r="H327">
        <v>0</v>
      </c>
      <c r="I327">
        <v>150</v>
      </c>
      <c r="J327">
        <v>0</v>
      </c>
      <c r="K327">
        <v>0</v>
      </c>
      <c r="L327" t="inlineStr">
        <is>
          <t>차량 적 · 원본 전투/성장/코인 시스템</t>
        </is>
      </c>
      <c r="M327" t="inlineStr">
        <is>
          <t>Normal</t>
        </is>
      </c>
      <c r="N327">
        <v>0</v>
      </c>
      <c r="O327">
        <f>'밸런스 조정'!C154*'밸런스 조정'!C292*'밸런스 조정'!C148*(1+('몬스터 성장'!G6/'몬스터 성장'!F6-1)*(U327/'밸런스 조정'!C119)^'몬스터 성장'!H6)</f>
        <v>485.260539119</v>
      </c>
      <c r="P327">
        <v>0</v>
      </c>
      <c r="Q327">
        <v>0</v>
      </c>
      <c r="R327">
        <v>62</v>
      </c>
      <c r="S327" t="inlineStr">
        <is>
          <t>Box</t>
        </is>
      </c>
      <c r="T327" t="inlineStr">
        <is>
          <t>Jam</t>
        </is>
      </c>
      <c r="U327">
        <v>1092.5</v>
      </c>
      <c r="V327">
        <v>2</v>
      </c>
      <c r="W327">
        <v>991.3</v>
      </c>
      <c r="X327">
        <v>159</v>
      </c>
      <c r="Y327">
        <v>0</v>
      </c>
    </row>
    <row r="328">
      <c r="B328">
        <v>336</v>
      </c>
      <c r="C328" t="inlineStr">
        <is>
          <t>HighWay</t>
        </is>
      </c>
      <c r="D328" t="inlineStr">
        <is>
          <t>HWY3_202_Taxi</t>
        </is>
      </c>
      <c r="E328">
        <v>1</v>
      </c>
      <c r="F328" t="inlineStr">
        <is>
          <t>공격 반복</t>
        </is>
      </c>
      <c r="G328">
        <v>3</v>
      </c>
      <c r="H328">
        <v>0</v>
      </c>
      <c r="I328">
        <v>150</v>
      </c>
      <c r="J328">
        <v>0</v>
      </c>
      <c r="K328">
        <v>0</v>
      </c>
      <c r="L328" t="inlineStr">
        <is>
          <t>차량 적 · 원본 전투/성장/코인 시스템</t>
        </is>
      </c>
      <c r="M328" t="inlineStr">
        <is>
          <t>Normal</t>
        </is>
      </c>
      <c r="N328">
        <v>0</v>
      </c>
      <c r="O328">
        <f>'밸런스 조정'!C154*'밸런스 조정'!C292*'밸런스 조정'!C146*(1+('몬스터 성장'!G6/'몬스터 성장'!F6-1)*(U328/'밸런스 조정'!C119)^'몬스터 성장'!H6)</f>
        <v>305.759371361</v>
      </c>
      <c r="P328">
        <v>0</v>
      </c>
      <c r="Q328">
        <v>0</v>
      </c>
      <c r="R328">
        <v>62</v>
      </c>
      <c r="S328" t="inlineStr">
        <is>
          <t>Taxi</t>
        </is>
      </c>
      <c r="T328" t="inlineStr">
        <is>
          <t>Jam</t>
        </is>
      </c>
      <c r="U328">
        <v>1099.2</v>
      </c>
      <c r="V328">
        <v>0</v>
      </c>
      <c r="W328">
        <v>1001</v>
      </c>
      <c r="X328">
        <v>160</v>
      </c>
      <c r="Y328">
        <v>0</v>
      </c>
    </row>
    <row r="329">
      <c r="B329">
        <v>337</v>
      </c>
      <c r="C329" t="inlineStr">
        <is>
          <t>HighWay</t>
        </is>
      </c>
      <c r="D329" t="inlineStr">
        <is>
          <t>HWY3_203_Bus</t>
        </is>
      </c>
      <c r="E329">
        <v>1</v>
      </c>
      <c r="F329" t="inlineStr">
        <is>
          <t>공격 반복</t>
        </is>
      </c>
      <c r="G329">
        <v>3</v>
      </c>
      <c r="H329">
        <v>0</v>
      </c>
      <c r="I329">
        <v>150</v>
      </c>
      <c r="J329">
        <v>0</v>
      </c>
      <c r="K329">
        <v>0</v>
      </c>
      <c r="L329" t="inlineStr">
        <is>
          <t>차량 적 · 원본 전투/성장/코인 시스템</t>
        </is>
      </c>
      <c r="M329" t="inlineStr">
        <is>
          <t>Normal</t>
        </is>
      </c>
      <c r="N329">
        <v>0</v>
      </c>
      <c r="O329">
        <f>'밸런스 조정'!C154*'밸런스 조정'!C292*'밸런스 조정'!C150*(1+('몬스터 성장'!G6/'몬스터 성장'!F6-1)*(U329/'밸런스 조정'!C119)^'몬스터 성장'!H6)</f>
        <v>917.278114083</v>
      </c>
      <c r="P329">
        <v>0</v>
      </c>
      <c r="Q329">
        <v>0</v>
      </c>
      <c r="R329">
        <v>124</v>
      </c>
      <c r="S329" t="inlineStr">
        <is>
          <t>Bus</t>
        </is>
      </c>
      <c r="T329" t="inlineStr">
        <is>
          <t>Jam</t>
        </is>
      </c>
      <c r="U329">
        <v>1099.2</v>
      </c>
      <c r="V329">
        <v>1.5</v>
      </c>
      <c r="W329">
        <v>1001</v>
      </c>
      <c r="X329">
        <v>160</v>
      </c>
      <c r="Y329">
        <v>0</v>
      </c>
    </row>
    <row r="330">
      <c r="B330">
        <v>338</v>
      </c>
      <c r="C330" t="inlineStr">
        <is>
          <t>HighWay</t>
        </is>
      </c>
      <c r="D330" t="inlineStr">
        <is>
          <t>HWY3_204_OneTon</t>
        </is>
      </c>
      <c r="E330">
        <v>1</v>
      </c>
      <c r="F330" t="inlineStr">
        <is>
          <t>공격 반복</t>
        </is>
      </c>
      <c r="G330">
        <v>3</v>
      </c>
      <c r="H330">
        <v>0</v>
      </c>
      <c r="I330">
        <v>150</v>
      </c>
      <c r="J330">
        <v>0</v>
      </c>
      <c r="K330">
        <v>0</v>
      </c>
      <c r="L330" t="inlineStr">
        <is>
          <t>차량 적 · 원본 전투/성장/코인 시스템</t>
        </is>
      </c>
      <c r="M330" t="inlineStr">
        <is>
          <t>Normal</t>
        </is>
      </c>
      <c r="N330">
        <v>0</v>
      </c>
      <c r="O330">
        <f>'밸런스 조정'!C154*'밸런스 조정'!C292*'밸런스 조정'!C147*(1+('몬스터 성장'!G6/'몬스터 성장'!F6-1)*(U330/'밸런스 조정'!C119)^'몬스터 성장'!H6)</f>
        <v>409.157632</v>
      </c>
      <c r="P330">
        <v>0</v>
      </c>
      <c r="Q330">
        <v>0</v>
      </c>
      <c r="R330">
        <v>62</v>
      </c>
      <c r="S330" t="inlineStr">
        <is>
          <t>OneTon</t>
        </is>
      </c>
      <c r="T330" t="inlineStr">
        <is>
          <t>Jam</t>
        </is>
      </c>
      <c r="U330">
        <v>1123.2</v>
      </c>
      <c r="V330">
        <v>2</v>
      </c>
      <c r="W330">
        <v>1001</v>
      </c>
      <c r="X330">
        <v>160</v>
      </c>
      <c r="Y330">
        <v>0</v>
      </c>
    </row>
    <row r="331">
      <c r="B331">
        <v>339</v>
      </c>
      <c r="C331" t="inlineStr">
        <is>
          <t>HighWay</t>
        </is>
      </c>
      <c r="D331" t="inlineStr">
        <is>
          <t>HWY3_205_Box</t>
        </is>
      </c>
      <c r="E331">
        <v>1</v>
      </c>
      <c r="F331" t="inlineStr">
        <is>
          <t>공격 반복</t>
        </is>
      </c>
      <c r="G331">
        <v>4</v>
      </c>
      <c r="H331">
        <v>0</v>
      </c>
      <c r="I331">
        <v>150</v>
      </c>
      <c r="J331">
        <v>0</v>
      </c>
      <c r="K331">
        <v>0</v>
      </c>
      <c r="L331" t="inlineStr">
        <is>
          <t>차량 적 · 원본 전투/성장/코인 시스템</t>
        </is>
      </c>
      <c r="M331" t="inlineStr">
        <is>
          <t>Normal</t>
        </is>
      </c>
      <c r="N331">
        <v>0</v>
      </c>
      <c r="O331">
        <f>'밸런스 조정'!C154*'밸런스 조정'!C292*'밸런스 조정'!C148*(1+('몬스터 성장'!G6/'몬스터 성장'!F6-1)*(U331/'밸런스 조정'!C119)^'몬스터 성장'!H6)</f>
        <v>495.87941508</v>
      </c>
      <c r="P331">
        <v>0</v>
      </c>
      <c r="Q331">
        <v>0</v>
      </c>
      <c r="R331">
        <v>62</v>
      </c>
      <c r="S331" t="inlineStr">
        <is>
          <t>Box</t>
        </is>
      </c>
      <c r="T331" t="inlineStr">
        <is>
          <t>Jam</t>
        </is>
      </c>
      <c r="U331">
        <v>1110.4</v>
      </c>
      <c r="V331">
        <v>0</v>
      </c>
      <c r="W331">
        <v>1010.7</v>
      </c>
      <c r="X331">
        <v>161</v>
      </c>
      <c r="Y331">
        <v>0</v>
      </c>
    </row>
    <row r="332">
      <c r="B332">
        <v>340</v>
      </c>
      <c r="C332" t="inlineStr">
        <is>
          <t>HighWay</t>
        </is>
      </c>
      <c r="D332" t="inlineStr">
        <is>
          <t>HWY3_206_Tanker</t>
        </is>
      </c>
      <c r="E332">
        <v>1</v>
      </c>
      <c r="F332" t="inlineStr">
        <is>
          <t>공격 반복</t>
        </is>
      </c>
      <c r="G332">
        <v>4</v>
      </c>
      <c r="H332">
        <v>0</v>
      </c>
      <c r="I332">
        <v>150</v>
      </c>
      <c r="J332">
        <v>0</v>
      </c>
      <c r="K332">
        <v>0</v>
      </c>
      <c r="L332" t="inlineStr">
        <is>
          <t>차량 적 · 원본 전투/성장/코인 시스템</t>
        </is>
      </c>
      <c r="M332" t="inlineStr">
        <is>
          <t>Normal</t>
        </is>
      </c>
      <c r="N332">
        <v>0</v>
      </c>
      <c r="O332">
        <f>'밸런스 조정'!C154*'밸런스 조정'!C292*'밸런스 조정'!C149*(1+('몬스터 성장'!G6/'몬스터 성장'!F6-1)*(U332/'밸런스 조정'!C119)^'몬스터 성장'!H6)</f>
        <v>619.849268849</v>
      </c>
      <c r="P332">
        <v>0</v>
      </c>
      <c r="Q332">
        <v>0</v>
      </c>
      <c r="R332">
        <v>124</v>
      </c>
      <c r="S332" t="inlineStr">
        <is>
          <t>Tanker</t>
        </is>
      </c>
      <c r="T332" t="inlineStr">
        <is>
          <t>Jam</t>
        </is>
      </c>
      <c r="U332">
        <v>1110.4</v>
      </c>
      <c r="V332">
        <v>1</v>
      </c>
      <c r="W332">
        <v>1010.7</v>
      </c>
      <c r="X332">
        <v>161</v>
      </c>
      <c r="Y332">
        <v>0</v>
      </c>
    </row>
    <row r="333">
      <c r="B333">
        <v>341</v>
      </c>
      <c r="C333" t="inlineStr">
        <is>
          <t>HighWay</t>
        </is>
      </c>
      <c r="D333" t="inlineStr">
        <is>
          <t>HWY3_207_Sedan</t>
        </is>
      </c>
      <c r="E333">
        <v>1</v>
      </c>
      <c r="F333" t="inlineStr">
        <is>
          <t>공격 반복</t>
        </is>
      </c>
      <c r="G333">
        <v>4</v>
      </c>
      <c r="H333">
        <v>0</v>
      </c>
      <c r="I333">
        <v>150</v>
      </c>
      <c r="J333">
        <v>0</v>
      </c>
      <c r="K333">
        <v>0</v>
      </c>
      <c r="L333" t="inlineStr">
        <is>
          <t>차량 적 · 원본 전투/성장/코인 시스템</t>
        </is>
      </c>
      <c r="M333" t="inlineStr">
        <is>
          <t>Normal</t>
        </is>
      </c>
      <c r="N333">
        <v>0</v>
      </c>
      <c r="O333">
        <f>'밸런스 조정'!C154*'밸런스 조정'!C292*'밸런스 조정'!C145*(1+('몬스터 성장'!G6/'몬스터 성장'!F6-1)*(U333/'밸런스 조정'!C119)^'몬스터 성장'!H6)</f>
        <v>309.924634425</v>
      </c>
      <c r="P333">
        <v>0</v>
      </c>
      <c r="Q333">
        <v>0</v>
      </c>
      <c r="R333">
        <v>62</v>
      </c>
      <c r="S333" t="inlineStr">
        <is>
          <t>Sedan</t>
        </is>
      </c>
      <c r="T333" t="inlineStr">
        <is>
          <t>Jam</t>
        </is>
      </c>
      <c r="U333">
        <v>1110.4</v>
      </c>
      <c r="V333">
        <v>2</v>
      </c>
      <c r="W333">
        <v>1010.7</v>
      </c>
      <c r="X333">
        <v>161</v>
      </c>
      <c r="Y333">
        <v>0</v>
      </c>
    </row>
    <row r="334">
      <c r="B334">
        <v>342</v>
      </c>
      <c r="C334" t="inlineStr">
        <is>
          <t>HighWay</t>
        </is>
      </c>
      <c r="D334" t="inlineStr">
        <is>
          <t>HWY3_208_Tanker</t>
        </is>
      </c>
      <c r="E334">
        <v>1</v>
      </c>
      <c r="F334" t="inlineStr">
        <is>
          <t>공격 반복</t>
        </is>
      </c>
      <c r="G334">
        <v>5</v>
      </c>
      <c r="H334">
        <v>0</v>
      </c>
      <c r="I334">
        <v>150</v>
      </c>
      <c r="J334">
        <v>0</v>
      </c>
      <c r="K334">
        <v>0</v>
      </c>
      <c r="L334" t="inlineStr">
        <is>
          <t>차량 적 · 원본 전투/성장/코인 시스템</t>
        </is>
      </c>
      <c r="M334" t="inlineStr">
        <is>
          <t>Normal</t>
        </is>
      </c>
      <c r="N334">
        <v>0</v>
      </c>
      <c r="O334">
        <f>'밸런스 조정'!C154*'밸런스 조정'!C292*'밸런스 조정'!C149*(1+('몬스터 성장'!G6/'몬스터 성장'!F6-1)*(U334/'밸런스 조정'!C119)^'몬스터 성장'!H6)</f>
        <v>628.264246364</v>
      </c>
      <c r="P334">
        <v>0</v>
      </c>
      <c r="Q334">
        <v>0</v>
      </c>
      <c r="R334">
        <v>124</v>
      </c>
      <c r="S334" t="inlineStr">
        <is>
          <t>Tanker</t>
        </is>
      </c>
      <c r="T334" t="inlineStr">
        <is>
          <t>Jam</t>
        </is>
      </c>
      <c r="U334">
        <v>1121.6</v>
      </c>
      <c r="V334">
        <v>0</v>
      </c>
      <c r="W334">
        <v>1020.4</v>
      </c>
      <c r="X334">
        <v>162</v>
      </c>
      <c r="Y334">
        <v>0</v>
      </c>
    </row>
    <row r="335">
      <c r="B335">
        <v>343</v>
      </c>
      <c r="C335" t="inlineStr">
        <is>
          <t>HighWay</t>
        </is>
      </c>
      <c r="D335" t="inlineStr">
        <is>
          <t>HWY3_209_OneTon</t>
        </is>
      </c>
      <c r="E335">
        <v>1</v>
      </c>
      <c r="F335" t="inlineStr">
        <is>
          <t>공격 반복</t>
        </is>
      </c>
      <c r="G335">
        <v>5</v>
      </c>
      <c r="H335">
        <v>0</v>
      </c>
      <c r="I335">
        <v>150</v>
      </c>
      <c r="J335">
        <v>0</v>
      </c>
      <c r="K335">
        <v>0</v>
      </c>
      <c r="L335" t="inlineStr">
        <is>
          <t>차량 적 · 원본 전투/성장/코인 시스템</t>
        </is>
      </c>
      <c r="M335" t="inlineStr">
        <is>
          <t>Normal</t>
        </is>
      </c>
      <c r="N335">
        <v>0</v>
      </c>
      <c r="O335">
        <f>'밸런스 조정'!C154*'밸런스 조정'!C292*'밸런스 조정'!C147*(1+('몬스터 성장'!G6/'몬스터 성장'!F6-1)*(U335/'밸런스 조정'!C119)^'몬스터 성장'!H6)</f>
        <v>408.371760137</v>
      </c>
      <c r="P335">
        <v>0</v>
      </c>
      <c r="Q335">
        <v>0</v>
      </c>
      <c r="R335">
        <v>62</v>
      </c>
      <c r="S335" t="inlineStr">
        <is>
          <t>OneTon</t>
        </is>
      </c>
      <c r="T335" t="inlineStr">
        <is>
          <t>Jam</t>
        </is>
      </c>
      <c r="U335">
        <v>1121.6</v>
      </c>
      <c r="V335">
        <v>1</v>
      </c>
      <c r="W335">
        <v>1020.4</v>
      </c>
      <c r="X335">
        <v>162</v>
      </c>
      <c r="Y335">
        <v>0</v>
      </c>
    </row>
    <row r="336">
      <c r="B336">
        <v>344</v>
      </c>
      <c r="C336" t="inlineStr">
        <is>
          <t>HighWay</t>
        </is>
      </c>
      <c r="D336" t="inlineStr">
        <is>
          <t>HWY3_210_Taxi</t>
        </is>
      </c>
      <c r="E336">
        <v>1</v>
      </c>
      <c r="F336" t="inlineStr">
        <is>
          <t>공격 반복</t>
        </is>
      </c>
      <c r="G336">
        <v>5</v>
      </c>
      <c r="H336">
        <v>0</v>
      </c>
      <c r="I336">
        <v>150</v>
      </c>
      <c r="J336">
        <v>0</v>
      </c>
      <c r="K336">
        <v>0</v>
      </c>
      <c r="L336" t="inlineStr">
        <is>
          <t>차량 적 · 원본 전투/성장/코인 시스템</t>
        </is>
      </c>
      <c r="M336" t="inlineStr">
        <is>
          <t>Normal</t>
        </is>
      </c>
      <c r="N336">
        <v>0</v>
      </c>
      <c r="O336">
        <f>'밸런스 조정'!C154*'밸런스 조정'!C292*'밸런스 조정'!C146*(1+('몬스터 성장'!G6/'몬스터 성장'!F6-1)*(U336/'밸런스 조정'!C119)^'몬스터 성장'!H6)</f>
        <v>314.132123182</v>
      </c>
      <c r="P336">
        <v>0</v>
      </c>
      <c r="Q336">
        <v>0</v>
      </c>
      <c r="R336">
        <v>62</v>
      </c>
      <c r="S336" t="inlineStr">
        <is>
          <t>Taxi</t>
        </is>
      </c>
      <c r="T336" t="inlineStr">
        <is>
          <t>Jam</t>
        </is>
      </c>
      <c r="U336">
        <v>1121.6</v>
      </c>
      <c r="V336">
        <v>2</v>
      </c>
      <c r="W336">
        <v>1020.4</v>
      </c>
      <c r="X336">
        <v>162</v>
      </c>
      <c r="Y336">
        <v>0</v>
      </c>
    </row>
    <row r="337">
      <c r="B337">
        <v>345</v>
      </c>
      <c r="C337" t="inlineStr">
        <is>
          <t>HighWay</t>
        </is>
      </c>
      <c r="D337" t="inlineStr">
        <is>
          <t>HWY3_211_Sedan</t>
        </is>
      </c>
      <c r="E337">
        <v>1</v>
      </c>
      <c r="F337" t="inlineStr">
        <is>
          <t>공격 반복</t>
        </is>
      </c>
      <c r="G337">
        <v>3</v>
      </c>
      <c r="H337">
        <v>0</v>
      </c>
      <c r="I337">
        <v>150</v>
      </c>
      <c r="J337">
        <v>0</v>
      </c>
      <c r="K337">
        <v>0</v>
      </c>
      <c r="L337" t="inlineStr">
        <is>
          <t>차량 적 · 원본 전투/성장/코인 시스템</t>
        </is>
      </c>
      <c r="M337" t="inlineStr">
        <is>
          <t>Normal</t>
        </is>
      </c>
      <c r="N337">
        <v>0</v>
      </c>
      <c r="O337">
        <f>'밸런스 조정'!C154*'밸런스 조정'!C292*'밸런스 조정'!C145*(1+('몬스터 성장'!G6/'몬스터 성장'!F6-1)*(U337/'밸런스 조정'!C119)^'몬스터 성장'!H6)</f>
        <v>316.669288521</v>
      </c>
      <c r="P337">
        <v>0</v>
      </c>
      <c r="Q337">
        <v>0</v>
      </c>
      <c r="R337">
        <v>62</v>
      </c>
      <c r="S337" t="inlineStr">
        <is>
          <t>Sedan</t>
        </is>
      </c>
      <c r="T337" t="inlineStr">
        <is>
          <t>Jam</t>
        </is>
      </c>
      <c r="U337">
        <v>1128.3</v>
      </c>
      <c r="V337">
        <v>0</v>
      </c>
      <c r="W337">
        <v>1030.1</v>
      </c>
      <c r="X337">
        <v>163</v>
      </c>
      <c r="Y337">
        <v>0</v>
      </c>
    </row>
    <row r="338">
      <c r="B338">
        <v>346</v>
      </c>
      <c r="C338" t="inlineStr">
        <is>
          <t>HighWay</t>
        </is>
      </c>
      <c r="D338" t="inlineStr">
        <is>
          <t>HWY3_212_Box</t>
        </is>
      </c>
      <c r="E338">
        <v>1</v>
      </c>
      <c r="F338" t="inlineStr">
        <is>
          <t>공격 반복</t>
        </is>
      </c>
      <c r="G338">
        <v>3</v>
      </c>
      <c r="H338">
        <v>0</v>
      </c>
      <c r="I338">
        <v>150</v>
      </c>
      <c r="J338">
        <v>0</v>
      </c>
      <c r="K338">
        <v>0</v>
      </c>
      <c r="L338" t="inlineStr">
        <is>
          <t>차량 적 · 원본 전투/성장/코인 시스템</t>
        </is>
      </c>
      <c r="M338" t="inlineStr">
        <is>
          <t>Normal</t>
        </is>
      </c>
      <c r="N338">
        <v>0</v>
      </c>
      <c r="O338">
        <f>'밸런스 조정'!C154*'밸런스 조정'!C292*'밸런스 조정'!C148*(1+('몬스터 성장'!G6/'몬스터 성장'!F6-1)*(U338/'밸런스 조정'!C119)^'몬스터 성장'!H6)</f>
        <v>506.670861633</v>
      </c>
      <c r="P338">
        <v>0</v>
      </c>
      <c r="Q338">
        <v>0</v>
      </c>
      <c r="R338">
        <v>62</v>
      </c>
      <c r="S338" t="inlineStr">
        <is>
          <t>Box</t>
        </is>
      </c>
      <c r="T338" t="inlineStr">
        <is>
          <t>Jam</t>
        </is>
      </c>
      <c r="U338">
        <v>1128.3</v>
      </c>
      <c r="V338">
        <v>1</v>
      </c>
      <c r="W338">
        <v>1030.1</v>
      </c>
      <c r="X338">
        <v>163</v>
      </c>
      <c r="Y338">
        <v>0</v>
      </c>
    </row>
    <row r="339">
      <c r="B339">
        <v>347</v>
      </c>
      <c r="C339" t="inlineStr">
        <is>
          <t>HighWay</t>
        </is>
      </c>
      <c r="D339" t="inlineStr">
        <is>
          <t>HWY3_213_Tanker</t>
        </is>
      </c>
      <c r="E339">
        <v>1</v>
      </c>
      <c r="F339" t="inlineStr">
        <is>
          <t>공격 반복</t>
        </is>
      </c>
      <c r="G339">
        <v>3</v>
      </c>
      <c r="H339">
        <v>0</v>
      </c>
      <c r="I339">
        <v>150</v>
      </c>
      <c r="J339">
        <v>0</v>
      </c>
      <c r="K339">
        <v>0</v>
      </c>
      <c r="L339" t="inlineStr">
        <is>
          <t>차량 적 · 원본 전투/성장/코인 시스템</t>
        </is>
      </c>
      <c r="M339" t="inlineStr">
        <is>
          <t>Normal</t>
        </is>
      </c>
      <c r="N339">
        <v>0</v>
      </c>
      <c r="O339">
        <f>'밸런스 조정'!C154*'밸런스 조정'!C292*'밸런스 조정'!C149*(1+('몬스터 성장'!G6/'몬스터 성장'!F6-1)*(U339/'밸런스 조정'!C119)^'몬스터 성장'!H6)</f>
        <v>633.338577041</v>
      </c>
      <c r="P339">
        <v>0</v>
      </c>
      <c r="Q339">
        <v>0</v>
      </c>
      <c r="R339">
        <v>124</v>
      </c>
      <c r="S339" t="inlineStr">
        <is>
          <t>Tanker</t>
        </is>
      </c>
      <c r="T339" t="inlineStr">
        <is>
          <t>Jam</t>
        </is>
      </c>
      <c r="U339">
        <v>1128.3</v>
      </c>
      <c r="V339">
        <v>2</v>
      </c>
      <c r="W339">
        <v>1030.1</v>
      </c>
      <c r="X339">
        <v>163</v>
      </c>
      <c r="Y339">
        <v>0</v>
      </c>
    </row>
    <row r="340">
      <c r="B340">
        <v>348</v>
      </c>
      <c r="C340" t="inlineStr">
        <is>
          <t>HighWay</t>
        </is>
      </c>
      <c r="D340" t="inlineStr">
        <is>
          <t>HWY3_214_Taxi</t>
        </is>
      </c>
      <c r="E340">
        <v>1</v>
      </c>
      <c r="F340" t="inlineStr">
        <is>
          <t>공격 반복</t>
        </is>
      </c>
      <c r="G340">
        <v>4</v>
      </c>
      <c r="H340">
        <v>0</v>
      </c>
      <c r="I340">
        <v>150</v>
      </c>
      <c r="J340">
        <v>0</v>
      </c>
      <c r="K340">
        <v>0</v>
      </c>
      <c r="L340" t="inlineStr">
        <is>
          <t>차량 적 · 원본 전투/성장/코인 시스템</t>
        </is>
      </c>
      <c r="M340" t="inlineStr">
        <is>
          <t>Normal</t>
        </is>
      </c>
      <c r="N340">
        <v>0</v>
      </c>
      <c r="O340">
        <f>'밸런스 조정'!C154*'밸런스 조정'!C292*'밸런스 조정'!C146*(1+('몬스터 성장'!G6/'몬스터 성장'!F6-1)*(U340/'밸런스 조정'!C119)^'몬스터 성장'!H6)</f>
        <v>320.944262985</v>
      </c>
      <c r="P340">
        <v>0</v>
      </c>
      <c r="Q340">
        <v>0</v>
      </c>
      <c r="R340">
        <v>62</v>
      </c>
      <c r="S340" t="inlineStr">
        <is>
          <t>Taxi</t>
        </is>
      </c>
      <c r="T340" t="inlineStr">
        <is>
          <t>Jam</t>
        </is>
      </c>
      <c r="U340">
        <v>1139.5</v>
      </c>
      <c r="V340">
        <v>0</v>
      </c>
      <c r="W340">
        <v>1039.8</v>
      </c>
      <c r="X340">
        <v>164</v>
      </c>
      <c r="Y340">
        <v>0</v>
      </c>
    </row>
    <row r="341">
      <c r="B341">
        <v>349</v>
      </c>
      <c r="C341" t="inlineStr">
        <is>
          <t>HighWay</t>
        </is>
      </c>
      <c r="D341" t="inlineStr">
        <is>
          <t>HWY3_215_Tanker</t>
        </is>
      </c>
      <c r="E341">
        <v>1</v>
      </c>
      <c r="F341" t="inlineStr">
        <is>
          <t>공격 반복</t>
        </is>
      </c>
      <c r="G341">
        <v>4</v>
      </c>
      <c r="H341">
        <v>0</v>
      </c>
      <c r="I341">
        <v>150</v>
      </c>
      <c r="J341">
        <v>0</v>
      </c>
      <c r="K341">
        <v>0</v>
      </c>
      <c r="L341" t="inlineStr">
        <is>
          <t>차량 적 · 원본 전투/성장/코인 시스템</t>
        </is>
      </c>
      <c r="M341" t="inlineStr">
        <is>
          <t>Normal</t>
        </is>
      </c>
      <c r="N341">
        <v>0</v>
      </c>
      <c r="O341">
        <f>'밸런스 조정'!C154*'밸런스 조정'!C292*'밸런스 조정'!C149*(1+('몬스터 성장'!G6/'몬스터 성장'!F6-1)*(U341/'밸런스 조정'!C119)^'몬스터 성장'!H6)</f>
        <v>641.88852597</v>
      </c>
      <c r="P341">
        <v>0</v>
      </c>
      <c r="Q341">
        <v>0</v>
      </c>
      <c r="R341">
        <v>124</v>
      </c>
      <c r="S341" t="inlineStr">
        <is>
          <t>Tanker</t>
        </is>
      </c>
      <c r="T341" t="inlineStr">
        <is>
          <t>Jam</t>
        </is>
      </c>
      <c r="U341">
        <v>1139.5</v>
      </c>
      <c r="V341">
        <v>1</v>
      </c>
      <c r="W341">
        <v>1039.8</v>
      </c>
      <c r="X341">
        <v>164</v>
      </c>
      <c r="Y341">
        <v>0</v>
      </c>
    </row>
    <row r="342">
      <c r="B342">
        <v>350</v>
      </c>
      <c r="C342" t="inlineStr">
        <is>
          <t>HighWay</t>
        </is>
      </c>
      <c r="D342" t="inlineStr">
        <is>
          <t>HWY3_216_OneTon</t>
        </is>
      </c>
      <c r="E342">
        <v>1</v>
      </c>
      <c r="F342" t="inlineStr">
        <is>
          <t>공격 반복</t>
        </is>
      </c>
      <c r="G342">
        <v>4</v>
      </c>
      <c r="H342">
        <v>0</v>
      </c>
      <c r="I342">
        <v>150</v>
      </c>
      <c r="J342">
        <v>0</v>
      </c>
      <c r="K342">
        <v>0</v>
      </c>
      <c r="L342" t="inlineStr">
        <is>
          <t>차량 적 · 원본 전투/성장/코인 시스템</t>
        </is>
      </c>
      <c r="M342" t="inlineStr">
        <is>
          <t>Normal</t>
        </is>
      </c>
      <c r="N342">
        <v>0</v>
      </c>
      <c r="O342">
        <f>'밸런스 조정'!C154*'밸런스 조정'!C292*'밸런스 조정'!C147*(1+('몬스터 성장'!G6/'몬스터 성장'!F6-1)*(U342/'밸런스 조정'!C119)^'몬스터 성장'!H6)</f>
        <v>417.22754188</v>
      </c>
      <c r="P342">
        <v>0</v>
      </c>
      <c r="Q342">
        <v>0</v>
      </c>
      <c r="R342">
        <v>62</v>
      </c>
      <c r="S342" t="inlineStr">
        <is>
          <t>OneTon</t>
        </is>
      </c>
      <c r="T342" t="inlineStr">
        <is>
          <t>Jam</t>
        </is>
      </c>
      <c r="U342">
        <v>1139.5</v>
      </c>
      <c r="V342">
        <v>2</v>
      </c>
      <c r="W342">
        <v>1039.8</v>
      </c>
      <c r="X342">
        <v>164</v>
      </c>
      <c r="Y342">
        <v>0</v>
      </c>
    </row>
    <row r="343">
      <c r="B343">
        <v>351</v>
      </c>
      <c r="C343" t="inlineStr">
        <is>
          <t>HighWay</t>
        </is>
      </c>
      <c r="D343" t="inlineStr">
        <is>
          <t>HWY3_217_Sedan</t>
        </is>
      </c>
      <c r="E343">
        <v>1</v>
      </c>
      <c r="F343" t="inlineStr">
        <is>
          <t>공격 반복</t>
        </is>
      </c>
      <c r="G343">
        <v>5</v>
      </c>
      <c r="H343">
        <v>0</v>
      </c>
      <c r="I343">
        <v>150</v>
      </c>
      <c r="J343">
        <v>0</v>
      </c>
      <c r="K343">
        <v>0</v>
      </c>
      <c r="L343" t="inlineStr">
        <is>
          <t>차량 적 · 원본 전투/성장/코인 시스템</t>
        </is>
      </c>
      <c r="M343" t="inlineStr">
        <is>
          <t>Normal</t>
        </is>
      </c>
      <c r="N343">
        <v>0</v>
      </c>
      <c r="O343">
        <f>'밸런스 조정'!C154*'밸런스 조정'!C292*'밸런스 조정'!C145*(1+('몬스터 성장'!G6/'몬스터 성장'!F6-1)*(U343/'밸런스 조정'!C119)^'몬스터 성장'!H6)</f>
        <v>325.261463143</v>
      </c>
      <c r="P343">
        <v>0</v>
      </c>
      <c r="Q343">
        <v>0</v>
      </c>
      <c r="R343">
        <v>62</v>
      </c>
      <c r="S343" t="inlineStr">
        <is>
          <t>Sedan</t>
        </is>
      </c>
      <c r="T343" t="inlineStr">
        <is>
          <t>Jam</t>
        </is>
      </c>
      <c r="U343">
        <v>1150.7</v>
      </c>
      <c r="V343">
        <v>0</v>
      </c>
      <c r="W343">
        <v>1049.5</v>
      </c>
      <c r="X343">
        <v>165</v>
      </c>
      <c r="Y343">
        <v>0</v>
      </c>
    </row>
    <row r="344">
      <c r="B344">
        <v>352</v>
      </c>
      <c r="C344" t="inlineStr">
        <is>
          <t>HighWay</t>
        </is>
      </c>
      <c r="D344" t="inlineStr">
        <is>
          <t>HWY3_218_OneTon</t>
        </is>
      </c>
      <c r="E344">
        <v>1</v>
      </c>
      <c r="F344" t="inlineStr">
        <is>
          <t>공격 반복</t>
        </is>
      </c>
      <c r="G344">
        <v>5</v>
      </c>
      <c r="H344">
        <v>0</v>
      </c>
      <c r="I344">
        <v>150</v>
      </c>
      <c r="J344">
        <v>0</v>
      </c>
      <c r="K344">
        <v>0</v>
      </c>
      <c r="L344" t="inlineStr">
        <is>
          <t>차량 적 · 원본 전투/성장/코인 시스템</t>
        </is>
      </c>
      <c r="M344" t="inlineStr">
        <is>
          <t>Normal</t>
        </is>
      </c>
      <c r="N344">
        <v>0</v>
      </c>
      <c r="O344">
        <f>'밸런스 조정'!C154*'밸런스 조정'!C292*'밸런스 조정'!C147*(1+('몬스터 성장'!G6/'몬스터 성장'!F6-1)*(U344/'밸런스 조정'!C119)^'몬스터 성장'!H6)</f>
        <v>422.839902085</v>
      </c>
      <c r="P344">
        <v>0</v>
      </c>
      <c r="Q344">
        <v>0</v>
      </c>
      <c r="R344">
        <v>62</v>
      </c>
      <c r="S344" t="inlineStr">
        <is>
          <t>OneTon</t>
        </is>
      </c>
      <c r="T344" t="inlineStr">
        <is>
          <t>Jam</t>
        </is>
      </c>
      <c r="U344">
        <v>1150.7</v>
      </c>
      <c r="V344">
        <v>1</v>
      </c>
      <c r="W344">
        <v>1049.5</v>
      </c>
      <c r="X344">
        <v>165</v>
      </c>
      <c r="Y344">
        <v>0</v>
      </c>
    </row>
    <row r="345">
      <c r="B345">
        <v>353</v>
      </c>
      <c r="C345" t="inlineStr">
        <is>
          <t>HighWay</t>
        </is>
      </c>
      <c r="D345" t="inlineStr">
        <is>
          <t>HWY3_219_Box</t>
        </is>
      </c>
      <c r="E345">
        <v>1</v>
      </c>
      <c r="F345" t="inlineStr">
        <is>
          <t>공격 반복</t>
        </is>
      </c>
      <c r="G345">
        <v>5</v>
      </c>
      <c r="H345">
        <v>0</v>
      </c>
      <c r="I345">
        <v>150</v>
      </c>
      <c r="J345">
        <v>0</v>
      </c>
      <c r="K345">
        <v>0</v>
      </c>
      <c r="L345" t="inlineStr">
        <is>
          <t>차량 적 · 원본 전투/성장/코인 시스템</t>
        </is>
      </c>
      <c r="M345" t="inlineStr">
        <is>
          <t>Normal</t>
        </is>
      </c>
      <c r="N345">
        <v>0</v>
      </c>
      <c r="O345">
        <f>'밸런스 조정'!C154*'밸런스 조정'!C292*'밸런스 조정'!C148*(1+('몬스터 성장'!G6/'몬스터 성장'!F6-1)*(U345/'밸런스 조정'!C119)^'몬스터 성장'!H6)</f>
        <v>520.418341028</v>
      </c>
      <c r="P345">
        <v>0</v>
      </c>
      <c r="Q345">
        <v>0</v>
      </c>
      <c r="R345">
        <v>62</v>
      </c>
      <c r="S345" t="inlineStr">
        <is>
          <t>Box</t>
        </is>
      </c>
      <c r="T345" t="inlineStr">
        <is>
          <t>Jam</t>
        </is>
      </c>
      <c r="U345">
        <v>1150.7</v>
      </c>
      <c r="V345">
        <v>2</v>
      </c>
      <c r="W345">
        <v>1049.5</v>
      </c>
      <c r="X345">
        <v>165</v>
      </c>
      <c r="Y345">
        <v>0</v>
      </c>
    </row>
    <row r="346">
      <c r="B346">
        <v>354</v>
      </c>
      <c r="C346" t="inlineStr">
        <is>
          <t>HighWay</t>
        </is>
      </c>
      <c r="D346" t="inlineStr">
        <is>
          <t>HWY3_220_OneTon</t>
        </is>
      </c>
      <c r="E346">
        <v>1</v>
      </c>
      <c r="F346" t="inlineStr">
        <is>
          <t>공격 반복</t>
        </is>
      </c>
      <c r="G346">
        <v>3</v>
      </c>
      <c r="H346">
        <v>0</v>
      </c>
      <c r="I346">
        <v>150</v>
      </c>
      <c r="J346">
        <v>0</v>
      </c>
      <c r="K346">
        <v>0</v>
      </c>
      <c r="L346" t="inlineStr">
        <is>
          <t>차량 적 · 원본 전투/성장/코인 시스템</t>
        </is>
      </c>
      <c r="M346" t="inlineStr">
        <is>
          <t>Normal</t>
        </is>
      </c>
      <c r="N346">
        <v>0</v>
      </c>
      <c r="O346">
        <f>'밸런스 조정'!C154*'밸런스 조정'!C292*'밸런스 조정'!C147*(1+('몬스터 성장'!G6/'몬스터 성장'!F6-1)*(U346/'밸런스 조정'!C119)^'몬스터 성장'!H6)</f>
        <v>426.223537231</v>
      </c>
      <c r="P346">
        <v>0</v>
      </c>
      <c r="Q346">
        <v>0</v>
      </c>
      <c r="R346">
        <v>62</v>
      </c>
      <c r="S346" t="inlineStr">
        <is>
          <t>OneTon</t>
        </is>
      </c>
      <c r="T346" t="inlineStr">
        <is>
          <t>Jam</t>
        </is>
      </c>
      <c r="U346">
        <v>1157.4</v>
      </c>
      <c r="V346">
        <v>0</v>
      </c>
      <c r="W346">
        <v>1059.2</v>
      </c>
      <c r="X346">
        <v>166</v>
      </c>
      <c r="Y346">
        <v>0</v>
      </c>
    </row>
    <row r="347">
      <c r="B347">
        <v>355</v>
      </c>
      <c r="C347" t="inlineStr">
        <is>
          <t>HighWay</t>
        </is>
      </c>
      <c r="D347" t="inlineStr">
        <is>
          <t>HWY3_221_Taxi</t>
        </is>
      </c>
      <c r="E347">
        <v>1</v>
      </c>
      <c r="F347" t="inlineStr">
        <is>
          <t>공격 반복</t>
        </is>
      </c>
      <c r="G347">
        <v>3</v>
      </c>
      <c r="H347">
        <v>0</v>
      </c>
      <c r="I347">
        <v>150</v>
      </c>
      <c r="J347">
        <v>0</v>
      </c>
      <c r="K347">
        <v>0</v>
      </c>
      <c r="L347" t="inlineStr">
        <is>
          <t>차량 적 · 원본 전투/성장/코인 시스템</t>
        </is>
      </c>
      <c r="M347" t="inlineStr">
        <is>
          <t>Normal</t>
        </is>
      </c>
      <c r="N347">
        <v>0</v>
      </c>
      <c r="O347">
        <f>'밸런스 조정'!C154*'밸런스 조정'!C292*'밸런스 조정'!C146*(1+('몬스터 성장'!G6/'몬스터 성장'!F6-1)*(U347/'밸런스 조정'!C119)^'몬스터 성장'!H6)</f>
        <v>327.864259408</v>
      </c>
      <c r="P347">
        <v>0</v>
      </c>
      <c r="Q347">
        <v>0</v>
      </c>
      <c r="R347">
        <v>62</v>
      </c>
      <c r="S347" t="inlineStr">
        <is>
          <t>Taxi</t>
        </is>
      </c>
      <c r="T347" t="inlineStr">
        <is>
          <t>Jam</t>
        </is>
      </c>
      <c r="U347">
        <v>1157.4</v>
      </c>
      <c r="V347">
        <v>1</v>
      </c>
      <c r="W347">
        <v>1059.2</v>
      </c>
      <c r="X347">
        <v>166</v>
      </c>
      <c r="Y347">
        <v>0</v>
      </c>
    </row>
    <row r="348">
      <c r="B348">
        <v>356</v>
      </c>
      <c r="C348" t="inlineStr">
        <is>
          <t>HighWay</t>
        </is>
      </c>
      <c r="D348" t="inlineStr">
        <is>
          <t>HWY3_222_Tanker</t>
        </is>
      </c>
      <c r="E348">
        <v>1</v>
      </c>
      <c r="F348" t="inlineStr">
        <is>
          <t>공격 반복</t>
        </is>
      </c>
      <c r="G348">
        <v>3</v>
      </c>
      <c r="H348">
        <v>0</v>
      </c>
      <c r="I348">
        <v>150</v>
      </c>
      <c r="J348">
        <v>0</v>
      </c>
      <c r="K348">
        <v>0</v>
      </c>
      <c r="L348" t="inlineStr">
        <is>
          <t>차량 적 · 원본 전투/성장/코인 시스템</t>
        </is>
      </c>
      <c r="M348" t="inlineStr">
        <is>
          <t>Normal</t>
        </is>
      </c>
      <c r="N348">
        <v>0</v>
      </c>
      <c r="O348">
        <f>'밸런스 조정'!C154*'밸런스 조정'!C292*'밸런스 조정'!C149*(1+('몬스터 성장'!G6/'몬스터 성장'!F6-1)*(U348/'밸런스 조정'!C119)^'몬스터 성장'!H6)</f>
        <v>655.728518817</v>
      </c>
      <c r="P348">
        <v>0</v>
      </c>
      <c r="Q348">
        <v>0</v>
      </c>
      <c r="R348">
        <v>124</v>
      </c>
      <c r="S348" t="inlineStr">
        <is>
          <t>Tanker</t>
        </is>
      </c>
      <c r="T348" t="inlineStr">
        <is>
          <t>Jam</t>
        </is>
      </c>
      <c r="U348">
        <v>1157.4</v>
      </c>
      <c r="V348">
        <v>2</v>
      </c>
      <c r="W348">
        <v>1059.2</v>
      </c>
      <c r="X348">
        <v>166</v>
      </c>
      <c r="Y348">
        <v>0</v>
      </c>
    </row>
    <row r="349">
      <c r="B349">
        <v>357</v>
      </c>
      <c r="C349" t="inlineStr">
        <is>
          <t>HighWay</t>
        </is>
      </c>
      <c r="D349" t="inlineStr">
        <is>
          <t>HWY3_223_Box</t>
        </is>
      </c>
      <c r="E349">
        <v>1</v>
      </c>
      <c r="F349" t="inlineStr">
        <is>
          <t>공격 반복</t>
        </is>
      </c>
      <c r="G349">
        <v>4</v>
      </c>
      <c r="H349">
        <v>0</v>
      </c>
      <c r="I349">
        <v>150</v>
      </c>
      <c r="J349">
        <v>0</v>
      </c>
      <c r="K349">
        <v>0</v>
      </c>
      <c r="L349" t="inlineStr">
        <is>
          <t>차량 적 · 원본 전투/성장/코인 시스템</t>
        </is>
      </c>
      <c r="M349" t="inlineStr">
        <is>
          <t>Normal</t>
        </is>
      </c>
      <c r="N349">
        <v>0</v>
      </c>
      <c r="O349">
        <f>'밸런스 조정'!C154*'밸런스 조정'!C292*'밸런스 조정'!C148*(1+('몬스터 성장'!G6/'몬스터 성장'!F6-1)*(U349/'밸런스 조정'!C119)^'몬스터 성장'!H6)</f>
        <v>531.598312437</v>
      </c>
      <c r="P349">
        <v>0</v>
      </c>
      <c r="Q349">
        <v>0</v>
      </c>
      <c r="R349">
        <v>62</v>
      </c>
      <c r="S349" t="inlineStr">
        <is>
          <t>Box</t>
        </is>
      </c>
      <c r="T349" t="inlineStr">
        <is>
          <t>Jam</t>
        </is>
      </c>
      <c r="U349">
        <v>1168.6</v>
      </c>
      <c r="V349">
        <v>0</v>
      </c>
      <c r="W349">
        <v>1068.9</v>
      </c>
      <c r="X349">
        <v>167</v>
      </c>
      <c r="Y349">
        <v>0</v>
      </c>
    </row>
    <row r="350">
      <c r="B350">
        <v>358</v>
      </c>
      <c r="C350" t="inlineStr">
        <is>
          <t>HighWay</t>
        </is>
      </c>
      <c r="D350" t="inlineStr">
        <is>
          <t>HWY3_224_Sedan</t>
        </is>
      </c>
      <c r="E350">
        <v>1</v>
      </c>
      <c r="F350" t="inlineStr">
        <is>
          <t>공격 반복</t>
        </is>
      </c>
      <c r="G350">
        <v>4</v>
      </c>
      <c r="H350">
        <v>0</v>
      </c>
      <c r="I350">
        <v>150</v>
      </c>
      <c r="J350">
        <v>0</v>
      </c>
      <c r="K350">
        <v>0</v>
      </c>
      <c r="L350" t="inlineStr">
        <is>
          <t>차량 적 · 원본 전투/성장/코인 시스템</t>
        </is>
      </c>
      <c r="M350" t="inlineStr">
        <is>
          <t>Normal</t>
        </is>
      </c>
      <c r="N350">
        <v>0</v>
      </c>
      <c r="O350">
        <f>'밸런스 조정'!C154*'밸런스 조정'!C292*'밸런스 조정'!C145*(1+('몬스터 성장'!G6/'몬스터 성장'!F6-1)*(U350/'밸런스 조정'!C119)^'몬스터 성장'!H6)</f>
        <v>332.248945273</v>
      </c>
      <c r="P350">
        <v>0</v>
      </c>
      <c r="Q350">
        <v>0</v>
      </c>
      <c r="R350">
        <v>62</v>
      </c>
      <c r="S350" t="inlineStr">
        <is>
          <t>Sedan</t>
        </is>
      </c>
      <c r="T350" t="inlineStr">
        <is>
          <t>Jam</t>
        </is>
      </c>
      <c r="U350">
        <v>1168.6</v>
      </c>
      <c r="V350">
        <v>1</v>
      </c>
      <c r="W350">
        <v>1068.9</v>
      </c>
      <c r="X350">
        <v>167</v>
      </c>
      <c r="Y350">
        <v>0</v>
      </c>
    </row>
    <row r="351">
      <c r="B351">
        <v>359</v>
      </c>
      <c r="C351" t="inlineStr">
        <is>
          <t>HighWay</t>
        </is>
      </c>
      <c r="D351" t="inlineStr">
        <is>
          <t>HWY3_225_OneTon</t>
        </is>
      </c>
      <c r="E351">
        <v>1</v>
      </c>
      <c r="F351" t="inlineStr">
        <is>
          <t>공격 반복</t>
        </is>
      </c>
      <c r="G351">
        <v>4</v>
      </c>
      <c r="H351">
        <v>0</v>
      </c>
      <c r="I351">
        <v>150</v>
      </c>
      <c r="J351">
        <v>0</v>
      </c>
      <c r="K351">
        <v>0</v>
      </c>
      <c r="L351" t="inlineStr">
        <is>
          <t>차량 적 · 원본 전투/성장/코인 시스템</t>
        </is>
      </c>
      <c r="M351" t="inlineStr">
        <is>
          <t>Normal</t>
        </is>
      </c>
      <c r="N351">
        <v>0</v>
      </c>
      <c r="O351">
        <f>'밸런스 조정'!C154*'밸런스 조정'!C292*'밸런스 조정'!C147*(1+('몬스터 성장'!G6/'몬스터 성장'!F6-1)*(U351/'밸런스 조정'!C119)^'몬스터 성장'!H6)</f>
        <v>431.923628855</v>
      </c>
      <c r="P351">
        <v>0</v>
      </c>
      <c r="Q351">
        <v>0</v>
      </c>
      <c r="R351">
        <v>62</v>
      </c>
      <c r="S351" t="inlineStr">
        <is>
          <t>OneTon</t>
        </is>
      </c>
      <c r="T351" t="inlineStr">
        <is>
          <t>Jam</t>
        </is>
      </c>
      <c r="U351">
        <v>1168.6</v>
      </c>
      <c r="V351">
        <v>2</v>
      </c>
      <c r="W351">
        <v>1068.9</v>
      </c>
      <c r="X351">
        <v>167</v>
      </c>
      <c r="Y351">
        <v>0</v>
      </c>
    </row>
    <row r="352">
      <c r="B352">
        <v>360</v>
      </c>
      <c r="C352" t="inlineStr">
        <is>
          <t>HighWay</t>
        </is>
      </c>
      <c r="D352" t="inlineStr">
        <is>
          <t>HWY3_226_Tanker</t>
        </is>
      </c>
      <c r="E352">
        <v>1</v>
      </c>
      <c r="F352" t="inlineStr">
        <is>
          <t>공격 반복</t>
        </is>
      </c>
      <c r="G352">
        <v>5</v>
      </c>
      <c r="H352">
        <v>0</v>
      </c>
      <c r="I352">
        <v>150</v>
      </c>
      <c r="J352">
        <v>0</v>
      </c>
      <c r="K352">
        <v>0</v>
      </c>
      <c r="L352" t="inlineStr">
        <is>
          <t>차량 적 · 원본 전투/성장/코인 시스템</t>
        </is>
      </c>
      <c r="M352" t="inlineStr">
        <is>
          <t>Normal</t>
        </is>
      </c>
      <c r="N352">
        <v>0</v>
      </c>
      <c r="O352">
        <f>'밸런스 조정'!C154*'밸런스 조정'!C292*'밸런스 조정'!C149*(1+('몬스터 성장'!G6/'몬스터 성장'!F6-1)*(U352/'밸런스 조정'!C119)^'몬스터 성장'!H6)</f>
        <v>673.351713662</v>
      </c>
      <c r="P352">
        <v>0</v>
      </c>
      <c r="Q352">
        <v>0</v>
      </c>
      <c r="R352">
        <v>124</v>
      </c>
      <c r="S352" t="inlineStr">
        <is>
          <t>Tanker</t>
        </is>
      </c>
      <c r="T352" t="inlineStr">
        <is>
          <t>Jam</t>
        </is>
      </c>
      <c r="U352">
        <v>1179.8</v>
      </c>
      <c r="V352">
        <v>0</v>
      </c>
      <c r="W352">
        <v>1078.6</v>
      </c>
      <c r="X352">
        <v>168</v>
      </c>
      <c r="Y352">
        <v>0</v>
      </c>
    </row>
    <row r="353">
      <c r="B353">
        <v>361</v>
      </c>
      <c r="C353" t="inlineStr">
        <is>
          <t>HighWay</t>
        </is>
      </c>
      <c r="D353" t="inlineStr">
        <is>
          <t>HWY3_227_Taxi</t>
        </is>
      </c>
      <c r="E353">
        <v>1</v>
      </c>
      <c r="F353" t="inlineStr">
        <is>
          <t>공격 반복</t>
        </is>
      </c>
      <c r="G353">
        <v>5</v>
      </c>
      <c r="H353">
        <v>0</v>
      </c>
      <c r="I353">
        <v>150</v>
      </c>
      <c r="J353">
        <v>0</v>
      </c>
      <c r="K353">
        <v>0</v>
      </c>
      <c r="L353" t="inlineStr">
        <is>
          <t>차량 적 · 원본 전투/성장/코인 시스템</t>
        </is>
      </c>
      <c r="M353" t="inlineStr">
        <is>
          <t>Normal</t>
        </is>
      </c>
      <c r="N353">
        <v>0</v>
      </c>
      <c r="O353">
        <f>'밸런스 조정'!C154*'밸런스 조정'!C292*'밸런스 조정'!C146*(1+('몬스터 성장'!G6/'몬스터 성장'!F6-1)*(U353/'밸런스 조정'!C119)^'몬스터 성장'!H6)</f>
        <v>336.675856831</v>
      </c>
      <c r="P353">
        <v>0</v>
      </c>
      <c r="Q353">
        <v>0</v>
      </c>
      <c r="R353">
        <v>62</v>
      </c>
      <c r="S353" t="inlineStr">
        <is>
          <t>Taxi</t>
        </is>
      </c>
      <c r="T353" t="inlineStr">
        <is>
          <t>Jam</t>
        </is>
      </c>
      <c r="U353">
        <v>1179.8</v>
      </c>
      <c r="V353">
        <v>1</v>
      </c>
      <c r="W353">
        <v>1078.6</v>
      </c>
      <c r="X353">
        <v>168</v>
      </c>
      <c r="Y353">
        <v>0</v>
      </c>
    </row>
    <row r="354">
      <c r="B354">
        <v>362</v>
      </c>
      <c r="C354" t="inlineStr">
        <is>
          <t>HighWay</t>
        </is>
      </c>
      <c r="D354" t="inlineStr">
        <is>
          <t>HWY3_228_Box</t>
        </is>
      </c>
      <c r="E354">
        <v>1</v>
      </c>
      <c r="F354" t="inlineStr">
        <is>
          <t>공격 반복</t>
        </is>
      </c>
      <c r="G354">
        <v>5</v>
      </c>
      <c r="H354">
        <v>0</v>
      </c>
      <c r="I354">
        <v>150</v>
      </c>
      <c r="J354">
        <v>0</v>
      </c>
      <c r="K354">
        <v>0</v>
      </c>
      <c r="L354" t="inlineStr">
        <is>
          <t>차량 적 · 원본 전투/성장/코인 시스템</t>
        </is>
      </c>
      <c r="M354" t="inlineStr">
        <is>
          <t>Normal</t>
        </is>
      </c>
      <c r="N354">
        <v>0</v>
      </c>
      <c r="O354">
        <f>'밸런스 조정'!C154*'밸런스 조정'!C292*'밸런스 조정'!C148*(1+('몬스터 성장'!G6/'몬스터 성장'!F6-1)*(U354/'밸런스 조정'!C119)^'몬스터 성장'!H6)</f>
        <v>538.68137093</v>
      </c>
      <c r="P354">
        <v>0</v>
      </c>
      <c r="Q354">
        <v>0</v>
      </c>
      <c r="R354">
        <v>62</v>
      </c>
      <c r="S354" t="inlineStr">
        <is>
          <t>Box</t>
        </is>
      </c>
      <c r="T354" t="inlineStr">
        <is>
          <t>Jam</t>
        </is>
      </c>
      <c r="U354">
        <v>1179.8</v>
      </c>
      <c r="V354">
        <v>2</v>
      </c>
      <c r="W354">
        <v>1078.6</v>
      </c>
      <c r="X354">
        <v>168</v>
      </c>
      <c r="Y354">
        <v>0</v>
      </c>
    </row>
    <row r="355">
      <c r="B355">
        <v>363</v>
      </c>
      <c r="C355" t="inlineStr">
        <is>
          <t>HighWay</t>
        </is>
      </c>
      <c r="D355" t="inlineStr">
        <is>
          <t>HWY3_229_OneTon</t>
        </is>
      </c>
      <c r="E355">
        <v>1</v>
      </c>
      <c r="F355" t="inlineStr">
        <is>
          <t>공격 반복</t>
        </is>
      </c>
      <c r="G355">
        <v>3</v>
      </c>
      <c r="H355">
        <v>0</v>
      </c>
      <c r="I355">
        <v>150</v>
      </c>
      <c r="J355">
        <v>0</v>
      </c>
      <c r="K355">
        <v>0</v>
      </c>
      <c r="L355" t="inlineStr">
        <is>
          <t>차량 적 · 원본 전투/성장/코인 시스템</t>
        </is>
      </c>
      <c r="M355" t="inlineStr">
        <is>
          <t>Normal</t>
        </is>
      </c>
      <c r="N355">
        <v>0</v>
      </c>
      <c r="O355">
        <f>'밸런스 조정'!C154*'밸런스 조정'!C292*'밸런스 조정'!C147*(1+('몬스터 성장'!G6/'몬스터 성장'!F6-1)*(U355/'밸런스 조정'!C119)^'몬스터 성장'!H6)</f>
        <v>441.147569231</v>
      </c>
      <c r="P355">
        <v>0</v>
      </c>
      <c r="Q355">
        <v>0</v>
      </c>
      <c r="R355">
        <v>62</v>
      </c>
      <c r="S355" t="inlineStr">
        <is>
          <t>OneTon</t>
        </is>
      </c>
      <c r="T355" t="inlineStr">
        <is>
          <t>Jam</t>
        </is>
      </c>
      <c r="U355">
        <v>1186.5</v>
      </c>
      <c r="V355">
        <v>0</v>
      </c>
      <c r="W355">
        <v>1088.3</v>
      </c>
      <c r="X355">
        <v>169</v>
      </c>
      <c r="Y355">
        <v>0</v>
      </c>
    </row>
    <row r="356">
      <c r="B356">
        <v>364</v>
      </c>
      <c r="C356" t="inlineStr">
        <is>
          <t>HighWay</t>
        </is>
      </c>
      <c r="D356" t="inlineStr">
        <is>
          <t>HWY3_230_Box</t>
        </is>
      </c>
      <c r="E356">
        <v>1</v>
      </c>
      <c r="F356" t="inlineStr">
        <is>
          <t>공격 반복</t>
        </is>
      </c>
      <c r="G356">
        <v>3</v>
      </c>
      <c r="H356">
        <v>0</v>
      </c>
      <c r="I356">
        <v>150</v>
      </c>
      <c r="J356">
        <v>0</v>
      </c>
      <c r="K356">
        <v>0</v>
      </c>
      <c r="L356" t="inlineStr">
        <is>
          <t>차량 적 · 원본 전투/성장/코인 시스템</t>
        </is>
      </c>
      <c r="M356" t="inlineStr">
        <is>
          <t>Normal</t>
        </is>
      </c>
      <c r="N356">
        <v>0</v>
      </c>
      <c r="O356">
        <f>'밸런스 조정'!C154*'밸런스 조정'!C292*'밸런스 조정'!C148*(1+('몬스터 성장'!G6/'몬스터 성장'!F6-1)*(U356/'밸런스 조정'!C119)^'몬스터 성장'!H6)</f>
        <v>542.950854438</v>
      </c>
      <c r="P356">
        <v>0</v>
      </c>
      <c r="Q356">
        <v>0</v>
      </c>
      <c r="R356">
        <v>62</v>
      </c>
      <c r="S356" t="inlineStr">
        <is>
          <t>Box</t>
        </is>
      </c>
      <c r="T356" t="inlineStr">
        <is>
          <t>Jam</t>
        </is>
      </c>
      <c r="U356">
        <v>1186.5</v>
      </c>
      <c r="V356">
        <v>1</v>
      </c>
      <c r="W356">
        <v>1088.3</v>
      </c>
      <c r="X356">
        <v>169</v>
      </c>
      <c r="Y356">
        <v>0</v>
      </c>
    </row>
    <row r="357">
      <c r="B357">
        <v>365</v>
      </c>
      <c r="C357" t="inlineStr">
        <is>
          <t>HighWay</t>
        </is>
      </c>
      <c r="D357" t="inlineStr">
        <is>
          <t>HWY3_231_Sedan</t>
        </is>
      </c>
      <c r="E357">
        <v>1</v>
      </c>
      <c r="F357" t="inlineStr">
        <is>
          <t>공격 반복</t>
        </is>
      </c>
      <c r="G357">
        <v>3</v>
      </c>
      <c r="H357">
        <v>0</v>
      </c>
      <c r="I357">
        <v>150</v>
      </c>
      <c r="J357">
        <v>0</v>
      </c>
      <c r="K357">
        <v>0</v>
      </c>
      <c r="L357" t="inlineStr">
        <is>
          <t>차량 적 · 원본 전투/성장/코인 시스템</t>
        </is>
      </c>
      <c r="M357" t="inlineStr">
        <is>
          <t>Normal</t>
        </is>
      </c>
      <c r="N357">
        <v>0</v>
      </c>
      <c r="O357">
        <f>'밸런스 조정'!C154*'밸런스 조정'!C292*'밸런스 조정'!C145*(1+('몬스터 성장'!G6/'몬스터 성장'!F6-1)*(U357/'밸런스 조정'!C119)^'몬스터 성장'!H6)</f>
        <v>339.344284024</v>
      </c>
      <c r="P357">
        <v>0</v>
      </c>
      <c r="Q357">
        <v>0</v>
      </c>
      <c r="R357">
        <v>62</v>
      </c>
      <c r="S357" t="inlineStr">
        <is>
          <t>Sedan</t>
        </is>
      </c>
      <c r="T357" t="inlineStr">
        <is>
          <t>Jam</t>
        </is>
      </c>
      <c r="U357">
        <v>1186.5</v>
      </c>
      <c r="V357">
        <v>2</v>
      </c>
      <c r="W357">
        <v>1088.3</v>
      </c>
      <c r="X357">
        <v>169</v>
      </c>
      <c r="Y357">
        <v>0</v>
      </c>
    </row>
    <row r="358">
      <c r="B358">
        <v>366</v>
      </c>
      <c r="C358" t="inlineStr">
        <is>
          <t>HighWay</t>
        </is>
      </c>
      <c r="D358" t="inlineStr">
        <is>
          <t>HWY3_232_Sedan</t>
        </is>
      </c>
      <c r="E358">
        <v>1</v>
      </c>
      <c r="F358" t="inlineStr">
        <is>
          <t>공격 반복</t>
        </is>
      </c>
      <c r="G358">
        <v>5</v>
      </c>
      <c r="H358">
        <v>0</v>
      </c>
      <c r="I358">
        <v>150</v>
      </c>
      <c r="J358">
        <v>0</v>
      </c>
      <c r="K358">
        <v>0</v>
      </c>
      <c r="L358" t="inlineStr">
        <is>
          <t>차량 적 · 원본 전투/성장/코인 시스템</t>
        </is>
      </c>
      <c r="M358" t="inlineStr">
        <is>
          <t>Normal</t>
        </is>
      </c>
      <c r="N358">
        <v>0</v>
      </c>
      <c r="O358">
        <f>'밸런스 조정'!C154*'밸런스 조정'!C295*'밸런스 조정'!C145*(1+('몬스터 성장'!G6/'몬스터 성장'!F6-1)*(U358/'밸런스 조정'!C119)^'몬스터 성장'!H6)</f>
        <v>113.104733728</v>
      </c>
      <c r="P358">
        <v>0</v>
      </c>
      <c r="Q358">
        <v>0</v>
      </c>
      <c r="R358">
        <v>62</v>
      </c>
      <c r="S358" t="inlineStr">
        <is>
          <t>Sedan</t>
        </is>
      </c>
      <c r="T358" t="inlineStr">
        <is>
          <t>Open</t>
        </is>
      </c>
      <c r="U358">
        <v>607.5</v>
      </c>
      <c r="V358">
        <v>0</v>
      </c>
      <c r="W358">
        <v>506.3</v>
      </c>
      <c r="X358">
        <v>170</v>
      </c>
      <c r="Y358">
        <v>0</v>
      </c>
    </row>
    <row r="359">
      <c r="B359">
        <v>367</v>
      </c>
      <c r="C359" t="inlineStr">
        <is>
          <t>HighWay</t>
        </is>
      </c>
      <c r="D359" t="inlineStr">
        <is>
          <t>HWY3_233_Box</t>
        </is>
      </c>
      <c r="E359">
        <v>1</v>
      </c>
      <c r="F359" t="inlineStr">
        <is>
          <t>공격 반복</t>
        </is>
      </c>
      <c r="G359">
        <v>5</v>
      </c>
      <c r="H359">
        <v>0</v>
      </c>
      <c r="I359">
        <v>150</v>
      </c>
      <c r="J359">
        <v>0</v>
      </c>
      <c r="K359">
        <v>0</v>
      </c>
      <c r="L359" t="inlineStr">
        <is>
          <t>차량 적 · 원본 전투/성장/코인 시스템</t>
        </is>
      </c>
      <c r="M359" t="inlineStr">
        <is>
          <t>Normal</t>
        </is>
      </c>
      <c r="N359">
        <v>0</v>
      </c>
      <c r="O359">
        <f>'밸런스 조정'!C154*'밸런스 조정'!C295*'밸런스 조정'!C148*(1+('몬스터 성장'!G6/'몬스터 성장'!F6-1)*(U359/'밸런스 조정'!C119)^'몬스터 성장'!H6)</f>
        <v>180.967573964</v>
      </c>
      <c r="P359">
        <v>0</v>
      </c>
      <c r="Q359">
        <v>0</v>
      </c>
      <c r="R359">
        <v>62</v>
      </c>
      <c r="S359" t="inlineStr">
        <is>
          <t>Box</t>
        </is>
      </c>
      <c r="T359" t="inlineStr">
        <is>
          <t>Open</t>
        </is>
      </c>
      <c r="U359">
        <v>607.5</v>
      </c>
      <c r="V359">
        <v>1</v>
      </c>
      <c r="W359">
        <v>506.3</v>
      </c>
      <c r="X359">
        <v>170</v>
      </c>
      <c r="Y359">
        <v>0</v>
      </c>
    </row>
    <row r="360">
      <c r="B360">
        <v>368</v>
      </c>
      <c r="C360" t="inlineStr">
        <is>
          <t>HighWay</t>
        </is>
      </c>
      <c r="D360" t="inlineStr">
        <is>
          <t>HWY3_234_Tanker</t>
        </is>
      </c>
      <c r="E360">
        <v>1</v>
      </c>
      <c r="F360" t="inlineStr">
        <is>
          <t>공격 반복</t>
        </is>
      </c>
      <c r="G360">
        <v>5</v>
      </c>
      <c r="H360">
        <v>0</v>
      </c>
      <c r="I360">
        <v>150</v>
      </c>
      <c r="J360">
        <v>0</v>
      </c>
      <c r="K360">
        <v>0</v>
      </c>
      <c r="L360" t="inlineStr">
        <is>
          <t>차량 적 · 원본 전투/성장/코인 시스템</t>
        </is>
      </c>
      <c r="M360" t="inlineStr">
        <is>
          <t>Normal</t>
        </is>
      </c>
      <c r="N360">
        <v>0</v>
      </c>
      <c r="O360">
        <f>'밸런스 조정'!C154*'밸런스 조정'!C295*'밸런스 조정'!C149*(1+('몬스터 성장'!G6/'몬스터 성장'!F6-1)*(U360/'밸런스 조정'!C119)^'몬스터 성장'!H6)</f>
        <v>226.209467456</v>
      </c>
      <c r="P360">
        <v>0</v>
      </c>
      <c r="Q360">
        <v>0</v>
      </c>
      <c r="R360">
        <v>124</v>
      </c>
      <c r="S360" t="inlineStr">
        <is>
          <t>Tanker</t>
        </is>
      </c>
      <c r="T360" t="inlineStr">
        <is>
          <t>Open</t>
        </is>
      </c>
      <c r="U360">
        <v>607.5</v>
      </c>
      <c r="V360">
        <v>2</v>
      </c>
      <c r="W360">
        <v>506.3</v>
      </c>
      <c r="X360">
        <v>170</v>
      </c>
      <c r="Y360">
        <v>0</v>
      </c>
    </row>
    <row r="361">
      <c r="B361">
        <v>369</v>
      </c>
      <c r="C361" t="inlineStr">
        <is>
          <t>HighWay</t>
        </is>
      </c>
      <c r="D361" t="inlineStr">
        <is>
          <t>HWY3_235_Taxi</t>
        </is>
      </c>
      <c r="E361">
        <v>1</v>
      </c>
      <c r="F361" t="inlineStr">
        <is>
          <t>공격 반복</t>
        </is>
      </c>
      <c r="G361">
        <v>5</v>
      </c>
      <c r="H361">
        <v>0</v>
      </c>
      <c r="I361">
        <v>150</v>
      </c>
      <c r="J361">
        <v>0</v>
      </c>
      <c r="K361">
        <v>0</v>
      </c>
      <c r="L361" t="inlineStr">
        <is>
          <t>차량 적 · 원본 전투/성장/코인 시스템</t>
        </is>
      </c>
      <c r="M361" t="inlineStr">
        <is>
          <t>Normal</t>
        </is>
      </c>
      <c r="N361">
        <v>0</v>
      </c>
      <c r="O361">
        <f>'밸런스 조정'!C154*'밸런스 조정'!C295*'밸런스 조정'!C146*(1+('몬스터 성장'!G6/'몬스터 성장'!F6-1)*(U361/'밸런스 조정'!C119)^'몬스터 성장'!H6)</f>
        <v>116.18903802</v>
      </c>
      <c r="P361">
        <v>0</v>
      </c>
      <c r="Q361">
        <v>0</v>
      </c>
      <c r="R361">
        <v>62</v>
      </c>
      <c r="S361" t="inlineStr">
        <is>
          <t>Taxi</t>
        </is>
      </c>
      <c r="T361" t="inlineStr">
        <is>
          <t>Open</t>
        </is>
      </c>
      <c r="U361">
        <v>629.0556</v>
      </c>
      <c r="V361">
        <v>0</v>
      </c>
      <c r="W361">
        <v>527.8556</v>
      </c>
      <c r="X361">
        <v>171</v>
      </c>
      <c r="Y361">
        <v>0</v>
      </c>
    </row>
    <row r="362">
      <c r="B362">
        <v>370</v>
      </c>
      <c r="C362" t="inlineStr">
        <is>
          <t>HighWay</t>
        </is>
      </c>
      <c r="D362" t="inlineStr">
        <is>
          <t>HWY3_236_Tanker</t>
        </is>
      </c>
      <c r="E362">
        <v>1</v>
      </c>
      <c r="F362" t="inlineStr">
        <is>
          <t>공격 반복</t>
        </is>
      </c>
      <c r="G362">
        <v>5</v>
      </c>
      <c r="H362">
        <v>0</v>
      </c>
      <c r="I362">
        <v>150</v>
      </c>
      <c r="J362">
        <v>0</v>
      </c>
      <c r="K362">
        <v>0</v>
      </c>
      <c r="L362" t="inlineStr">
        <is>
          <t>차량 적 · 원본 전투/성장/코인 시스템</t>
        </is>
      </c>
      <c r="M362" t="inlineStr">
        <is>
          <t>Normal</t>
        </is>
      </c>
      <c r="N362">
        <v>0</v>
      </c>
      <c r="O362">
        <f>'밸런스 조정'!C154*'밸런스 조정'!C295*'밸런스 조정'!C149*(1+('몬스터 성장'!G6/'몬스터 성장'!F6-1)*(U362/'밸런스 조정'!C119)^'몬스터 성장'!H6)</f>
        <v>232.378076041</v>
      </c>
      <c r="P362">
        <v>0</v>
      </c>
      <c r="Q362">
        <v>0</v>
      </c>
      <c r="R362">
        <v>124</v>
      </c>
      <c r="S362" t="inlineStr">
        <is>
          <t>Tanker</t>
        </is>
      </c>
      <c r="T362" t="inlineStr">
        <is>
          <t>Open</t>
        </is>
      </c>
      <c r="U362">
        <v>629.0556</v>
      </c>
      <c r="V362">
        <v>1</v>
      </c>
      <c r="W362">
        <v>527.8556</v>
      </c>
      <c r="X362">
        <v>171</v>
      </c>
      <c r="Y362">
        <v>0</v>
      </c>
    </row>
    <row r="363">
      <c r="B363">
        <v>371</v>
      </c>
      <c r="C363" t="inlineStr">
        <is>
          <t>HighWay</t>
        </is>
      </c>
      <c r="D363" t="inlineStr">
        <is>
          <t>HWY3_237_OneTon</t>
        </is>
      </c>
      <c r="E363">
        <v>1</v>
      </c>
      <c r="F363" t="inlineStr">
        <is>
          <t>공격 반복</t>
        </is>
      </c>
      <c r="G363">
        <v>5</v>
      </c>
      <c r="H363">
        <v>0</v>
      </c>
      <c r="I363">
        <v>150</v>
      </c>
      <c r="J363">
        <v>0</v>
      </c>
      <c r="K363">
        <v>0</v>
      </c>
      <c r="L363" t="inlineStr">
        <is>
          <t>차량 적 · 원본 전투/성장/코인 시스템</t>
        </is>
      </c>
      <c r="M363" t="inlineStr">
        <is>
          <t>Normal</t>
        </is>
      </c>
      <c r="N363">
        <v>0</v>
      </c>
      <c r="O363">
        <f>'밸런스 조정'!C154*'밸런스 조정'!C295*'밸런스 조정'!C147*(1+('몬스터 성장'!G6/'몬스터 성장'!F6-1)*(U363/'밸런스 조정'!C119)^'몬스터 성장'!H6)</f>
        <v>151.045749426</v>
      </c>
      <c r="P363">
        <v>0</v>
      </c>
      <c r="Q363">
        <v>0</v>
      </c>
      <c r="R363">
        <v>62</v>
      </c>
      <c r="S363" t="inlineStr">
        <is>
          <t>OneTon</t>
        </is>
      </c>
      <c r="T363" t="inlineStr">
        <is>
          <t>Open</t>
        </is>
      </c>
      <c r="U363">
        <v>629.0556</v>
      </c>
      <c r="V363">
        <v>2</v>
      </c>
      <c r="W363">
        <v>527.8556</v>
      </c>
      <c r="X363">
        <v>171</v>
      </c>
      <c r="Y363">
        <v>0</v>
      </c>
    </row>
    <row r="364">
      <c r="B364">
        <v>372</v>
      </c>
      <c r="C364" t="inlineStr">
        <is>
          <t>HighWay</t>
        </is>
      </c>
      <c r="D364" t="inlineStr">
        <is>
          <t>HWY3_238_Sedan</t>
        </is>
      </c>
      <c r="E364">
        <v>1</v>
      </c>
      <c r="F364" t="inlineStr">
        <is>
          <t>공격 반복</t>
        </is>
      </c>
      <c r="G364">
        <v>5</v>
      </c>
      <c r="H364">
        <v>0</v>
      </c>
      <c r="I364">
        <v>150</v>
      </c>
      <c r="J364">
        <v>0</v>
      </c>
      <c r="K364">
        <v>0</v>
      </c>
      <c r="L364" t="inlineStr">
        <is>
          <t>차량 적 · 원본 전투/성장/코인 시스템</t>
        </is>
      </c>
      <c r="M364" t="inlineStr">
        <is>
          <t>Normal</t>
        </is>
      </c>
      <c r="N364">
        <v>0</v>
      </c>
      <c r="O364">
        <f>'밸런스 조정'!C154*'밸런스 조정'!C295*'밸런스 조정'!C145*(1+('몬스터 성장'!G6/'몬스터 성장'!F6-1)*(U364/'밸런스 조정'!C119)^'몬스터 성장'!H6)</f>
        <v>119.380858255</v>
      </c>
      <c r="P364">
        <v>0</v>
      </c>
      <c r="Q364">
        <v>0</v>
      </c>
      <c r="R364">
        <v>62</v>
      </c>
      <c r="S364" t="inlineStr">
        <is>
          <t>Sedan</t>
        </is>
      </c>
      <c r="T364" t="inlineStr">
        <is>
          <t>Open</t>
        </is>
      </c>
      <c r="U364">
        <v>650.6111</v>
      </c>
      <c r="V364">
        <v>0</v>
      </c>
      <c r="W364">
        <v>549.4111</v>
      </c>
      <c r="X364">
        <v>172</v>
      </c>
      <c r="Y364">
        <v>0</v>
      </c>
    </row>
    <row r="365">
      <c r="B365">
        <v>373</v>
      </c>
      <c r="C365" t="inlineStr">
        <is>
          <t>HighWay</t>
        </is>
      </c>
      <c r="D365" t="inlineStr">
        <is>
          <t>HWY3_239_OneTon</t>
        </is>
      </c>
      <c r="E365">
        <v>1</v>
      </c>
      <c r="F365" t="inlineStr">
        <is>
          <t>공격 반복</t>
        </is>
      </c>
      <c r="G365">
        <v>5</v>
      </c>
      <c r="H365">
        <v>0</v>
      </c>
      <c r="I365">
        <v>150</v>
      </c>
      <c r="J365">
        <v>0</v>
      </c>
      <c r="K365">
        <v>0</v>
      </c>
      <c r="L365" t="inlineStr">
        <is>
          <t>차량 적 · 원본 전투/성장/코인 시스템</t>
        </is>
      </c>
      <c r="M365" t="inlineStr">
        <is>
          <t>Normal</t>
        </is>
      </c>
      <c r="N365">
        <v>0</v>
      </c>
      <c r="O365">
        <f>'밸런스 조정'!C154*'밸런스 조정'!C295*'밸런스 조정'!C147*(1+('몬스터 성장'!G6/'몬스터 성장'!F6-1)*(U365/'밸런스 조정'!C119)^'몬스터 성장'!H6)</f>
        <v>155.195115732</v>
      </c>
      <c r="P365">
        <v>0</v>
      </c>
      <c r="Q365">
        <v>0</v>
      </c>
      <c r="R365">
        <v>62</v>
      </c>
      <c r="S365" t="inlineStr">
        <is>
          <t>OneTon</t>
        </is>
      </c>
      <c r="T365" t="inlineStr">
        <is>
          <t>Open</t>
        </is>
      </c>
      <c r="U365">
        <v>650.6111</v>
      </c>
      <c r="V365">
        <v>1</v>
      </c>
      <c r="W365">
        <v>549.4111</v>
      </c>
      <c r="X365">
        <v>172</v>
      </c>
      <c r="Y365">
        <v>0</v>
      </c>
    </row>
    <row r="366">
      <c r="B366">
        <v>374</v>
      </c>
      <c r="C366" t="inlineStr">
        <is>
          <t>HighWay</t>
        </is>
      </c>
      <c r="D366" t="inlineStr">
        <is>
          <t>HWY3_240_Box</t>
        </is>
      </c>
      <c r="E366">
        <v>1</v>
      </c>
      <c r="F366" t="inlineStr">
        <is>
          <t>공격 반복</t>
        </is>
      </c>
      <c r="G366">
        <v>5</v>
      </c>
      <c r="H366">
        <v>0</v>
      </c>
      <c r="I366">
        <v>150</v>
      </c>
      <c r="J366">
        <v>0</v>
      </c>
      <c r="K366">
        <v>0</v>
      </c>
      <c r="L366" t="inlineStr">
        <is>
          <t>차량 적 · 원본 전투/성장/코인 시스템</t>
        </is>
      </c>
      <c r="M366" t="inlineStr">
        <is>
          <t>Normal</t>
        </is>
      </c>
      <c r="N366">
        <v>0</v>
      </c>
      <c r="O366">
        <f>'밸런스 조정'!C154*'밸런스 조정'!C295*'밸런스 조정'!C148*(1+('몬스터 성장'!G6/'몬스터 성장'!F6-1)*(U366/'밸런스 조정'!C119)^'몬스터 성장'!H6)</f>
        <v>191.009373208</v>
      </c>
      <c r="P366">
        <v>0</v>
      </c>
      <c r="Q366">
        <v>0</v>
      </c>
      <c r="R366">
        <v>62</v>
      </c>
      <c r="S366" t="inlineStr">
        <is>
          <t>Box</t>
        </is>
      </c>
      <c r="T366" t="inlineStr">
        <is>
          <t>Open</t>
        </is>
      </c>
      <c r="U366">
        <v>650.6111</v>
      </c>
      <c r="V366">
        <v>2</v>
      </c>
      <c r="W366">
        <v>549.4111</v>
      </c>
      <c r="X366">
        <v>172</v>
      </c>
      <c r="Y366">
        <v>0</v>
      </c>
    </row>
    <row r="367">
      <c r="B367">
        <v>375</v>
      </c>
      <c r="C367" t="inlineStr">
        <is>
          <t>HighWay</t>
        </is>
      </c>
      <c r="D367" t="inlineStr">
        <is>
          <t>HWY3_241_OneTon</t>
        </is>
      </c>
      <c r="E367">
        <v>1</v>
      </c>
      <c r="F367" t="inlineStr">
        <is>
          <t>공격 반복</t>
        </is>
      </c>
      <c r="G367">
        <v>5</v>
      </c>
      <c r="H367">
        <v>0</v>
      </c>
      <c r="I367">
        <v>150</v>
      </c>
      <c r="J367">
        <v>0</v>
      </c>
      <c r="K367">
        <v>0</v>
      </c>
      <c r="L367" t="inlineStr">
        <is>
          <t>차량 적 · 원본 전투/성장/코인 시스템</t>
        </is>
      </c>
      <c r="M367" t="inlineStr">
        <is>
          <t>Normal</t>
        </is>
      </c>
      <c r="N367">
        <v>0</v>
      </c>
      <c r="O367">
        <f>'밸런스 조정'!C154*'밸런스 조정'!C295*'밸런스 조정'!C147*(1+('몬스터 성장'!G6/'몬스터 성장'!F6-1)*(U367/'밸런스 조정'!C119)^'몬스터 성장'!H6)</f>
        <v>159.484291261</v>
      </c>
      <c r="P367">
        <v>0</v>
      </c>
      <c r="Q367">
        <v>0</v>
      </c>
      <c r="R367">
        <v>62</v>
      </c>
      <c r="S367" t="inlineStr">
        <is>
          <t>OneTon</t>
        </is>
      </c>
      <c r="T367" t="inlineStr">
        <is>
          <t>Open</t>
        </is>
      </c>
      <c r="U367">
        <v>672.1667</v>
      </c>
      <c r="V367">
        <v>0</v>
      </c>
      <c r="W367">
        <v>570.9667</v>
      </c>
      <c r="X367">
        <v>173</v>
      </c>
      <c r="Y367">
        <v>0</v>
      </c>
    </row>
    <row r="368">
      <c r="B368">
        <v>376</v>
      </c>
      <c r="C368" t="inlineStr">
        <is>
          <t>HighWay</t>
        </is>
      </c>
      <c r="D368" t="inlineStr">
        <is>
          <t>HWY3_242_Taxi</t>
        </is>
      </c>
      <c r="E368">
        <v>1</v>
      </c>
      <c r="F368" t="inlineStr">
        <is>
          <t>공격 반복</t>
        </is>
      </c>
      <c r="G368">
        <v>5</v>
      </c>
      <c r="H368">
        <v>0</v>
      </c>
      <c r="I368">
        <v>150</v>
      </c>
      <c r="J368">
        <v>0</v>
      </c>
      <c r="K368">
        <v>0</v>
      </c>
      <c r="L368" t="inlineStr">
        <is>
          <t>차량 적 · 원본 전투/성장/코인 시스템</t>
        </is>
      </c>
      <c r="M368" t="inlineStr">
        <is>
          <t>Normal</t>
        </is>
      </c>
      <c r="N368">
        <v>0</v>
      </c>
      <c r="O368">
        <f>'밸런스 조정'!C154*'밸런스 조정'!C295*'밸런스 조정'!C146*(1+('몬스터 성장'!G6/'몬스터 성장'!F6-1)*(U368/'밸런스 조정'!C119)^'몬스터 성장'!H6)</f>
        <v>122.680224047</v>
      </c>
      <c r="P368">
        <v>0</v>
      </c>
      <c r="Q368">
        <v>0</v>
      </c>
      <c r="R368">
        <v>62</v>
      </c>
      <c r="S368" t="inlineStr">
        <is>
          <t>Taxi</t>
        </is>
      </c>
      <c r="T368" t="inlineStr">
        <is>
          <t>Open</t>
        </is>
      </c>
      <c r="U368">
        <v>672.1667</v>
      </c>
      <c r="V368">
        <v>1</v>
      </c>
      <c r="W368">
        <v>570.9667</v>
      </c>
      <c r="X368">
        <v>173</v>
      </c>
      <c r="Y368">
        <v>0</v>
      </c>
    </row>
    <row r="369">
      <c r="B369">
        <v>377</v>
      </c>
      <c r="C369" t="inlineStr">
        <is>
          <t>HighWay</t>
        </is>
      </c>
      <c r="D369" t="inlineStr">
        <is>
          <t>HWY3_243_Tanker</t>
        </is>
      </c>
      <c r="E369">
        <v>1</v>
      </c>
      <c r="F369" t="inlineStr">
        <is>
          <t>공격 반복</t>
        </is>
      </c>
      <c r="G369">
        <v>5</v>
      </c>
      <c r="H369">
        <v>0</v>
      </c>
      <c r="I369">
        <v>150</v>
      </c>
      <c r="J369">
        <v>0</v>
      </c>
      <c r="K369">
        <v>0</v>
      </c>
      <c r="L369" t="inlineStr">
        <is>
          <t>차량 적 · 원본 전투/성장/코인 시스템</t>
        </is>
      </c>
      <c r="M369" t="inlineStr">
        <is>
          <t>Normal</t>
        </is>
      </c>
      <c r="N369">
        <v>0</v>
      </c>
      <c r="O369">
        <f>'밸런스 조정'!C154*'밸런스 조정'!C295*'밸런스 조정'!C149*(1+('몬스터 성장'!G6/'몬스터 성장'!F6-1)*(U369/'밸런스 조정'!C119)^'몬스터 성장'!H6)</f>
        <v>245.360448094</v>
      </c>
      <c r="P369">
        <v>0</v>
      </c>
      <c r="Q369">
        <v>0</v>
      </c>
      <c r="R369">
        <v>124</v>
      </c>
      <c r="S369" t="inlineStr">
        <is>
          <t>Tanker</t>
        </is>
      </c>
      <c r="T369" t="inlineStr">
        <is>
          <t>Open</t>
        </is>
      </c>
      <c r="U369">
        <v>672.1667</v>
      </c>
      <c r="V369">
        <v>2</v>
      </c>
      <c r="W369">
        <v>570.9667</v>
      </c>
      <c r="X369">
        <v>173</v>
      </c>
      <c r="Y369">
        <v>0</v>
      </c>
    </row>
    <row r="370">
      <c r="B370">
        <v>378</v>
      </c>
      <c r="C370" t="inlineStr">
        <is>
          <t>HighWay</t>
        </is>
      </c>
      <c r="D370" t="inlineStr">
        <is>
          <t>HWY3_244_Box</t>
        </is>
      </c>
      <c r="E370">
        <v>1</v>
      </c>
      <c r="F370" t="inlineStr">
        <is>
          <t>공격 반복</t>
        </is>
      </c>
      <c r="G370">
        <v>5</v>
      </c>
      <c r="H370">
        <v>0</v>
      </c>
      <c r="I370">
        <v>150</v>
      </c>
      <c r="J370">
        <v>0</v>
      </c>
      <c r="K370">
        <v>0</v>
      </c>
      <c r="L370" t="inlineStr">
        <is>
          <t>차량 적 · 원본 전투/성장/코인 시스템</t>
        </is>
      </c>
      <c r="M370" t="inlineStr">
        <is>
          <t>Normal</t>
        </is>
      </c>
      <c r="N370">
        <v>0</v>
      </c>
      <c r="O370">
        <f>'밸런스 조정'!C154*'밸런스 조정'!C295*'밸런스 조정'!C148*(1+('몬스터 성장'!G6/'몬스터 성장'!F6-1)*(U370/'밸런스 조정'!C119)^'몬스터 성장'!H6)</f>
        <v>201.739367654</v>
      </c>
      <c r="P370">
        <v>0</v>
      </c>
      <c r="Q370">
        <v>0</v>
      </c>
      <c r="R370">
        <v>62</v>
      </c>
      <c r="S370" t="inlineStr">
        <is>
          <t>Box</t>
        </is>
      </c>
      <c r="T370" t="inlineStr">
        <is>
          <t>Open</t>
        </is>
      </c>
      <c r="U370">
        <v>693.7222</v>
      </c>
      <c r="V370">
        <v>0</v>
      </c>
      <c r="W370">
        <v>592.5222</v>
      </c>
      <c r="X370">
        <v>174</v>
      </c>
      <c r="Y370">
        <v>0</v>
      </c>
    </row>
    <row r="371">
      <c r="B371">
        <v>379</v>
      </c>
      <c r="C371" t="inlineStr">
        <is>
          <t>HighWay</t>
        </is>
      </c>
      <c r="D371" t="inlineStr">
        <is>
          <t>HWY3_245_Sedan</t>
        </is>
      </c>
      <c r="E371">
        <v>1</v>
      </c>
      <c r="F371" t="inlineStr">
        <is>
          <t>공격 반복</t>
        </is>
      </c>
      <c r="G371">
        <v>5</v>
      </c>
      <c r="H371">
        <v>0</v>
      </c>
      <c r="I371">
        <v>150</v>
      </c>
      <c r="J371">
        <v>0</v>
      </c>
      <c r="K371">
        <v>0</v>
      </c>
      <c r="L371" t="inlineStr">
        <is>
          <t>차량 적 · 원본 전투/성장/코인 시스템</t>
        </is>
      </c>
      <c r="M371" t="inlineStr">
        <is>
          <t>Normal</t>
        </is>
      </c>
      <c r="N371">
        <v>0</v>
      </c>
      <c r="O371">
        <f>'밸런스 조정'!C154*'밸런스 조정'!C295*'밸런스 조정'!C145*(1+('몬스터 성장'!G6/'몬스터 성장'!F6-1)*(U371/'밸런스 조정'!C119)^'몬스터 성장'!H6)</f>
        <v>126.087104784</v>
      </c>
      <c r="P371">
        <v>0</v>
      </c>
      <c r="Q371">
        <v>0</v>
      </c>
      <c r="R371">
        <v>62</v>
      </c>
      <c r="S371" t="inlineStr">
        <is>
          <t>Sedan</t>
        </is>
      </c>
      <c r="T371" t="inlineStr">
        <is>
          <t>Open</t>
        </is>
      </c>
      <c r="U371">
        <v>693.7222</v>
      </c>
      <c r="V371">
        <v>1</v>
      </c>
      <c r="W371">
        <v>592.5222</v>
      </c>
      <c r="X371">
        <v>174</v>
      </c>
      <c r="Y371">
        <v>0</v>
      </c>
    </row>
    <row r="372">
      <c r="B372">
        <v>380</v>
      </c>
      <c r="C372" t="inlineStr">
        <is>
          <t>HighWay</t>
        </is>
      </c>
      <c r="D372" t="inlineStr">
        <is>
          <t>HWY3_246_OneTon</t>
        </is>
      </c>
      <c r="E372">
        <v>1</v>
      </c>
      <c r="F372" t="inlineStr">
        <is>
          <t>공격 반복</t>
        </is>
      </c>
      <c r="G372">
        <v>5</v>
      </c>
      <c r="H372">
        <v>0</v>
      </c>
      <c r="I372">
        <v>150</v>
      </c>
      <c r="J372">
        <v>0</v>
      </c>
      <c r="K372">
        <v>0</v>
      </c>
      <c r="L372" t="inlineStr">
        <is>
          <t>차량 적 · 원본 전투/성장/코인 시스템</t>
        </is>
      </c>
      <c r="M372" t="inlineStr">
        <is>
          <t>Normal</t>
        </is>
      </c>
      <c r="N372">
        <v>0</v>
      </c>
      <c r="O372">
        <f>'밸런스 조정'!C154*'밸런스 조정'!C295*'밸런스 조정'!C147*(1+('몬스터 성장'!G6/'몬스터 성장'!F6-1)*(U372/'밸런스 조정'!C119)^'몬스터 성장'!H6)</f>
        <v>163.913236219</v>
      </c>
      <c r="P372">
        <v>0</v>
      </c>
      <c r="Q372">
        <v>0</v>
      </c>
      <c r="R372">
        <v>62</v>
      </c>
      <c r="S372" t="inlineStr">
        <is>
          <t>OneTon</t>
        </is>
      </c>
      <c r="T372" t="inlineStr">
        <is>
          <t>Open</t>
        </is>
      </c>
      <c r="U372">
        <v>693.7222</v>
      </c>
      <c r="V372">
        <v>2</v>
      </c>
      <c r="W372">
        <v>592.5222</v>
      </c>
      <c r="X372">
        <v>174</v>
      </c>
      <c r="Y372">
        <v>0</v>
      </c>
    </row>
    <row r="373">
      <c r="B373">
        <v>381</v>
      </c>
      <c r="C373" t="inlineStr">
        <is>
          <t>HighWay</t>
        </is>
      </c>
      <c r="D373" t="inlineStr">
        <is>
          <t>HWY3_247_Tanker</t>
        </is>
      </c>
      <c r="E373">
        <v>1</v>
      </c>
      <c r="F373" t="inlineStr">
        <is>
          <t>공격 반복</t>
        </is>
      </c>
      <c r="G373">
        <v>5</v>
      </c>
      <c r="H373">
        <v>0</v>
      </c>
      <c r="I373">
        <v>150</v>
      </c>
      <c r="J373">
        <v>0</v>
      </c>
      <c r="K373">
        <v>0</v>
      </c>
      <c r="L373" t="inlineStr">
        <is>
          <t>차량 적 · 원본 전투/성장/코인 시스템</t>
        </is>
      </c>
      <c r="M373" t="inlineStr">
        <is>
          <t>Normal</t>
        </is>
      </c>
      <c r="N373">
        <v>0</v>
      </c>
      <c r="O373">
        <f>'밸런스 조정'!C154*'밸런스 조정'!C295*'밸런스 조정'!C149*(1+('몬스터 성장'!G6/'몬스터 성장'!F6-1)*(U373/'밸런스 조정'!C119)^'몬스터 성장'!H6)</f>
        <v>259.20306415</v>
      </c>
      <c r="P373">
        <v>0</v>
      </c>
      <c r="Q373">
        <v>0</v>
      </c>
      <c r="R373">
        <v>124</v>
      </c>
      <c r="S373" t="inlineStr">
        <is>
          <t>Tanker</t>
        </is>
      </c>
      <c r="T373" t="inlineStr">
        <is>
          <t>Open</t>
        </is>
      </c>
      <c r="U373">
        <v>715.2778</v>
      </c>
      <c r="V373">
        <v>0</v>
      </c>
      <c r="W373">
        <v>614.0778</v>
      </c>
      <c r="X373">
        <v>175</v>
      </c>
      <c r="Y373">
        <v>0</v>
      </c>
    </row>
    <row r="374">
      <c r="B374">
        <v>382</v>
      </c>
      <c r="C374" t="inlineStr">
        <is>
          <t>HighWay</t>
        </is>
      </c>
      <c r="D374" t="inlineStr">
        <is>
          <t>HWY3_248_Taxi</t>
        </is>
      </c>
      <c r="E374">
        <v>1</v>
      </c>
      <c r="F374" t="inlineStr">
        <is>
          <t>공격 반복</t>
        </is>
      </c>
      <c r="G374">
        <v>5</v>
      </c>
      <c r="H374">
        <v>0</v>
      </c>
      <c r="I374">
        <v>150</v>
      </c>
      <c r="J374">
        <v>0</v>
      </c>
      <c r="K374">
        <v>0</v>
      </c>
      <c r="L374" t="inlineStr">
        <is>
          <t>차량 적 · 원본 전투/성장/코인 시스템</t>
        </is>
      </c>
      <c r="M374" t="inlineStr">
        <is>
          <t>Normal</t>
        </is>
      </c>
      <c r="N374">
        <v>0</v>
      </c>
      <c r="O374">
        <f>'밸런스 조정'!C154*'밸런스 조정'!C295*'밸런스 조정'!C146*(1+('몬스터 성장'!G6/'몬스터 성장'!F6-1)*(U374/'밸런스 조정'!C119)^'몬스터 성장'!H6)</f>
        <v>129.601532075</v>
      </c>
      <c r="P374">
        <v>0</v>
      </c>
      <c r="Q374">
        <v>0</v>
      </c>
      <c r="R374">
        <v>62</v>
      </c>
      <c r="S374" t="inlineStr">
        <is>
          <t>Taxi</t>
        </is>
      </c>
      <c r="T374" t="inlineStr">
        <is>
          <t>Open</t>
        </is>
      </c>
      <c r="U374">
        <v>715.2778</v>
      </c>
      <c r="V374">
        <v>1</v>
      </c>
      <c r="W374">
        <v>614.0778</v>
      </c>
      <c r="X374">
        <v>175</v>
      </c>
      <c r="Y374">
        <v>0</v>
      </c>
    </row>
    <row r="375">
      <c r="B375">
        <v>383</v>
      </c>
      <c r="C375" t="inlineStr">
        <is>
          <t>HighWay</t>
        </is>
      </c>
      <c r="D375" t="inlineStr">
        <is>
          <t>HWY3_249_Box</t>
        </is>
      </c>
      <c r="E375">
        <v>1</v>
      </c>
      <c r="F375" t="inlineStr">
        <is>
          <t>공격 반복</t>
        </is>
      </c>
      <c r="G375">
        <v>5</v>
      </c>
      <c r="H375">
        <v>0</v>
      </c>
      <c r="I375">
        <v>150</v>
      </c>
      <c r="J375">
        <v>0</v>
      </c>
      <c r="K375">
        <v>0</v>
      </c>
      <c r="L375" t="inlineStr">
        <is>
          <t>차량 적 · 원본 전투/성장/코인 시스템</t>
        </is>
      </c>
      <c r="M375" t="inlineStr">
        <is>
          <t>Normal</t>
        </is>
      </c>
      <c r="N375">
        <v>0</v>
      </c>
      <c r="O375">
        <f>'밸런스 조정'!C154*'밸런스 조정'!C295*'밸런스 조정'!C148*(1+('몬스터 성장'!G6/'몬스터 성장'!F6-1)*(U375/'밸런스 조정'!C119)^'몬스터 성장'!H6)</f>
        <v>207.36245132</v>
      </c>
      <c r="P375">
        <v>0</v>
      </c>
      <c r="Q375">
        <v>0</v>
      </c>
      <c r="R375">
        <v>62</v>
      </c>
      <c r="S375" t="inlineStr">
        <is>
          <t>Box</t>
        </is>
      </c>
      <c r="T375" t="inlineStr">
        <is>
          <t>Open</t>
        </is>
      </c>
      <c r="U375">
        <v>715.2778</v>
      </c>
      <c r="V375">
        <v>2</v>
      </c>
      <c r="W375">
        <v>614.0778</v>
      </c>
      <c r="X375">
        <v>175</v>
      </c>
      <c r="Y375">
        <v>0</v>
      </c>
    </row>
    <row r="376">
      <c r="B376">
        <v>384</v>
      </c>
      <c r="C376" t="inlineStr">
        <is>
          <t>HighWay</t>
        </is>
      </c>
      <c r="D376" t="inlineStr">
        <is>
          <t>HWY3_250_OneTon</t>
        </is>
      </c>
      <c r="E376">
        <v>1</v>
      </c>
      <c r="F376" t="inlineStr">
        <is>
          <t>공격 반복</t>
        </is>
      </c>
      <c r="G376">
        <v>5</v>
      </c>
      <c r="H376">
        <v>0</v>
      </c>
      <c r="I376">
        <v>150</v>
      </c>
      <c r="J376">
        <v>0</v>
      </c>
      <c r="K376">
        <v>0</v>
      </c>
      <c r="L376" t="inlineStr">
        <is>
          <t>차량 적 · 원본 전투/성장/코인 시스템</t>
        </is>
      </c>
      <c r="M376" t="inlineStr">
        <is>
          <t>Normal</t>
        </is>
      </c>
      <c r="N376">
        <v>0</v>
      </c>
      <c r="O376">
        <f>'밸런스 조정'!C154*'밸런스 조정'!C295*'밸런스 조정'!C147*(1+('몬스터 성장'!G6/'몬스터 성장'!F6-1)*(U376/'밸런스 조정'!C119)^'몬스터 성장'!H6)</f>
        <v>173.190515308</v>
      </c>
      <c r="P376">
        <v>0</v>
      </c>
      <c r="Q376">
        <v>0</v>
      </c>
      <c r="R376">
        <v>62</v>
      </c>
      <c r="S376" t="inlineStr">
        <is>
          <t>OneTon</t>
        </is>
      </c>
      <c r="T376" t="inlineStr">
        <is>
          <t>Open</t>
        </is>
      </c>
      <c r="U376">
        <v>736.8333</v>
      </c>
      <c r="V376">
        <v>0</v>
      </c>
      <c r="W376">
        <v>635.6333</v>
      </c>
      <c r="X376">
        <v>176</v>
      </c>
      <c r="Y376">
        <v>0</v>
      </c>
    </row>
    <row r="377">
      <c r="B377">
        <v>385</v>
      </c>
      <c r="C377" t="inlineStr">
        <is>
          <t>HighWay</t>
        </is>
      </c>
      <c r="D377" t="inlineStr">
        <is>
          <t>HWY3_251_Box</t>
        </is>
      </c>
      <c r="E377">
        <v>1</v>
      </c>
      <c r="F377" t="inlineStr">
        <is>
          <t>공격 반복</t>
        </is>
      </c>
      <c r="G377">
        <v>5</v>
      </c>
      <c r="H377">
        <v>0</v>
      </c>
      <c r="I377">
        <v>150</v>
      </c>
      <c r="J377">
        <v>0</v>
      </c>
      <c r="K377">
        <v>0</v>
      </c>
      <c r="L377" t="inlineStr">
        <is>
          <t>차량 적 · 원본 전투/성장/코인 시스템</t>
        </is>
      </c>
      <c r="M377" t="inlineStr">
        <is>
          <t>Normal</t>
        </is>
      </c>
      <c r="N377">
        <v>0</v>
      </c>
      <c r="O377">
        <f>'밸런스 조정'!C154*'밸런스 조정'!C295*'밸런스 조정'!C148*(1+('몬스터 성장'!G6/'몬스터 성장'!F6-1)*(U377/'밸런스 조정'!C119)^'몬스터 성장'!H6)</f>
        <v>213.157557302</v>
      </c>
      <c r="P377">
        <v>0</v>
      </c>
      <c r="Q377">
        <v>0</v>
      </c>
      <c r="R377">
        <v>62</v>
      </c>
      <c r="S377" t="inlineStr">
        <is>
          <t>Box</t>
        </is>
      </c>
      <c r="T377" t="inlineStr">
        <is>
          <t>Open</t>
        </is>
      </c>
      <c r="U377">
        <v>736.8333</v>
      </c>
      <c r="V377">
        <v>1</v>
      </c>
      <c r="W377">
        <v>635.6333</v>
      </c>
      <c r="X377">
        <v>176</v>
      </c>
      <c r="Y377">
        <v>0</v>
      </c>
    </row>
    <row r="378">
      <c r="B378">
        <v>386</v>
      </c>
      <c r="C378" t="inlineStr">
        <is>
          <t>HighWay</t>
        </is>
      </c>
      <c r="D378" t="inlineStr">
        <is>
          <t>HWY3_252_Sedan</t>
        </is>
      </c>
      <c r="E378">
        <v>1</v>
      </c>
      <c r="F378" t="inlineStr">
        <is>
          <t>공격 반복</t>
        </is>
      </c>
      <c r="G378">
        <v>5</v>
      </c>
      <c r="H378">
        <v>0</v>
      </c>
      <c r="I378">
        <v>150</v>
      </c>
      <c r="J378">
        <v>0</v>
      </c>
      <c r="K378">
        <v>0</v>
      </c>
      <c r="L378" t="inlineStr">
        <is>
          <t>차량 적 · 원본 전투/성장/코인 시스템</t>
        </is>
      </c>
      <c r="M378" t="inlineStr">
        <is>
          <t>Normal</t>
        </is>
      </c>
      <c r="N378">
        <v>0</v>
      </c>
      <c r="O378">
        <f>'밸런스 조정'!C154*'밸런스 조정'!C295*'밸런스 조정'!C145*(1+('몬스터 성장'!G6/'몬스터 성장'!F6-1)*(U378/'밸런스 조정'!C119)^'몬스터 성장'!H6)</f>
        <v>133.223473314</v>
      </c>
      <c r="P378">
        <v>0</v>
      </c>
      <c r="Q378">
        <v>0</v>
      </c>
      <c r="R378">
        <v>62</v>
      </c>
      <c r="S378" t="inlineStr">
        <is>
          <t>Sedan</t>
        </is>
      </c>
      <c r="T378" t="inlineStr">
        <is>
          <t>Open</t>
        </is>
      </c>
      <c r="U378">
        <v>736.8333</v>
      </c>
      <c r="V378">
        <v>2</v>
      </c>
      <c r="W378">
        <v>635.6333</v>
      </c>
      <c r="X378">
        <v>176</v>
      </c>
      <c r="Y378">
        <v>0</v>
      </c>
    </row>
    <row r="379">
      <c r="B379">
        <v>387</v>
      </c>
      <c r="C379" t="inlineStr">
        <is>
          <t>HighWay</t>
        </is>
      </c>
      <c r="D379" t="inlineStr">
        <is>
          <t>HWY3_253_Box</t>
        </is>
      </c>
      <c r="E379">
        <v>1</v>
      </c>
      <c r="F379" t="inlineStr">
        <is>
          <t>공격 반복</t>
        </is>
      </c>
      <c r="G379">
        <v>5</v>
      </c>
      <c r="H379">
        <v>0</v>
      </c>
      <c r="I379">
        <v>150</v>
      </c>
      <c r="J379">
        <v>0</v>
      </c>
      <c r="K379">
        <v>0</v>
      </c>
      <c r="L379" t="inlineStr">
        <is>
          <t>차량 적 · 원본 전투/성장/코인 시스템</t>
        </is>
      </c>
      <c r="M379" t="inlineStr">
        <is>
          <t>Normal</t>
        </is>
      </c>
      <c r="N379">
        <v>0</v>
      </c>
      <c r="O379">
        <f>'밸런스 조정'!C154*'밸런스 조정'!C295*'밸런스 조정'!C148*(1+('몬스터 성장'!G6/'몬스터 성장'!F6-1)*(U379/'밸런스 조정'!C119)^'몬스터 성장'!H6)</f>
        <v>219.124739367</v>
      </c>
      <c r="P379">
        <v>0</v>
      </c>
      <c r="Q379">
        <v>0</v>
      </c>
      <c r="R379">
        <v>62</v>
      </c>
      <c r="S379" t="inlineStr">
        <is>
          <t>Box</t>
        </is>
      </c>
      <c r="T379" t="inlineStr">
        <is>
          <t>Open</t>
        </is>
      </c>
      <c r="U379">
        <v>758.3889</v>
      </c>
      <c r="V379">
        <v>0</v>
      </c>
      <c r="W379">
        <v>657.1889</v>
      </c>
      <c r="X379">
        <v>177</v>
      </c>
      <c r="Y379">
        <v>0</v>
      </c>
    </row>
    <row r="380">
      <c r="B380">
        <v>388</v>
      </c>
      <c r="C380" t="inlineStr">
        <is>
          <t>HighWay</t>
        </is>
      </c>
      <c r="D380" t="inlineStr">
        <is>
          <t>HWY3_254_Tanker</t>
        </is>
      </c>
      <c r="E380">
        <v>1</v>
      </c>
      <c r="F380" t="inlineStr">
        <is>
          <t>공격 반복</t>
        </is>
      </c>
      <c r="G380">
        <v>5</v>
      </c>
      <c r="H380">
        <v>0</v>
      </c>
      <c r="I380">
        <v>150</v>
      </c>
      <c r="J380">
        <v>0</v>
      </c>
      <c r="K380">
        <v>0</v>
      </c>
      <c r="L380" t="inlineStr">
        <is>
          <t>차량 적 · 원본 전투/성장/코인 시스템</t>
        </is>
      </c>
      <c r="M380" t="inlineStr">
        <is>
          <t>Normal</t>
        </is>
      </c>
      <c r="N380">
        <v>0</v>
      </c>
      <c r="O380">
        <f>'밸런스 조정'!C154*'밸런스 조정'!C295*'밸런스 조정'!C149*(1+('몬스터 성장'!G6/'몬스터 성장'!F6-1)*(U380/'밸런스 조정'!C119)^'몬스터 성장'!H6)</f>
        <v>273.905924209</v>
      </c>
      <c r="P380">
        <v>0</v>
      </c>
      <c r="Q380">
        <v>0</v>
      </c>
      <c r="R380">
        <v>124</v>
      </c>
      <c r="S380" t="inlineStr">
        <is>
          <t>Tanker</t>
        </is>
      </c>
      <c r="T380" t="inlineStr">
        <is>
          <t>Open</t>
        </is>
      </c>
      <c r="U380">
        <v>758.3889</v>
      </c>
      <c r="V380">
        <v>1</v>
      </c>
      <c r="W380">
        <v>657.1889</v>
      </c>
      <c r="X380">
        <v>177</v>
      </c>
      <c r="Y380">
        <v>0</v>
      </c>
    </row>
    <row r="381">
      <c r="B381">
        <v>389</v>
      </c>
      <c r="C381" t="inlineStr">
        <is>
          <t>HighWay</t>
        </is>
      </c>
      <c r="D381" t="inlineStr">
        <is>
          <t>HWY3_255_Taxi</t>
        </is>
      </c>
      <c r="E381">
        <v>1</v>
      </c>
      <c r="F381" t="inlineStr">
        <is>
          <t>공격 반복</t>
        </is>
      </c>
      <c r="G381">
        <v>5</v>
      </c>
      <c r="H381">
        <v>0</v>
      </c>
      <c r="I381">
        <v>150</v>
      </c>
      <c r="J381">
        <v>0</v>
      </c>
      <c r="K381">
        <v>0</v>
      </c>
      <c r="L381" t="inlineStr">
        <is>
          <t>차량 적 · 원본 전투/성장/코인 시스템</t>
        </is>
      </c>
      <c r="M381" t="inlineStr">
        <is>
          <t>Normal</t>
        </is>
      </c>
      <c r="N381">
        <v>0</v>
      </c>
      <c r="O381">
        <f>'밸런스 조정'!C154*'밸런스 조정'!C295*'밸런스 조정'!C146*(1+('몬스터 성장'!G6/'몬스터 성장'!F6-1)*(U381/'밸런스 조정'!C119)^'몬스터 성장'!H6)</f>
        <v>136.952962105</v>
      </c>
      <c r="P381">
        <v>0</v>
      </c>
      <c r="Q381">
        <v>0</v>
      </c>
      <c r="R381">
        <v>62</v>
      </c>
      <c r="S381" t="inlineStr">
        <is>
          <t>Taxi</t>
        </is>
      </c>
      <c r="T381" t="inlineStr">
        <is>
          <t>Open</t>
        </is>
      </c>
      <c r="U381">
        <v>758.3889</v>
      </c>
      <c r="V381">
        <v>2</v>
      </c>
      <c r="W381">
        <v>657.1889</v>
      </c>
      <c r="X381">
        <v>177</v>
      </c>
      <c r="Y381">
        <v>0</v>
      </c>
    </row>
    <row r="382">
      <c r="B382">
        <v>390</v>
      </c>
      <c r="C382" t="inlineStr">
        <is>
          <t>HighWay</t>
        </is>
      </c>
      <c r="D382" t="inlineStr">
        <is>
          <t>HWY3_256_Tanker</t>
        </is>
      </c>
      <c r="E382">
        <v>1</v>
      </c>
      <c r="F382" t="inlineStr">
        <is>
          <t>공격 반복</t>
        </is>
      </c>
      <c r="G382">
        <v>5</v>
      </c>
      <c r="H382">
        <v>0</v>
      </c>
      <c r="I382">
        <v>150</v>
      </c>
      <c r="J382">
        <v>0</v>
      </c>
      <c r="K382">
        <v>0</v>
      </c>
      <c r="L382" t="inlineStr">
        <is>
          <t>차량 적 · 원본 전투/성장/코인 시스템</t>
        </is>
      </c>
      <c r="M382" t="inlineStr">
        <is>
          <t>Normal</t>
        </is>
      </c>
      <c r="N382">
        <v>0</v>
      </c>
      <c r="O382">
        <f>'밸런스 조정'!C154*'밸런스 조정'!C295*'밸런스 조정'!C149*(1+('몬스터 성장'!G6/'몬스터 성장'!F6-1)*(U382/'밸런스 조정'!C119)^'몬스터 성장'!H6)</f>
        <v>281.57992769</v>
      </c>
      <c r="P382">
        <v>0</v>
      </c>
      <c r="Q382">
        <v>0</v>
      </c>
      <c r="R382">
        <v>124</v>
      </c>
      <c r="S382" t="inlineStr">
        <is>
          <t>Tanker</t>
        </is>
      </c>
      <c r="T382" t="inlineStr">
        <is>
          <t>Open</t>
        </is>
      </c>
      <c r="U382">
        <v>779.9444</v>
      </c>
      <c r="V382">
        <v>0</v>
      </c>
      <c r="W382">
        <v>678.7444</v>
      </c>
      <c r="X382">
        <v>178</v>
      </c>
      <c r="Y382">
        <v>0</v>
      </c>
    </row>
    <row r="383">
      <c r="B383">
        <v>391</v>
      </c>
      <c r="C383" t="inlineStr">
        <is>
          <t>HighWay</t>
        </is>
      </c>
      <c r="D383" t="inlineStr">
        <is>
          <t>HWY3_257_OneTon</t>
        </is>
      </c>
      <c r="E383">
        <v>1</v>
      </c>
      <c r="F383" t="inlineStr">
        <is>
          <t>공격 반복</t>
        </is>
      </c>
      <c r="G383">
        <v>5</v>
      </c>
      <c r="H383">
        <v>0</v>
      </c>
      <c r="I383">
        <v>150</v>
      </c>
      <c r="J383">
        <v>0</v>
      </c>
      <c r="K383">
        <v>0</v>
      </c>
      <c r="L383" t="inlineStr">
        <is>
          <t>차량 적 · 원본 전투/성장/코인 시스템</t>
        </is>
      </c>
      <c r="M383" t="inlineStr">
        <is>
          <t>Normal</t>
        </is>
      </c>
      <c r="N383">
        <v>0</v>
      </c>
      <c r="O383">
        <f>'밸런스 조정'!C154*'밸런스 조정'!C295*'밸런스 조정'!C147*(1+('몬스터 성장'!G6/'몬스터 성장'!F6-1)*(U383/'밸런스 조정'!C119)^'몬스터 성장'!H6)</f>
        <v>183.026952998</v>
      </c>
      <c r="P383">
        <v>0</v>
      </c>
      <c r="Q383">
        <v>0</v>
      </c>
      <c r="R383">
        <v>62</v>
      </c>
      <c r="S383" t="inlineStr">
        <is>
          <t>OneTon</t>
        </is>
      </c>
      <c r="T383" t="inlineStr">
        <is>
          <t>Open</t>
        </is>
      </c>
      <c r="U383">
        <v>779.9444</v>
      </c>
      <c r="V383">
        <v>1</v>
      </c>
      <c r="W383">
        <v>678.7444</v>
      </c>
      <c r="X383">
        <v>178</v>
      </c>
      <c r="Y383">
        <v>0</v>
      </c>
    </row>
    <row r="384">
      <c r="B384">
        <v>392</v>
      </c>
      <c r="C384" t="inlineStr">
        <is>
          <t>HighWay</t>
        </is>
      </c>
      <c r="D384" t="inlineStr">
        <is>
          <t>HWY3_258_Sedan</t>
        </is>
      </c>
      <c r="E384">
        <v>1</v>
      </c>
      <c r="F384" t="inlineStr">
        <is>
          <t>공격 반복</t>
        </is>
      </c>
      <c r="G384">
        <v>5</v>
      </c>
      <c r="H384">
        <v>0</v>
      </c>
      <c r="I384">
        <v>150</v>
      </c>
      <c r="J384">
        <v>0</v>
      </c>
      <c r="K384">
        <v>0</v>
      </c>
      <c r="L384" t="inlineStr">
        <is>
          <t>차량 적 · 원본 전투/성장/코인 시스템</t>
        </is>
      </c>
      <c r="M384" t="inlineStr">
        <is>
          <t>Normal</t>
        </is>
      </c>
      <c r="N384">
        <v>0</v>
      </c>
      <c r="O384">
        <f>'밸런스 조정'!C154*'밸런스 조정'!C295*'밸런스 조정'!C145*(1+('몬스터 성장'!G6/'몬스터 성장'!F6-1)*(U384/'밸런스 조정'!C119)^'몬스터 성장'!H6)</f>
        <v>140.789963845</v>
      </c>
      <c r="P384">
        <v>0</v>
      </c>
      <c r="Q384">
        <v>0</v>
      </c>
      <c r="R384">
        <v>62</v>
      </c>
      <c r="S384" t="inlineStr">
        <is>
          <t>Sedan</t>
        </is>
      </c>
      <c r="T384" t="inlineStr">
        <is>
          <t>Open</t>
        </is>
      </c>
      <c r="U384">
        <v>779.9444</v>
      </c>
      <c r="V384">
        <v>2</v>
      </c>
      <c r="W384">
        <v>678.7444</v>
      </c>
      <c r="X384">
        <v>178</v>
      </c>
      <c r="Y384">
        <v>0</v>
      </c>
    </row>
    <row r="385">
      <c r="B385">
        <v>393</v>
      </c>
      <c r="C385" t="inlineStr">
        <is>
          <t>HighWay</t>
        </is>
      </c>
      <c r="D385" t="inlineStr">
        <is>
          <t>HWY3_259_Taxi</t>
        </is>
      </c>
      <c r="E385">
        <v>1</v>
      </c>
      <c r="F385" t="inlineStr">
        <is>
          <t>공격 반복</t>
        </is>
      </c>
      <c r="G385">
        <v>5</v>
      </c>
      <c r="H385">
        <v>0</v>
      </c>
      <c r="I385">
        <v>150</v>
      </c>
      <c r="J385">
        <v>0</v>
      </c>
      <c r="K385">
        <v>0</v>
      </c>
      <c r="L385" t="inlineStr">
        <is>
          <t>차량 적 · 원본 전투/성장/코인 시스템</t>
        </is>
      </c>
      <c r="M385" t="inlineStr">
        <is>
          <t>Normal</t>
        </is>
      </c>
      <c r="N385">
        <v>0</v>
      </c>
      <c r="O385">
        <f>'밸런스 조정'!C154*'밸런스 조정'!C295*'밸런스 조정'!C146*(1+('몬스터 성장'!G6/'몬스터 성장'!F6-1)*(U385/'밸런스 조정'!C119)^'몬스터 성장'!H6)</f>
        <v>144.734514135</v>
      </c>
      <c r="P385">
        <v>0</v>
      </c>
      <c r="Q385">
        <v>0</v>
      </c>
      <c r="R385">
        <v>62</v>
      </c>
      <c r="S385" t="inlineStr">
        <is>
          <t>Taxi</t>
        </is>
      </c>
      <c r="T385" t="inlineStr">
        <is>
          <t>Open</t>
        </is>
      </c>
      <c r="U385">
        <v>801.5</v>
      </c>
      <c r="V385">
        <v>0</v>
      </c>
      <c r="W385">
        <v>700.3</v>
      </c>
      <c r="X385">
        <v>179</v>
      </c>
      <c r="Y385">
        <v>0</v>
      </c>
    </row>
    <row r="386">
      <c r="B386">
        <v>394</v>
      </c>
      <c r="C386" t="inlineStr">
        <is>
          <t>HighWay</t>
        </is>
      </c>
      <c r="D386" t="inlineStr">
        <is>
          <t>HWY3_260_Box</t>
        </is>
      </c>
      <c r="E386">
        <v>1</v>
      </c>
      <c r="F386" t="inlineStr">
        <is>
          <t>공격 반복</t>
        </is>
      </c>
      <c r="G386">
        <v>5</v>
      </c>
      <c r="H386">
        <v>0</v>
      </c>
      <c r="I386">
        <v>150</v>
      </c>
      <c r="J386">
        <v>0</v>
      </c>
      <c r="K386">
        <v>0</v>
      </c>
      <c r="L386" t="inlineStr">
        <is>
          <t>차량 적 · 원본 전투/성장/코인 시스템</t>
        </is>
      </c>
      <c r="M386" t="inlineStr">
        <is>
          <t>Normal</t>
        </is>
      </c>
      <c r="N386">
        <v>0</v>
      </c>
      <c r="O386">
        <f>'밸런스 조정'!C154*'밸런스 조정'!C295*'밸런스 조정'!C148*(1+('몬스터 성장'!G6/'몬스터 성장'!F6-1)*(U386/'밸런스 조정'!C119)^'몬스터 성장'!H6)</f>
        <v>231.575222617</v>
      </c>
      <c r="P386">
        <v>0</v>
      </c>
      <c r="Q386">
        <v>0</v>
      </c>
      <c r="R386">
        <v>62</v>
      </c>
      <c r="S386" t="inlineStr">
        <is>
          <t>Box</t>
        </is>
      </c>
      <c r="T386" t="inlineStr">
        <is>
          <t>Open</t>
        </is>
      </c>
      <c r="U386">
        <v>801.5</v>
      </c>
      <c r="V386">
        <v>1</v>
      </c>
      <c r="W386">
        <v>700.3</v>
      </c>
      <c r="X386">
        <v>179</v>
      </c>
      <c r="Y386">
        <v>0</v>
      </c>
    </row>
    <row r="387">
      <c r="B387">
        <v>395</v>
      </c>
      <c r="C387" t="inlineStr">
        <is>
          <t>HighWay</t>
        </is>
      </c>
      <c r="D387" t="inlineStr">
        <is>
          <t>HWY3_261_Tanker</t>
        </is>
      </c>
      <c r="E387">
        <v>1</v>
      </c>
      <c r="F387" t="inlineStr">
        <is>
          <t>공격 반복</t>
        </is>
      </c>
      <c r="G387">
        <v>5</v>
      </c>
      <c r="H387">
        <v>0</v>
      </c>
      <c r="I387">
        <v>150</v>
      </c>
      <c r="J387">
        <v>0</v>
      </c>
      <c r="K387">
        <v>0</v>
      </c>
      <c r="L387" t="inlineStr">
        <is>
          <t>차량 적 · 원본 전투/성장/코인 시스템</t>
        </is>
      </c>
      <c r="M387" t="inlineStr">
        <is>
          <t>Normal</t>
        </is>
      </c>
      <c r="N387">
        <v>0</v>
      </c>
      <c r="O387">
        <f>'밸런스 조정'!C154*'밸런스 조정'!C295*'밸런스 조정'!C149*(1+('몬스터 성장'!G6/'몬스터 성장'!F6-1)*(U387/'밸런스 조정'!C119)^'몬스터 성장'!H6)</f>
        <v>289.469028271</v>
      </c>
      <c r="P387">
        <v>0</v>
      </c>
      <c r="Q387">
        <v>0</v>
      </c>
      <c r="R387">
        <v>124</v>
      </c>
      <c r="S387" t="inlineStr">
        <is>
          <t>Tanker</t>
        </is>
      </c>
      <c r="T387" t="inlineStr">
        <is>
          <t>Open</t>
        </is>
      </c>
      <c r="U387">
        <v>801.5</v>
      </c>
      <c r="V387">
        <v>2</v>
      </c>
      <c r="W387">
        <v>700.3</v>
      </c>
      <c r="X387">
        <v>179</v>
      </c>
      <c r="Y387">
        <v>0</v>
      </c>
    </row>
    <row r="388">
      <c r="B388">
        <v>396</v>
      </c>
      <c r="C388" t="inlineStr">
        <is>
          <t>HighWay</t>
        </is>
      </c>
      <c r="D388" t="inlineStr">
        <is>
          <t>HWY3_262_Sedan</t>
        </is>
      </c>
      <c r="E388">
        <v>1</v>
      </c>
      <c r="F388" t="inlineStr">
        <is>
          <t>공격 반복</t>
        </is>
      </c>
      <c r="G388">
        <v>5</v>
      </c>
      <c r="H388">
        <v>0</v>
      </c>
      <c r="I388">
        <v>150</v>
      </c>
      <c r="J388">
        <v>0</v>
      </c>
      <c r="K388">
        <v>0</v>
      </c>
      <c r="L388" t="inlineStr">
        <is>
          <t>차량 적 · 원본 전투/성장/코인 시스템</t>
        </is>
      </c>
      <c r="M388" t="inlineStr">
        <is>
          <t>Normal</t>
        </is>
      </c>
      <c r="N388">
        <v>0</v>
      </c>
      <c r="O388">
        <f>'밸런스 조정'!C154*'밸런스 조정'!C295*'밸런스 조정'!C145*(1+('몬스터 성장'!G6/'몬스터 성장'!F6-1)*(U388/'밸런스 조정'!C119)^'몬스터 성장'!H6)</f>
        <v>148.786595425</v>
      </c>
      <c r="P388">
        <v>0</v>
      </c>
      <c r="Q388">
        <v>0</v>
      </c>
      <c r="R388">
        <v>62</v>
      </c>
      <c r="S388" t="inlineStr">
        <is>
          <t>Sedan</t>
        </is>
      </c>
      <c r="T388" t="inlineStr">
        <is>
          <t>Open</t>
        </is>
      </c>
      <c r="U388">
        <v>823.0556</v>
      </c>
      <c r="V388">
        <v>0</v>
      </c>
      <c r="W388">
        <v>721.8556</v>
      </c>
      <c r="X388">
        <v>180</v>
      </c>
      <c r="Y388">
        <v>0</v>
      </c>
    </row>
    <row r="389">
      <c r="B389">
        <v>397</v>
      </c>
      <c r="C389" t="inlineStr">
        <is>
          <t>HighWay</t>
        </is>
      </c>
      <c r="D389" t="inlineStr">
        <is>
          <t>HWY3_263_Tanker</t>
        </is>
      </c>
      <c r="E389">
        <v>1</v>
      </c>
      <c r="F389" t="inlineStr">
        <is>
          <t>공격 반복</t>
        </is>
      </c>
      <c r="G389">
        <v>5</v>
      </c>
      <c r="H389">
        <v>0</v>
      </c>
      <c r="I389">
        <v>150</v>
      </c>
      <c r="J389">
        <v>0</v>
      </c>
      <c r="K389">
        <v>0</v>
      </c>
      <c r="L389" t="inlineStr">
        <is>
          <t>차량 적 · 원본 전투/성장/코인 시스템</t>
        </is>
      </c>
      <c r="M389" t="inlineStr">
        <is>
          <t>Normal</t>
        </is>
      </c>
      <c r="N389">
        <v>0</v>
      </c>
      <c r="O389">
        <f>'밸런스 조정'!C154*'밸런스 조정'!C295*'밸런스 조정'!C149*(1+('몬스터 성장'!G6/'몬스터 성장'!F6-1)*(U389/'밸런스 조정'!C119)^'몬스터 성장'!H6)</f>
        <v>297.57319085</v>
      </c>
      <c r="P389">
        <v>0</v>
      </c>
      <c r="Q389">
        <v>0</v>
      </c>
      <c r="R389">
        <v>124</v>
      </c>
      <c r="S389" t="inlineStr">
        <is>
          <t>Tanker</t>
        </is>
      </c>
      <c r="T389" t="inlineStr">
        <is>
          <t>Open</t>
        </is>
      </c>
      <c r="U389">
        <v>823.0556</v>
      </c>
      <c r="V389">
        <v>1</v>
      </c>
      <c r="W389">
        <v>721.8556</v>
      </c>
      <c r="X389">
        <v>180</v>
      </c>
      <c r="Y389">
        <v>0</v>
      </c>
    </row>
    <row r="390">
      <c r="B390">
        <v>398</v>
      </c>
      <c r="C390" t="inlineStr">
        <is>
          <t>HighWay</t>
        </is>
      </c>
      <c r="D390" t="inlineStr">
        <is>
          <t>HWY3_264_OneTon</t>
        </is>
      </c>
      <c r="E390">
        <v>1</v>
      </c>
      <c r="F390" t="inlineStr">
        <is>
          <t>공격 반복</t>
        </is>
      </c>
      <c r="G390">
        <v>5</v>
      </c>
      <c r="H390">
        <v>0</v>
      </c>
      <c r="I390">
        <v>150</v>
      </c>
      <c r="J390">
        <v>0</v>
      </c>
      <c r="K390">
        <v>0</v>
      </c>
      <c r="L390" t="inlineStr">
        <is>
          <t>차량 적 · 원본 전투/성장/코인 시스템</t>
        </is>
      </c>
      <c r="M390" t="inlineStr">
        <is>
          <t>Normal</t>
        </is>
      </c>
      <c r="N390">
        <v>0</v>
      </c>
      <c r="O390">
        <f>'밸런스 조정'!C154*'밸런스 조정'!C295*'밸런스 조정'!C147*(1+('몬스터 성장'!G6/'몬스터 성장'!F6-1)*(U390/'밸런스 조정'!C119)^'몬스터 성장'!H6)</f>
        <v>193.422574053</v>
      </c>
      <c r="P390">
        <v>0</v>
      </c>
      <c r="Q390">
        <v>0</v>
      </c>
      <c r="R390">
        <v>62</v>
      </c>
      <c r="S390" t="inlineStr">
        <is>
          <t>OneTon</t>
        </is>
      </c>
      <c r="T390" t="inlineStr">
        <is>
          <t>Open</t>
        </is>
      </c>
      <c r="U390">
        <v>823.0556</v>
      </c>
      <c r="V390">
        <v>2</v>
      </c>
      <c r="W390">
        <v>721.8556</v>
      </c>
      <c r="X390">
        <v>180</v>
      </c>
      <c r="Y390">
        <v>0</v>
      </c>
    </row>
    <row r="391">
      <c r="B391">
        <v>399</v>
      </c>
      <c r="C391" t="inlineStr">
        <is>
          <t>HighWay</t>
        </is>
      </c>
      <c r="D391" t="inlineStr">
        <is>
          <t>HWY3_265_Taxi</t>
        </is>
      </c>
      <c r="E391">
        <v>1</v>
      </c>
      <c r="F391" t="inlineStr">
        <is>
          <t>공격 반복</t>
        </is>
      </c>
      <c r="G391">
        <v>5</v>
      </c>
      <c r="H391">
        <v>0</v>
      </c>
      <c r="I391">
        <v>150</v>
      </c>
      <c r="J391">
        <v>0</v>
      </c>
      <c r="K391">
        <v>0</v>
      </c>
      <c r="L391" t="inlineStr">
        <is>
          <t>차량 적 · 원본 전투/성장/코인 시스템</t>
        </is>
      </c>
      <c r="M391" t="inlineStr">
        <is>
          <t>Normal</t>
        </is>
      </c>
      <c r="N391">
        <v>0</v>
      </c>
      <c r="O391">
        <f>'밸런스 조정'!C154*'밸런스 조정'!C295*'밸런스 조정'!C146*(1+('몬스터 성장'!G6/'몬스터 성장'!F6-1)*(U391/'밸런스 조정'!C119)^'몬스터 성장'!H6)</f>
        <v>152.946188168</v>
      </c>
      <c r="P391">
        <v>0</v>
      </c>
      <c r="Q391">
        <v>0</v>
      </c>
      <c r="R391">
        <v>62</v>
      </c>
      <c r="S391" t="inlineStr">
        <is>
          <t>Taxi</t>
        </is>
      </c>
      <c r="T391" t="inlineStr">
        <is>
          <t>Open</t>
        </is>
      </c>
      <c r="U391">
        <v>844.6111</v>
      </c>
      <c r="V391">
        <v>0</v>
      </c>
      <c r="W391">
        <v>743.4111</v>
      </c>
      <c r="X391">
        <v>181</v>
      </c>
      <c r="Y391">
        <v>0</v>
      </c>
    </row>
    <row r="392">
      <c r="B392">
        <v>400</v>
      </c>
      <c r="C392" t="inlineStr">
        <is>
          <t>HighWay</t>
        </is>
      </c>
      <c r="D392" t="inlineStr">
        <is>
          <t>HWY3_266_OneTon</t>
        </is>
      </c>
      <c r="E392">
        <v>1</v>
      </c>
      <c r="F392" t="inlineStr">
        <is>
          <t>공격 반복</t>
        </is>
      </c>
      <c r="G392">
        <v>5</v>
      </c>
      <c r="H392">
        <v>0</v>
      </c>
      <c r="I392">
        <v>150</v>
      </c>
      <c r="J392">
        <v>0</v>
      </c>
      <c r="K392">
        <v>0</v>
      </c>
      <c r="L392" t="inlineStr">
        <is>
          <t>차량 적 · 원본 전투/성장/코인 시스템</t>
        </is>
      </c>
      <c r="M392" t="inlineStr">
        <is>
          <t>Normal</t>
        </is>
      </c>
      <c r="N392">
        <v>0</v>
      </c>
      <c r="O392">
        <f>'밸런스 조정'!C154*'밸런스 조정'!C295*'밸런스 조정'!C147*(1+('몬스터 성장'!G6/'몬스터 성장'!F6-1)*(U392/'밸런스 조정'!C119)^'몬스터 성장'!H6)</f>
        <v>198.830044618</v>
      </c>
      <c r="P392">
        <v>0</v>
      </c>
      <c r="Q392">
        <v>0</v>
      </c>
      <c r="R392">
        <v>62</v>
      </c>
      <c r="S392" t="inlineStr">
        <is>
          <t>OneTon</t>
        </is>
      </c>
      <c r="T392" t="inlineStr">
        <is>
          <t>Open</t>
        </is>
      </c>
      <c r="U392">
        <v>844.6111</v>
      </c>
      <c r="V392">
        <v>1</v>
      </c>
      <c r="W392">
        <v>743.4111</v>
      </c>
      <c r="X392">
        <v>181</v>
      </c>
      <c r="Y392">
        <v>0</v>
      </c>
    </row>
    <row r="393">
      <c r="B393">
        <v>401</v>
      </c>
      <c r="C393" t="inlineStr">
        <is>
          <t>HighWay</t>
        </is>
      </c>
      <c r="D393" t="inlineStr">
        <is>
          <t>HWY3_267_Box</t>
        </is>
      </c>
      <c r="E393">
        <v>1</v>
      </c>
      <c r="F393" t="inlineStr">
        <is>
          <t>공격 반복</t>
        </is>
      </c>
      <c r="G393">
        <v>5</v>
      </c>
      <c r="H393">
        <v>0</v>
      </c>
      <c r="I393">
        <v>150</v>
      </c>
      <c r="J393">
        <v>0</v>
      </c>
      <c r="K393">
        <v>0</v>
      </c>
      <c r="L393" t="inlineStr">
        <is>
          <t>차량 적 · 원본 전투/성장/코인 시스템</t>
        </is>
      </c>
      <c r="M393" t="inlineStr">
        <is>
          <t>Normal</t>
        </is>
      </c>
      <c r="N393">
        <v>0</v>
      </c>
      <c r="O393">
        <f>'밸런스 조정'!C154*'밸런스 조정'!C295*'밸런스 조정'!C148*(1+('몬스터 성장'!G6/'몬스터 성장'!F6-1)*(U393/'밸런스 조정'!C119)^'몬스터 성장'!H6)</f>
        <v>244.713901068</v>
      </c>
      <c r="P393">
        <v>0</v>
      </c>
      <c r="Q393">
        <v>0</v>
      </c>
      <c r="R393">
        <v>62</v>
      </c>
      <c r="S393" t="inlineStr">
        <is>
          <t>Box</t>
        </is>
      </c>
      <c r="T393" t="inlineStr">
        <is>
          <t>Open</t>
        </is>
      </c>
      <c r="U393">
        <v>844.6111</v>
      </c>
      <c r="V393">
        <v>2</v>
      </c>
      <c r="W393">
        <v>743.4111</v>
      </c>
      <c r="X393">
        <v>181</v>
      </c>
      <c r="Y393">
        <v>0</v>
      </c>
    </row>
    <row r="394">
      <c r="B394">
        <v>402</v>
      </c>
      <c r="C394" t="inlineStr">
        <is>
          <t>HighWay</t>
        </is>
      </c>
      <c r="D394" t="inlineStr">
        <is>
          <t>HWY3_268_OneTon</t>
        </is>
      </c>
      <c r="E394">
        <v>1</v>
      </c>
      <c r="F394" t="inlineStr">
        <is>
          <t>공격 반복</t>
        </is>
      </c>
      <c r="G394">
        <v>5</v>
      </c>
      <c r="H394">
        <v>0</v>
      </c>
      <c r="I394">
        <v>150</v>
      </c>
      <c r="J394">
        <v>0</v>
      </c>
      <c r="K394">
        <v>0</v>
      </c>
      <c r="L394" t="inlineStr">
        <is>
          <t>차량 적 · 원본 전투/성장/코인 시스템</t>
        </is>
      </c>
      <c r="M394" t="inlineStr">
        <is>
          <t>Normal</t>
        </is>
      </c>
      <c r="N394">
        <v>0</v>
      </c>
      <c r="O394">
        <f>'밸런스 조정'!C154*'밸런스 조정'!C295*'밸런스 조정'!C147*(1+('몬스터 성장'!G6/'몬스터 성장'!F6-1)*(U394/'밸런스 조정'!C119)^'몬스터 성장'!H6)</f>
        <v>204.377330244</v>
      </c>
      <c r="P394">
        <v>0</v>
      </c>
      <c r="Q394">
        <v>0</v>
      </c>
      <c r="R394">
        <v>62</v>
      </c>
      <c r="S394" t="inlineStr">
        <is>
          <t>OneTon</t>
        </is>
      </c>
      <c r="T394" t="inlineStr">
        <is>
          <t>Open</t>
        </is>
      </c>
      <c r="U394">
        <v>866.1667</v>
      </c>
      <c r="V394">
        <v>0</v>
      </c>
      <c r="W394">
        <v>764.9667</v>
      </c>
      <c r="X394">
        <v>182</v>
      </c>
      <c r="Y394">
        <v>0</v>
      </c>
    </row>
    <row r="395">
      <c r="B395">
        <v>403</v>
      </c>
      <c r="C395" t="inlineStr">
        <is>
          <t>HighWay</t>
        </is>
      </c>
      <c r="D395" t="inlineStr">
        <is>
          <t>HWY3_269_Sedan</t>
        </is>
      </c>
      <c r="E395">
        <v>1</v>
      </c>
      <c r="F395" t="inlineStr">
        <is>
          <t>공격 반복</t>
        </is>
      </c>
      <c r="G395">
        <v>5</v>
      </c>
      <c r="H395">
        <v>0</v>
      </c>
      <c r="I395">
        <v>150</v>
      </c>
      <c r="J395">
        <v>0</v>
      </c>
      <c r="K395">
        <v>0</v>
      </c>
      <c r="L395" t="inlineStr">
        <is>
          <t>차량 적 · 원본 전투/성장/코인 시스템</t>
        </is>
      </c>
      <c r="M395" t="inlineStr">
        <is>
          <t>Normal</t>
        </is>
      </c>
      <c r="N395">
        <v>0</v>
      </c>
      <c r="O395">
        <f>'밸런스 조정'!C154*'밸런스 조정'!C295*'밸런스 조정'!C145*(1+('몬스터 성장'!G6/'몬스터 성장'!F6-1)*(U395/'밸런스 조정'!C119)^'몬스터 성장'!H6)</f>
        <v>157.213330957</v>
      </c>
      <c r="P395">
        <v>0</v>
      </c>
      <c r="Q395">
        <v>0</v>
      </c>
      <c r="R395">
        <v>62</v>
      </c>
      <c r="S395" t="inlineStr">
        <is>
          <t>Sedan</t>
        </is>
      </c>
      <c r="T395" t="inlineStr">
        <is>
          <t>Open</t>
        </is>
      </c>
      <c r="U395">
        <v>866.1667</v>
      </c>
      <c r="V395">
        <v>1</v>
      </c>
      <c r="W395">
        <v>764.9667</v>
      </c>
      <c r="X395">
        <v>182</v>
      </c>
      <c r="Y395">
        <v>0</v>
      </c>
    </row>
    <row r="396">
      <c r="B396">
        <v>404</v>
      </c>
      <c r="C396" t="inlineStr">
        <is>
          <t>HighWay</t>
        </is>
      </c>
      <c r="D396" t="inlineStr">
        <is>
          <t>HWY3_270_Tanker</t>
        </is>
      </c>
      <c r="E396">
        <v>1</v>
      </c>
      <c r="F396" t="inlineStr">
        <is>
          <t>공격 반복</t>
        </is>
      </c>
      <c r="G396">
        <v>5</v>
      </c>
      <c r="H396">
        <v>0</v>
      </c>
      <c r="I396">
        <v>150</v>
      </c>
      <c r="J396">
        <v>0</v>
      </c>
      <c r="K396">
        <v>0</v>
      </c>
      <c r="L396" t="inlineStr">
        <is>
          <t>차량 적 · 원본 전투/성장/코인 시스템</t>
        </is>
      </c>
      <c r="M396" t="inlineStr">
        <is>
          <t>Normal</t>
        </is>
      </c>
      <c r="N396">
        <v>0</v>
      </c>
      <c r="O396">
        <f>'밸런스 조정'!C154*'밸런스 조정'!C295*'밸런스 조정'!C149*(1+('몬스터 성장'!G6/'몬스터 성장'!F6-1)*(U396/'밸런스 조정'!C119)^'몬스터 성장'!H6)</f>
        <v>314.426661914</v>
      </c>
      <c r="P396">
        <v>0</v>
      </c>
      <c r="Q396">
        <v>0</v>
      </c>
      <c r="R396">
        <v>124</v>
      </c>
      <c r="S396" t="inlineStr">
        <is>
          <t>Tanker</t>
        </is>
      </c>
      <c r="T396" t="inlineStr">
        <is>
          <t>Open</t>
        </is>
      </c>
      <c r="U396">
        <v>866.1667</v>
      </c>
      <c r="V396">
        <v>2</v>
      </c>
      <c r="W396">
        <v>764.9667</v>
      </c>
      <c r="X396">
        <v>182</v>
      </c>
      <c r="Y396">
        <v>0</v>
      </c>
    </row>
    <row r="397">
      <c r="B397">
        <v>405</v>
      </c>
      <c r="C397" t="inlineStr">
        <is>
          <t>HighWay</t>
        </is>
      </c>
      <c r="D397" t="inlineStr">
        <is>
          <t>HWY3_271_Box</t>
        </is>
      </c>
      <c r="E397">
        <v>1</v>
      </c>
      <c r="F397" t="inlineStr">
        <is>
          <t>공격 반복</t>
        </is>
      </c>
      <c r="G397">
        <v>5</v>
      </c>
      <c r="H397">
        <v>0</v>
      </c>
      <c r="I397">
        <v>150</v>
      </c>
      <c r="J397">
        <v>0</v>
      </c>
      <c r="K397">
        <v>0</v>
      </c>
      <c r="L397" t="inlineStr">
        <is>
          <t>차량 적 · 원본 전투/성장/코인 시스템</t>
        </is>
      </c>
      <c r="M397" t="inlineStr">
        <is>
          <t>Normal</t>
        </is>
      </c>
      <c r="N397">
        <v>0</v>
      </c>
      <c r="O397">
        <f>'밸런스 조정'!C154*'밸런스 조정'!C295*'밸런스 조정'!C148*(1+('몬스터 성장'!G6/'몬스터 성장'!F6-1)*(U397/'밸런스 조정'!C119)^'몬스터 성장'!H6)</f>
        <v>258.540774721</v>
      </c>
      <c r="P397">
        <v>0</v>
      </c>
      <c r="Q397">
        <v>0</v>
      </c>
      <c r="R397">
        <v>62</v>
      </c>
      <c r="S397" t="inlineStr">
        <is>
          <t>Box</t>
        </is>
      </c>
      <c r="T397" t="inlineStr">
        <is>
          <t>Open</t>
        </is>
      </c>
      <c r="U397">
        <v>887.7222</v>
      </c>
      <c r="V397">
        <v>0</v>
      </c>
      <c r="W397">
        <v>786.5222</v>
      </c>
      <c r="X397">
        <v>183</v>
      </c>
      <c r="Y397">
        <v>0</v>
      </c>
    </row>
    <row r="398">
      <c r="B398">
        <v>406</v>
      </c>
      <c r="C398" t="inlineStr">
        <is>
          <t>HighWay</t>
        </is>
      </c>
      <c r="D398" t="inlineStr">
        <is>
          <t>HWY3_272_Taxi</t>
        </is>
      </c>
      <c r="E398">
        <v>1</v>
      </c>
      <c r="F398" t="inlineStr">
        <is>
          <t>공격 반복</t>
        </is>
      </c>
      <c r="G398">
        <v>5</v>
      </c>
      <c r="H398">
        <v>0</v>
      </c>
      <c r="I398">
        <v>150</v>
      </c>
      <c r="J398">
        <v>0</v>
      </c>
      <c r="K398">
        <v>0</v>
      </c>
      <c r="L398" t="inlineStr">
        <is>
          <t>차량 적 · 원본 전투/성장/코인 시스템</t>
        </is>
      </c>
      <c r="M398" t="inlineStr">
        <is>
          <t>Normal</t>
        </is>
      </c>
      <c r="N398">
        <v>0</v>
      </c>
      <c r="O398">
        <f>'밸런스 조정'!C154*'밸런스 조정'!C295*'밸런스 조정'!C146*(1+('몬스터 성장'!G6/'몬스터 성장'!F6-1)*(U398/'밸런스 조정'!C119)^'몬스터 성장'!H6)</f>
        <v>161.587984201</v>
      </c>
      <c r="P398">
        <v>0</v>
      </c>
      <c r="Q398">
        <v>0</v>
      </c>
      <c r="R398">
        <v>62</v>
      </c>
      <c r="S398" t="inlineStr">
        <is>
          <t>Taxi</t>
        </is>
      </c>
      <c r="T398" t="inlineStr">
        <is>
          <t>Open</t>
        </is>
      </c>
      <c r="U398">
        <v>887.7222</v>
      </c>
      <c r="V398">
        <v>1</v>
      </c>
      <c r="W398">
        <v>786.5222</v>
      </c>
      <c r="X398">
        <v>183</v>
      </c>
      <c r="Y398">
        <v>0</v>
      </c>
    </row>
    <row r="399">
      <c r="B399">
        <v>407</v>
      </c>
      <c r="C399" t="inlineStr">
        <is>
          <t>HighWay</t>
        </is>
      </c>
      <c r="D399" t="inlineStr">
        <is>
          <t>HWY3_273_OneTon</t>
        </is>
      </c>
      <c r="E399">
        <v>1</v>
      </c>
      <c r="F399" t="inlineStr">
        <is>
          <t>공격 반복</t>
        </is>
      </c>
      <c r="G399">
        <v>5</v>
      </c>
      <c r="H399">
        <v>0</v>
      </c>
      <c r="I399">
        <v>150</v>
      </c>
      <c r="J399">
        <v>0</v>
      </c>
      <c r="K399">
        <v>0</v>
      </c>
      <c r="L399" t="inlineStr">
        <is>
          <t>차량 적 · 원본 전투/성장/코인 시스템</t>
        </is>
      </c>
      <c r="M399" t="inlineStr">
        <is>
          <t>Normal</t>
        </is>
      </c>
      <c r="N399">
        <v>0</v>
      </c>
      <c r="O399">
        <f>'밸런스 조정'!C154*'밸런스 조정'!C295*'밸런스 조정'!C147*(1+('몬스터 성장'!G6/'몬스터 성장'!F6-1)*(U399/'밸런스 조정'!C119)^'몬스터 성장'!H6)</f>
        <v>210.064379461</v>
      </c>
      <c r="P399">
        <v>0</v>
      </c>
      <c r="Q399">
        <v>0</v>
      </c>
      <c r="R399">
        <v>62</v>
      </c>
      <c r="S399" t="inlineStr">
        <is>
          <t>OneTon</t>
        </is>
      </c>
      <c r="T399" t="inlineStr">
        <is>
          <t>Open</t>
        </is>
      </c>
      <c r="U399">
        <v>887.7222</v>
      </c>
      <c r="V399">
        <v>2</v>
      </c>
      <c r="W399">
        <v>786.5222</v>
      </c>
      <c r="X399">
        <v>183</v>
      </c>
      <c r="Y399">
        <v>0</v>
      </c>
    </row>
    <row r="400">
      <c r="B400">
        <v>408</v>
      </c>
      <c r="C400" t="inlineStr">
        <is>
          <t>HighWay</t>
        </is>
      </c>
      <c r="D400" t="inlineStr">
        <is>
          <t>HWY3_274_Tanker</t>
        </is>
      </c>
      <c r="E400">
        <v>1</v>
      </c>
      <c r="F400" t="inlineStr">
        <is>
          <t>공격 반복</t>
        </is>
      </c>
      <c r="G400">
        <v>5</v>
      </c>
      <c r="H400">
        <v>0</v>
      </c>
      <c r="I400">
        <v>150</v>
      </c>
      <c r="J400">
        <v>0</v>
      </c>
      <c r="K400">
        <v>0</v>
      </c>
      <c r="L400" t="inlineStr">
        <is>
          <t>차량 적 · 원본 전투/성장/코인 시스템</t>
        </is>
      </c>
      <c r="M400" t="inlineStr">
        <is>
          <t>Normal</t>
        </is>
      </c>
      <c r="N400">
        <v>0</v>
      </c>
      <c r="O400">
        <f>'밸런스 조정'!C154*'밸런스 조정'!C295*'밸런스 조정'!C149*(1+('몬스터 성장'!G6/'몬스터 성장'!F6-1)*(U400/'밸런스 조정'!C119)^'몬스터 성장'!H6)</f>
        <v>332.140376979</v>
      </c>
      <c r="P400">
        <v>0</v>
      </c>
      <c r="Q400">
        <v>0</v>
      </c>
      <c r="R400">
        <v>124</v>
      </c>
      <c r="S400" t="inlineStr">
        <is>
          <t>Tanker</t>
        </is>
      </c>
      <c r="T400" t="inlineStr">
        <is>
          <t>Open</t>
        </is>
      </c>
      <c r="U400">
        <v>909.2778</v>
      </c>
      <c r="V400">
        <v>0</v>
      </c>
      <c r="W400">
        <v>808.0778</v>
      </c>
      <c r="X400">
        <v>184</v>
      </c>
      <c r="Y400">
        <v>0</v>
      </c>
    </row>
    <row r="401">
      <c r="B401">
        <v>409</v>
      </c>
      <c r="C401" t="inlineStr">
        <is>
          <t>HighWay</t>
        </is>
      </c>
      <c r="D401" t="inlineStr">
        <is>
          <t>HWY3_275_Sedan</t>
        </is>
      </c>
      <c r="E401">
        <v>1</v>
      </c>
      <c r="F401" t="inlineStr">
        <is>
          <t>공격 반복</t>
        </is>
      </c>
      <c r="G401">
        <v>5</v>
      </c>
      <c r="H401">
        <v>0</v>
      </c>
      <c r="I401">
        <v>150</v>
      </c>
      <c r="J401">
        <v>0</v>
      </c>
      <c r="K401">
        <v>0</v>
      </c>
      <c r="L401" t="inlineStr">
        <is>
          <t>차량 적 · 원본 전투/성장/코인 시스템</t>
        </is>
      </c>
      <c r="M401" t="inlineStr">
        <is>
          <t>Normal</t>
        </is>
      </c>
      <c r="N401">
        <v>0</v>
      </c>
      <c r="O401">
        <f>'밸런스 조정'!C154*'밸런스 조정'!C295*'밸런스 조정'!C145*(1+('몬스터 성장'!G6/'몬스터 성장'!F6-1)*(U401/'밸런스 조정'!C119)^'몬스터 성장'!H6)</f>
        <v>166.07018849</v>
      </c>
      <c r="P401">
        <v>0</v>
      </c>
      <c r="Q401">
        <v>0</v>
      </c>
      <c r="R401">
        <v>62</v>
      </c>
      <c r="S401" t="inlineStr">
        <is>
          <t>Sedan</t>
        </is>
      </c>
      <c r="T401" t="inlineStr">
        <is>
          <t>Open</t>
        </is>
      </c>
      <c r="U401">
        <v>909.2778</v>
      </c>
      <c r="V401">
        <v>1</v>
      </c>
      <c r="W401">
        <v>808.0778</v>
      </c>
      <c r="X401">
        <v>184</v>
      </c>
      <c r="Y401">
        <v>0</v>
      </c>
    </row>
    <row r="402">
      <c r="B402">
        <v>410</v>
      </c>
      <c r="C402" t="inlineStr">
        <is>
          <t>HighWay</t>
        </is>
      </c>
      <c r="D402" t="inlineStr">
        <is>
          <t>HWY3_276_Box</t>
        </is>
      </c>
      <c r="E402">
        <v>1</v>
      </c>
      <c r="F402" t="inlineStr">
        <is>
          <t>공격 반복</t>
        </is>
      </c>
      <c r="G402">
        <v>5</v>
      </c>
      <c r="H402">
        <v>0</v>
      </c>
      <c r="I402">
        <v>150</v>
      </c>
      <c r="J402">
        <v>0</v>
      </c>
      <c r="K402">
        <v>0</v>
      </c>
      <c r="L402" t="inlineStr">
        <is>
          <t>차량 적 · 원본 전투/성장/코인 시스템</t>
        </is>
      </c>
      <c r="M402" t="inlineStr">
        <is>
          <t>Normal</t>
        </is>
      </c>
      <c r="N402">
        <v>0</v>
      </c>
      <c r="O402">
        <f>'밸런스 조정'!C154*'밸런스 조정'!C295*'밸런스 조정'!C148*(1+('몬스터 성장'!G6/'몬스터 성장'!F6-1)*(U402/'밸런스 조정'!C119)^'몬스터 성장'!H6)</f>
        <v>265.712301584</v>
      </c>
      <c r="P402">
        <v>0</v>
      </c>
      <c r="Q402">
        <v>0</v>
      </c>
      <c r="R402">
        <v>62</v>
      </c>
      <c r="S402" t="inlineStr">
        <is>
          <t>Box</t>
        </is>
      </c>
      <c r="T402" t="inlineStr">
        <is>
          <t>Open</t>
        </is>
      </c>
      <c r="U402">
        <v>909.2778</v>
      </c>
      <c r="V402">
        <v>2</v>
      </c>
      <c r="W402">
        <v>808.0778</v>
      </c>
      <c r="X402">
        <v>184</v>
      </c>
      <c r="Y402">
        <v>0</v>
      </c>
    </row>
    <row r="403">
      <c r="B403">
        <v>411</v>
      </c>
      <c r="C403" t="inlineStr">
        <is>
          <t>HighWay</t>
        </is>
      </c>
      <c r="D403" t="inlineStr">
        <is>
          <t>HWY3_277_OneTon</t>
        </is>
      </c>
      <c r="E403">
        <v>1</v>
      </c>
      <c r="F403" t="inlineStr">
        <is>
          <t>공격 반복</t>
        </is>
      </c>
      <c r="G403">
        <v>5</v>
      </c>
      <c r="H403">
        <v>0</v>
      </c>
      <c r="I403">
        <v>150</v>
      </c>
      <c r="J403">
        <v>0</v>
      </c>
      <c r="K403">
        <v>0</v>
      </c>
      <c r="L403" t="inlineStr">
        <is>
          <t>차량 적 · 원본 전투/성장/코인 시스템</t>
        </is>
      </c>
      <c r="M403" t="inlineStr">
        <is>
          <t>Normal</t>
        </is>
      </c>
      <c r="N403">
        <v>0</v>
      </c>
      <c r="O403">
        <f>'밸런스 조정'!C154*'밸런스 조정'!C295*'밸런스 조정'!C147*(1+('몬스터 성장'!G6/'몬스터 성장'!F6-1)*(U403/'밸런스 조정'!C119)^'몬스터 성장'!H6)</f>
        <v>221.857872906</v>
      </c>
      <c r="P403">
        <v>0</v>
      </c>
      <c r="Q403">
        <v>0</v>
      </c>
      <c r="R403">
        <v>62</v>
      </c>
      <c r="S403" t="inlineStr">
        <is>
          <t>OneTon</t>
        </is>
      </c>
      <c r="T403" t="inlineStr">
        <is>
          <t>Open</t>
        </is>
      </c>
      <c r="U403">
        <v>930.8333</v>
      </c>
      <c r="V403">
        <v>0</v>
      </c>
      <c r="W403">
        <v>829.6333</v>
      </c>
      <c r="X403">
        <v>185</v>
      </c>
      <c r="Y403">
        <v>0</v>
      </c>
    </row>
    <row r="404">
      <c r="B404">
        <v>412</v>
      </c>
      <c r="C404" t="inlineStr">
        <is>
          <t>HighWay</t>
        </is>
      </c>
      <c r="D404" t="inlineStr">
        <is>
          <t>HWY3_278_Box</t>
        </is>
      </c>
      <c r="E404">
        <v>1</v>
      </c>
      <c r="F404" t="inlineStr">
        <is>
          <t>공격 반복</t>
        </is>
      </c>
      <c r="G404">
        <v>5</v>
      </c>
      <c r="H404">
        <v>0</v>
      </c>
      <c r="I404">
        <v>150</v>
      </c>
      <c r="J404">
        <v>0</v>
      </c>
      <c r="K404">
        <v>0</v>
      </c>
      <c r="L404" t="inlineStr">
        <is>
          <t>차량 적 · 원본 전투/성장/코인 시스템</t>
        </is>
      </c>
      <c r="M404" t="inlineStr">
        <is>
          <t>Normal</t>
        </is>
      </c>
      <c r="N404">
        <v>0</v>
      </c>
      <c r="O404">
        <f>'밸런스 조정'!C154*'밸런스 조정'!C295*'밸런스 조정'!C148*(1+('몬스터 성장'!G6/'몬스터 성장'!F6-1)*(U404/'밸런스 조정'!C119)^'몬스터 성장'!H6)</f>
        <v>273.055843577</v>
      </c>
      <c r="P404">
        <v>0</v>
      </c>
      <c r="Q404">
        <v>0</v>
      </c>
      <c r="R404">
        <v>62</v>
      </c>
      <c r="S404" t="inlineStr">
        <is>
          <t>Box</t>
        </is>
      </c>
      <c r="T404" t="inlineStr">
        <is>
          <t>Open</t>
        </is>
      </c>
      <c r="U404">
        <v>930.8333</v>
      </c>
      <c r="V404">
        <v>1</v>
      </c>
      <c r="W404">
        <v>829.6333</v>
      </c>
      <c r="X404">
        <v>185</v>
      </c>
      <c r="Y404">
        <v>0</v>
      </c>
    </row>
    <row r="405">
      <c r="B405">
        <v>413</v>
      </c>
      <c r="C405" t="inlineStr">
        <is>
          <t>HighWay</t>
        </is>
      </c>
      <c r="D405" t="inlineStr">
        <is>
          <t>HWY3_279_Taxi</t>
        </is>
      </c>
      <c r="E405">
        <v>1</v>
      </c>
      <c r="F405" t="inlineStr">
        <is>
          <t>공격 반복</t>
        </is>
      </c>
      <c r="G405">
        <v>5</v>
      </c>
      <c r="H405">
        <v>0</v>
      </c>
      <c r="I405">
        <v>150</v>
      </c>
      <c r="J405">
        <v>0</v>
      </c>
      <c r="K405">
        <v>0</v>
      </c>
      <c r="L405" t="inlineStr">
        <is>
          <t>차량 적 · 원본 전투/성장/코인 시스템</t>
        </is>
      </c>
      <c r="M405" t="inlineStr">
        <is>
          <t>Normal</t>
        </is>
      </c>
      <c r="N405">
        <v>0</v>
      </c>
      <c r="O405">
        <f>'밸런스 조정'!C154*'밸런스 조정'!C295*'밸런스 조정'!C146*(1+('몬스터 성장'!G6/'몬스터 성장'!F6-1)*(U405/'밸런스 조정'!C119)^'몬스터 성장'!H6)</f>
        <v>170.659902236</v>
      </c>
      <c r="P405">
        <v>0</v>
      </c>
      <c r="Q405">
        <v>0</v>
      </c>
      <c r="R405">
        <v>62</v>
      </c>
      <c r="S405" t="inlineStr">
        <is>
          <t>Taxi</t>
        </is>
      </c>
      <c r="T405" t="inlineStr">
        <is>
          <t>Open</t>
        </is>
      </c>
      <c r="U405">
        <v>930.8333</v>
      </c>
      <c r="V405">
        <v>2</v>
      </c>
      <c r="W405">
        <v>829.6333</v>
      </c>
      <c r="X405">
        <v>185</v>
      </c>
      <c r="Y405">
        <v>0</v>
      </c>
    </row>
    <row r="406">
      <c r="B406">
        <v>414</v>
      </c>
      <c r="C406" t="inlineStr">
        <is>
          <t>HighWay</t>
        </is>
      </c>
      <c r="D406" t="inlineStr">
        <is>
          <t>HWY3_280_Box</t>
        </is>
      </c>
      <c r="E406">
        <v>1</v>
      </c>
      <c r="F406" t="inlineStr">
        <is>
          <t>공격 반복</t>
        </is>
      </c>
      <c r="G406">
        <v>5</v>
      </c>
      <c r="H406">
        <v>0</v>
      </c>
      <c r="I406">
        <v>150</v>
      </c>
      <c r="J406">
        <v>0</v>
      </c>
      <c r="K406">
        <v>0</v>
      </c>
      <c r="L406" t="inlineStr">
        <is>
          <t>차량 적 · 원본 전투/성장/코인 시스템</t>
        </is>
      </c>
      <c r="M406" t="inlineStr">
        <is>
          <t>Normal</t>
        </is>
      </c>
      <c r="N406">
        <v>0</v>
      </c>
      <c r="O406">
        <f>'밸런스 조정'!C154*'밸런스 조정'!C295*'밸런스 조정'!C148*(1+('몬스터 성장'!G6/'몬스터 성장'!F6-1)*(U406/'밸런스 조정'!C119)^'몬스터 성장'!H6)</f>
        <v>280.571468838</v>
      </c>
      <c r="P406">
        <v>0</v>
      </c>
      <c r="Q406">
        <v>0</v>
      </c>
      <c r="R406">
        <v>62</v>
      </c>
      <c r="S406" t="inlineStr">
        <is>
          <t>Box</t>
        </is>
      </c>
      <c r="T406" t="inlineStr">
        <is>
          <t>Open</t>
        </is>
      </c>
      <c r="U406">
        <v>952.3889</v>
      </c>
      <c r="V406">
        <v>0</v>
      </c>
      <c r="W406">
        <v>851.1889</v>
      </c>
      <c r="X406">
        <v>186</v>
      </c>
      <c r="Y406">
        <v>0</v>
      </c>
    </row>
    <row r="407">
      <c r="B407">
        <v>415</v>
      </c>
      <c r="C407" t="inlineStr">
        <is>
          <t>HighWay</t>
        </is>
      </c>
      <c r="D407" t="inlineStr">
        <is>
          <t>HWY3_281_Tanker</t>
        </is>
      </c>
      <c r="E407">
        <v>1</v>
      </c>
      <c r="F407" t="inlineStr">
        <is>
          <t>공격 반복</t>
        </is>
      </c>
      <c r="G407">
        <v>5</v>
      </c>
      <c r="H407">
        <v>0</v>
      </c>
      <c r="I407">
        <v>150</v>
      </c>
      <c r="J407">
        <v>0</v>
      </c>
      <c r="K407">
        <v>0</v>
      </c>
      <c r="L407" t="inlineStr">
        <is>
          <t>차량 적 · 원본 전투/성장/코인 시스템</t>
        </is>
      </c>
      <c r="M407" t="inlineStr">
        <is>
          <t>Normal</t>
        </is>
      </c>
      <c r="N407">
        <v>0</v>
      </c>
      <c r="O407">
        <f>'밸런스 조정'!C154*'밸런스 조정'!C295*'밸런스 조정'!C149*(1+('몬스터 성장'!G6/'몬스터 성장'!F6-1)*(U407/'밸런스 조정'!C119)^'몬스터 성장'!H6)</f>
        <v>350.714336048</v>
      </c>
      <c r="P407">
        <v>0</v>
      </c>
      <c r="Q407">
        <v>0</v>
      </c>
      <c r="R407">
        <v>124</v>
      </c>
      <c r="S407" t="inlineStr">
        <is>
          <t>Tanker</t>
        </is>
      </c>
      <c r="T407" t="inlineStr">
        <is>
          <t>Open</t>
        </is>
      </c>
      <c r="U407">
        <v>952.3889</v>
      </c>
      <c r="V407">
        <v>1</v>
      </c>
      <c r="W407">
        <v>851.1889</v>
      </c>
      <c r="X407">
        <v>186</v>
      </c>
      <c r="Y407">
        <v>0</v>
      </c>
    </row>
    <row r="408">
      <c r="B408">
        <v>416</v>
      </c>
      <c r="C408" t="inlineStr">
        <is>
          <t>HighWay</t>
        </is>
      </c>
      <c r="D408" t="inlineStr">
        <is>
          <t>HWY3_282_Sedan</t>
        </is>
      </c>
      <c r="E408">
        <v>1</v>
      </c>
      <c r="F408" t="inlineStr">
        <is>
          <t>공격 반복</t>
        </is>
      </c>
      <c r="G408">
        <v>5</v>
      </c>
      <c r="H408">
        <v>0</v>
      </c>
      <c r="I408">
        <v>150</v>
      </c>
      <c r="J408">
        <v>0</v>
      </c>
      <c r="K408">
        <v>0</v>
      </c>
      <c r="L408" t="inlineStr">
        <is>
          <t>차량 적 · 원본 전투/성장/코인 시스템</t>
        </is>
      </c>
      <c r="M408" t="inlineStr">
        <is>
          <t>Normal</t>
        </is>
      </c>
      <c r="N408">
        <v>0</v>
      </c>
      <c r="O408">
        <f>'밸런스 조정'!C154*'밸런스 조정'!C295*'밸런스 조정'!C145*(1+('몬스터 성장'!G6/'몬스터 성장'!F6-1)*(U408/'밸런스 조정'!C119)^'몬스터 성장'!H6)</f>
        <v>175.357168024</v>
      </c>
      <c r="P408">
        <v>0</v>
      </c>
      <c r="Q408">
        <v>0</v>
      </c>
      <c r="R408">
        <v>62</v>
      </c>
      <c r="S408" t="inlineStr">
        <is>
          <t>Sedan</t>
        </is>
      </c>
      <c r="T408" t="inlineStr">
        <is>
          <t>Open</t>
        </is>
      </c>
      <c r="U408">
        <v>952.3889</v>
      </c>
      <c r="V408">
        <v>2</v>
      </c>
      <c r="W408">
        <v>851.1889</v>
      </c>
      <c r="X408">
        <v>186</v>
      </c>
      <c r="Y408">
        <v>0</v>
      </c>
    </row>
    <row r="409">
      <c r="B409">
        <v>417</v>
      </c>
      <c r="C409" t="inlineStr">
        <is>
          <t>HighWay</t>
        </is>
      </c>
      <c r="D409" t="inlineStr">
        <is>
          <t>HWY3_283_Tanker</t>
        </is>
      </c>
      <c r="E409">
        <v>1</v>
      </c>
      <c r="F409" t="inlineStr">
        <is>
          <t>공격 반복</t>
        </is>
      </c>
      <c r="G409">
        <v>5</v>
      </c>
      <c r="H409">
        <v>0</v>
      </c>
      <c r="I409">
        <v>150</v>
      </c>
      <c r="J409">
        <v>0</v>
      </c>
      <c r="K409">
        <v>0</v>
      </c>
      <c r="L409" t="inlineStr">
        <is>
          <t>차량 적 · 원본 전투/성장/코인 시스템</t>
        </is>
      </c>
      <c r="M409" t="inlineStr">
        <is>
          <t>Normal</t>
        </is>
      </c>
      <c r="N409">
        <v>0</v>
      </c>
      <c r="O409">
        <f>'밸런스 조정'!C154*'밸런스 조정'!C295*'밸런스 조정'!C149*(1+('몬스터 성장'!G6/'몬스터 성장'!F6-1)*(U409/'밸런스 조정'!C119)^'몬스터 성장'!H6)</f>
        <v>360.323884543</v>
      </c>
      <c r="P409">
        <v>0</v>
      </c>
      <c r="Q409">
        <v>0</v>
      </c>
      <c r="R409">
        <v>124</v>
      </c>
      <c r="S409" t="inlineStr">
        <is>
          <t>Tanker</t>
        </is>
      </c>
      <c r="T409" t="inlineStr">
        <is>
          <t>Open</t>
        </is>
      </c>
      <c r="U409">
        <v>973.9444</v>
      </c>
      <c r="V409">
        <v>0</v>
      </c>
      <c r="W409">
        <v>872.7444</v>
      </c>
      <c r="X409">
        <v>187</v>
      </c>
      <c r="Y409">
        <v>0</v>
      </c>
    </row>
    <row r="410">
      <c r="B410">
        <v>418</v>
      </c>
      <c r="C410" t="inlineStr">
        <is>
          <t>HighWay</t>
        </is>
      </c>
      <c r="D410" t="inlineStr">
        <is>
          <t>HWY3_284_OneTon</t>
        </is>
      </c>
      <c r="E410">
        <v>1</v>
      </c>
      <c r="F410" t="inlineStr">
        <is>
          <t>공격 반복</t>
        </is>
      </c>
      <c r="G410">
        <v>5</v>
      </c>
      <c r="H410">
        <v>0</v>
      </c>
      <c r="I410">
        <v>150</v>
      </c>
      <c r="J410">
        <v>0</v>
      </c>
      <c r="K410">
        <v>0</v>
      </c>
      <c r="L410" t="inlineStr">
        <is>
          <t>차량 적 · 원본 전투/성장/코인 시스템</t>
        </is>
      </c>
      <c r="M410" t="inlineStr">
        <is>
          <t>Normal</t>
        </is>
      </c>
      <c r="N410">
        <v>0</v>
      </c>
      <c r="O410">
        <f>'밸런스 조정'!C154*'밸런스 조정'!C295*'밸런스 조정'!C147*(1+('몬스터 성장'!G6/'몬스터 성장'!F6-1)*(U410/'밸런스 조정'!C119)^'몬스터 성장'!H6)</f>
        <v>234.210524953</v>
      </c>
      <c r="P410">
        <v>0</v>
      </c>
      <c r="Q410">
        <v>0</v>
      </c>
      <c r="R410">
        <v>62</v>
      </c>
      <c r="S410" t="inlineStr">
        <is>
          <t>OneTon</t>
        </is>
      </c>
      <c r="T410" t="inlineStr">
        <is>
          <t>Open</t>
        </is>
      </c>
      <c r="U410">
        <v>973.9444</v>
      </c>
      <c r="V410">
        <v>1</v>
      </c>
      <c r="W410">
        <v>872.7444</v>
      </c>
      <c r="X410">
        <v>187</v>
      </c>
      <c r="Y410">
        <v>0</v>
      </c>
    </row>
    <row r="411">
      <c r="B411">
        <v>419</v>
      </c>
      <c r="C411" t="inlineStr">
        <is>
          <t>HighWay</t>
        </is>
      </c>
      <c r="D411" t="inlineStr">
        <is>
          <t>HWY3_285_Taxi</t>
        </is>
      </c>
      <c r="E411">
        <v>1</v>
      </c>
      <c r="F411" t="inlineStr">
        <is>
          <t>공격 반복</t>
        </is>
      </c>
      <c r="G411">
        <v>5</v>
      </c>
      <c r="H411">
        <v>0</v>
      </c>
      <c r="I411">
        <v>150</v>
      </c>
      <c r="J411">
        <v>0</v>
      </c>
      <c r="K411">
        <v>0</v>
      </c>
      <c r="L411" t="inlineStr">
        <is>
          <t>차량 적 · 원본 전투/성장/코인 시스템</t>
        </is>
      </c>
      <c r="M411" t="inlineStr">
        <is>
          <t>Normal</t>
        </is>
      </c>
      <c r="N411">
        <v>0</v>
      </c>
      <c r="O411">
        <f>'밸런스 조정'!C154*'밸런스 조정'!C295*'밸런스 조정'!C146*(1+('몬스터 성장'!G6/'몬스터 성장'!F6-1)*(U411/'밸런스 조정'!C119)^'몬스터 성장'!H6)</f>
        <v>180.161942272</v>
      </c>
      <c r="P411">
        <v>0</v>
      </c>
      <c r="Q411">
        <v>0</v>
      </c>
      <c r="R411">
        <v>62</v>
      </c>
      <c r="S411" t="inlineStr">
        <is>
          <t>Taxi</t>
        </is>
      </c>
      <c r="T411" t="inlineStr">
        <is>
          <t>Open</t>
        </is>
      </c>
      <c r="U411">
        <v>973.9444</v>
      </c>
      <c r="V411">
        <v>2</v>
      </c>
      <c r="W411">
        <v>872.7444</v>
      </c>
      <c r="X411">
        <v>187</v>
      </c>
      <c r="Y411">
        <v>0</v>
      </c>
    </row>
    <row r="412">
      <c r="B412">
        <v>420</v>
      </c>
      <c r="C412" t="inlineStr">
        <is>
          <t>HighWay</t>
        </is>
      </c>
      <c r="D412" t="inlineStr">
        <is>
          <t>HWY3_286_Sedan</t>
        </is>
      </c>
      <c r="E412">
        <v>1</v>
      </c>
      <c r="F412" t="inlineStr">
        <is>
          <t>공격 반복</t>
        </is>
      </c>
      <c r="G412">
        <v>5</v>
      </c>
      <c r="H412">
        <v>0</v>
      </c>
      <c r="I412">
        <v>150</v>
      </c>
      <c r="J412">
        <v>0</v>
      </c>
      <c r="K412">
        <v>0</v>
      </c>
      <c r="L412" t="inlineStr">
        <is>
          <t>차량 적 · 원본 전투/성장/코인 시스템</t>
        </is>
      </c>
      <c r="M412" t="inlineStr">
        <is>
          <t>Normal</t>
        </is>
      </c>
      <c r="N412">
        <v>0</v>
      </c>
      <c r="O412">
        <f>'밸런스 조정'!C154*'밸런스 조정'!C295*'밸런스 조정'!C145*(1+('몬스터 성장'!G6/'몬스터 성장'!F6-1)*(U412/'밸런스 조정'!C119)^'몬스터 성장'!H6)</f>
        <v>185.07426956</v>
      </c>
      <c r="P412">
        <v>0</v>
      </c>
      <c r="Q412">
        <v>0</v>
      </c>
      <c r="R412">
        <v>62</v>
      </c>
      <c r="S412" t="inlineStr">
        <is>
          <t>Sedan</t>
        </is>
      </c>
      <c r="T412" t="inlineStr">
        <is>
          <t>Open</t>
        </is>
      </c>
      <c r="U412">
        <v>995.5</v>
      </c>
      <c r="V412">
        <v>0</v>
      </c>
      <c r="W412">
        <v>894.3</v>
      </c>
      <c r="X412">
        <v>188</v>
      </c>
      <c r="Y412">
        <v>0</v>
      </c>
    </row>
    <row r="413">
      <c r="B413">
        <v>421</v>
      </c>
      <c r="C413" t="inlineStr">
        <is>
          <t>HighWay</t>
        </is>
      </c>
      <c r="D413" t="inlineStr">
        <is>
          <t>HWY3_287_Box</t>
        </is>
      </c>
      <c r="E413">
        <v>1</v>
      </c>
      <c r="F413" t="inlineStr">
        <is>
          <t>공격 반복</t>
        </is>
      </c>
      <c r="G413">
        <v>5</v>
      </c>
      <c r="H413">
        <v>0</v>
      </c>
      <c r="I413">
        <v>150</v>
      </c>
      <c r="J413">
        <v>0</v>
      </c>
      <c r="K413">
        <v>0</v>
      </c>
      <c r="L413" t="inlineStr">
        <is>
          <t>차량 적 · 원본 전투/성장/코인 시스템</t>
        </is>
      </c>
      <c r="M413" t="inlineStr">
        <is>
          <t>Normal</t>
        </is>
      </c>
      <c r="N413">
        <v>0</v>
      </c>
      <c r="O413">
        <f>'밸런스 조정'!C154*'밸런스 조정'!C295*'밸런스 조정'!C148*(1+('몬스터 성장'!G6/'몬스터 성장'!F6-1)*(U413/'밸런스 조정'!C119)^'몬스터 성장'!H6)</f>
        <v>296.118831295</v>
      </c>
      <c r="P413">
        <v>0</v>
      </c>
      <c r="Q413">
        <v>0</v>
      </c>
      <c r="R413">
        <v>62</v>
      </c>
      <c r="S413" t="inlineStr">
        <is>
          <t>Box</t>
        </is>
      </c>
      <c r="T413" t="inlineStr">
        <is>
          <t>Open</t>
        </is>
      </c>
      <c r="U413">
        <v>995.5</v>
      </c>
      <c r="V413">
        <v>1</v>
      </c>
      <c r="W413">
        <v>894.3</v>
      </c>
      <c r="X413">
        <v>188</v>
      </c>
      <c r="Y413">
        <v>0</v>
      </c>
    </row>
    <row r="414">
      <c r="B414">
        <v>422</v>
      </c>
      <c r="C414" t="inlineStr">
        <is>
          <t>HighWay</t>
        </is>
      </c>
      <c r="D414" t="inlineStr">
        <is>
          <t>HWY3_288_Tanker</t>
        </is>
      </c>
      <c r="E414">
        <v>1</v>
      </c>
      <c r="F414" t="inlineStr">
        <is>
          <t>공격 반복</t>
        </is>
      </c>
      <c r="G414">
        <v>5</v>
      </c>
      <c r="H414">
        <v>0</v>
      </c>
      <c r="I414">
        <v>150</v>
      </c>
      <c r="J414">
        <v>0</v>
      </c>
      <c r="K414">
        <v>0</v>
      </c>
      <c r="L414" t="inlineStr">
        <is>
          <t>차량 적 · 원본 전투/성장/코인 시스템</t>
        </is>
      </c>
      <c r="M414" t="inlineStr">
        <is>
          <t>Normal</t>
        </is>
      </c>
      <c r="N414">
        <v>0</v>
      </c>
      <c r="O414">
        <f>'밸런스 조정'!C154*'밸런스 조정'!C295*'밸런스 조정'!C149*(1+('몬스터 성장'!G6/'몬스터 성장'!F6-1)*(U414/'밸런스 조정'!C119)^'몬스터 성장'!H6)</f>
        <v>370.148539119</v>
      </c>
      <c r="P414">
        <v>0</v>
      </c>
      <c r="Q414">
        <v>0</v>
      </c>
      <c r="R414">
        <v>124</v>
      </c>
      <c r="S414" t="inlineStr">
        <is>
          <t>Tanker</t>
        </is>
      </c>
      <c r="T414" t="inlineStr">
        <is>
          <t>Open</t>
        </is>
      </c>
      <c r="U414">
        <v>995.5</v>
      </c>
      <c r="V414">
        <v>2</v>
      </c>
      <c r="W414">
        <v>894.3</v>
      </c>
      <c r="X414">
        <v>188</v>
      </c>
      <c r="Y414">
        <v>0</v>
      </c>
    </row>
    <row r="415">
      <c r="B415">
        <v>423</v>
      </c>
      <c r="C415" t="inlineStr">
        <is>
          <t>HighWay</t>
        </is>
      </c>
      <c r="D415" t="inlineStr">
        <is>
          <t>HWY3_289_Taxi</t>
        </is>
      </c>
      <c r="E415">
        <v>1</v>
      </c>
      <c r="F415" t="inlineStr">
        <is>
          <t>공격 반복</t>
        </is>
      </c>
      <c r="G415">
        <v>5</v>
      </c>
      <c r="H415">
        <v>0</v>
      </c>
      <c r="I415">
        <v>150</v>
      </c>
      <c r="J415">
        <v>0</v>
      </c>
      <c r="K415">
        <v>0</v>
      </c>
      <c r="L415" t="inlineStr">
        <is>
          <t>차량 적 · 원본 전투/성장/코인 시스템</t>
        </is>
      </c>
      <c r="M415" t="inlineStr">
        <is>
          <t>Normal</t>
        </is>
      </c>
      <c r="N415">
        <v>0</v>
      </c>
      <c r="O415">
        <f>'밸런스 조정'!C154*'밸런스 조정'!C295*'밸런스 조정'!C146*(1+('몬스터 성장'!G6/'몬스터 성장'!F6-1)*(U415/'밸런스 조정'!C119)^'몬스터 성장'!H6)</f>
        <v>190.094127846</v>
      </c>
      <c r="P415">
        <v>0</v>
      </c>
      <c r="Q415">
        <v>0</v>
      </c>
      <c r="R415">
        <v>62</v>
      </c>
      <c r="S415" t="inlineStr">
        <is>
          <t>Taxi</t>
        </is>
      </c>
      <c r="T415" t="inlineStr">
        <is>
          <t>Open</t>
        </is>
      </c>
      <c r="U415">
        <v>1017.0556</v>
      </c>
      <c r="V415">
        <v>0</v>
      </c>
      <c r="W415">
        <v>915.8556</v>
      </c>
      <c r="X415">
        <v>189</v>
      </c>
      <c r="Y415">
        <v>0</v>
      </c>
    </row>
    <row r="416">
      <c r="B416">
        <v>424</v>
      </c>
      <c r="C416" t="inlineStr">
        <is>
          <t>HighWay</t>
        </is>
      </c>
      <c r="D416" t="inlineStr">
        <is>
          <t>HWY3_290_Tanker</t>
        </is>
      </c>
      <c r="E416">
        <v>1</v>
      </c>
      <c r="F416" t="inlineStr">
        <is>
          <t>공격 반복</t>
        </is>
      </c>
      <c r="G416">
        <v>5</v>
      </c>
      <c r="H416">
        <v>0</v>
      </c>
      <c r="I416">
        <v>150</v>
      </c>
      <c r="J416">
        <v>0</v>
      </c>
      <c r="K416">
        <v>0</v>
      </c>
      <c r="L416" t="inlineStr">
        <is>
          <t>차량 적 · 원본 전투/성장/코인 시스템</t>
        </is>
      </c>
      <c r="M416" t="inlineStr">
        <is>
          <t>Normal</t>
        </is>
      </c>
      <c r="N416">
        <v>0</v>
      </c>
      <c r="O416">
        <f>'밸런스 조정'!C154*'밸런스 조정'!C295*'밸런스 조정'!C149*(1+('몬스터 성장'!G6/'몬스터 성장'!F6-1)*(U416/'밸런스 조정'!C119)^'몬스터 성장'!H6)</f>
        <v>380.188255693</v>
      </c>
      <c r="P416">
        <v>0</v>
      </c>
      <c r="Q416">
        <v>0</v>
      </c>
      <c r="R416">
        <v>124</v>
      </c>
      <c r="S416" t="inlineStr">
        <is>
          <t>Tanker</t>
        </is>
      </c>
      <c r="T416" t="inlineStr">
        <is>
          <t>Open</t>
        </is>
      </c>
      <c r="U416">
        <v>1017.0556</v>
      </c>
      <c r="V416">
        <v>1</v>
      </c>
      <c r="W416">
        <v>915.8556</v>
      </c>
      <c r="X416">
        <v>189</v>
      </c>
      <c r="Y416">
        <v>0</v>
      </c>
    </row>
    <row r="417">
      <c r="B417">
        <v>425</v>
      </c>
      <c r="C417" t="inlineStr">
        <is>
          <t>HighWay</t>
        </is>
      </c>
      <c r="D417" t="inlineStr">
        <is>
          <t>HWY3_291_OneTon</t>
        </is>
      </c>
      <c r="E417">
        <v>1</v>
      </c>
      <c r="F417" t="inlineStr">
        <is>
          <t>공격 반복</t>
        </is>
      </c>
      <c r="G417">
        <v>5</v>
      </c>
      <c r="H417">
        <v>0</v>
      </c>
      <c r="I417">
        <v>150</v>
      </c>
      <c r="J417">
        <v>0</v>
      </c>
      <c r="K417">
        <v>0</v>
      </c>
      <c r="L417" t="inlineStr">
        <is>
          <t>차량 적 · 원본 전투/성장/코인 시스템</t>
        </is>
      </c>
      <c r="M417" t="inlineStr">
        <is>
          <t>Normal</t>
        </is>
      </c>
      <c r="N417">
        <v>0</v>
      </c>
      <c r="O417">
        <f>'밸런스 조정'!C154*'밸런스 조정'!C295*'밸런스 조정'!C147*(1+('몬스터 성장'!G6/'몬스터 성장'!F6-1)*(U417/'밸런스 조정'!C119)^'몬스터 성장'!H6)</f>
        <v>247.1223662</v>
      </c>
      <c r="P417">
        <v>0</v>
      </c>
      <c r="Q417">
        <v>0</v>
      </c>
      <c r="R417">
        <v>62</v>
      </c>
      <c r="S417" t="inlineStr">
        <is>
          <t>OneTon</t>
        </is>
      </c>
      <c r="T417" t="inlineStr">
        <is>
          <t>Open</t>
        </is>
      </c>
      <c r="U417">
        <v>1017.0556</v>
      </c>
      <c r="V417">
        <v>2</v>
      </c>
      <c r="W417">
        <v>915.8556</v>
      </c>
      <c r="X417">
        <v>189</v>
      </c>
      <c r="Y417">
        <v>0</v>
      </c>
    </row>
    <row r="418">
      <c r="B418">
        <v>426</v>
      </c>
      <c r="C418" t="inlineStr">
        <is>
          <t>HighWay</t>
        </is>
      </c>
      <c r="D418" t="inlineStr">
        <is>
          <t>HWY3_292_Sedan</t>
        </is>
      </c>
      <c r="E418">
        <v>1</v>
      </c>
      <c r="F418" t="inlineStr">
        <is>
          <t>공격 반복</t>
        </is>
      </c>
      <c r="G418">
        <v>5</v>
      </c>
      <c r="H418">
        <v>0</v>
      </c>
      <c r="I418">
        <v>150</v>
      </c>
      <c r="J418">
        <v>0</v>
      </c>
      <c r="K418">
        <v>0</v>
      </c>
      <c r="L418" t="inlineStr">
        <is>
          <t>차량 적 · 원본 전투/성장/코인 시스템</t>
        </is>
      </c>
      <c r="M418" t="inlineStr">
        <is>
          <t>Normal</t>
        </is>
      </c>
      <c r="N418">
        <v>0</v>
      </c>
      <c r="O418">
        <f>'밸런스 조정'!C154*'밸런스 조정'!C295*'밸런스 조정'!C145*(1+('몬스터 성장'!G6/'몬스터 성장'!F6-1)*(U418/'밸런스 조정'!C119)^'몬스터 성장'!H6)</f>
        <v>195.221493096</v>
      </c>
      <c r="P418">
        <v>0</v>
      </c>
      <c r="Q418">
        <v>0</v>
      </c>
      <c r="R418">
        <v>62</v>
      </c>
      <c r="S418" t="inlineStr">
        <is>
          <t>Sedan</t>
        </is>
      </c>
      <c r="T418" t="inlineStr">
        <is>
          <t>Open</t>
        </is>
      </c>
      <c r="U418">
        <v>1038.6111</v>
      </c>
      <c r="V418">
        <v>0</v>
      </c>
      <c r="W418">
        <v>937.4111</v>
      </c>
      <c r="X418">
        <v>190</v>
      </c>
      <c r="Y418">
        <v>0</v>
      </c>
    </row>
    <row r="419">
      <c r="B419">
        <v>427</v>
      </c>
      <c r="C419" t="inlineStr">
        <is>
          <t>HighWay</t>
        </is>
      </c>
      <c r="D419" t="inlineStr">
        <is>
          <t>HWY3_293_OneTon</t>
        </is>
      </c>
      <c r="E419">
        <v>1</v>
      </c>
      <c r="F419" t="inlineStr">
        <is>
          <t>공격 반복</t>
        </is>
      </c>
      <c r="G419">
        <v>5</v>
      </c>
      <c r="H419">
        <v>0</v>
      </c>
      <c r="I419">
        <v>150</v>
      </c>
      <c r="J419">
        <v>0</v>
      </c>
      <c r="K419">
        <v>0</v>
      </c>
      <c r="L419" t="inlineStr">
        <is>
          <t>차량 적 · 원본 전투/성장/코인 시스템</t>
        </is>
      </c>
      <c r="M419" t="inlineStr">
        <is>
          <t>Normal</t>
        </is>
      </c>
      <c r="N419">
        <v>0</v>
      </c>
      <c r="O419">
        <f>'밸런스 조정'!C154*'밸런스 조정'!C295*'밸런스 조정'!C147*(1+('몬스터 성장'!G6/'몬스터 성장'!F6-1)*(U419/'밸런스 조정'!C119)^'몬스터 성장'!H6)</f>
        <v>253.787941025</v>
      </c>
      <c r="P419">
        <v>0</v>
      </c>
      <c r="Q419">
        <v>0</v>
      </c>
      <c r="R419">
        <v>62</v>
      </c>
      <c r="S419" t="inlineStr">
        <is>
          <t>OneTon</t>
        </is>
      </c>
      <c r="T419" t="inlineStr">
        <is>
          <t>Open</t>
        </is>
      </c>
      <c r="U419">
        <v>1038.6111</v>
      </c>
      <c r="V419">
        <v>1</v>
      </c>
      <c r="W419">
        <v>937.4111</v>
      </c>
      <c r="X419">
        <v>190</v>
      </c>
      <c r="Y419">
        <v>0</v>
      </c>
    </row>
    <row r="420">
      <c r="B420">
        <v>428</v>
      </c>
      <c r="C420" t="inlineStr">
        <is>
          <t>HighWay</t>
        </is>
      </c>
      <c r="D420" t="inlineStr">
        <is>
          <t>HWY3_294_Box</t>
        </is>
      </c>
      <c r="E420">
        <v>1</v>
      </c>
      <c r="F420" t="inlineStr">
        <is>
          <t>공격 반복</t>
        </is>
      </c>
      <c r="G420">
        <v>5</v>
      </c>
      <c r="H420">
        <v>0</v>
      </c>
      <c r="I420">
        <v>150</v>
      </c>
      <c r="J420">
        <v>0</v>
      </c>
      <c r="K420">
        <v>0</v>
      </c>
      <c r="L420" t="inlineStr">
        <is>
          <t>차량 적 · 원본 전투/성장/코인 시스템</t>
        </is>
      </c>
      <c r="M420" t="inlineStr">
        <is>
          <t>Normal</t>
        </is>
      </c>
      <c r="N420">
        <v>0</v>
      </c>
      <c r="O420">
        <f>'밸런스 조정'!C154*'밸런스 조정'!C295*'밸런스 조정'!C148*(1+('몬스터 성장'!G6/'몬스터 성장'!F6-1)*(U420/'밸런스 조정'!C119)^'몬스터 성장'!H6)</f>
        <v>312.354388954</v>
      </c>
      <c r="P420">
        <v>0</v>
      </c>
      <c r="Q420">
        <v>0</v>
      </c>
      <c r="R420">
        <v>62</v>
      </c>
      <c r="S420" t="inlineStr">
        <is>
          <t>Box</t>
        </is>
      </c>
      <c r="T420" t="inlineStr">
        <is>
          <t>Open</t>
        </is>
      </c>
      <c r="U420">
        <v>1038.6111</v>
      </c>
      <c r="V420">
        <v>2</v>
      </c>
      <c r="W420">
        <v>937.4111</v>
      </c>
      <c r="X420">
        <v>190</v>
      </c>
      <c r="Y420">
        <v>0</v>
      </c>
    </row>
    <row r="421">
      <c r="B421">
        <v>429</v>
      </c>
      <c r="C421" t="inlineStr">
        <is>
          <t>HighWay</t>
        </is>
      </c>
      <c r="D421" t="inlineStr">
        <is>
          <t>HWY3_295_OneTon</t>
        </is>
      </c>
      <c r="E421">
        <v>1</v>
      </c>
      <c r="F421" t="inlineStr">
        <is>
          <t>공격 반복</t>
        </is>
      </c>
      <c r="G421">
        <v>5</v>
      </c>
      <c r="H421">
        <v>0</v>
      </c>
      <c r="I421">
        <v>150</v>
      </c>
      <c r="J421">
        <v>0</v>
      </c>
      <c r="K421">
        <v>0</v>
      </c>
      <c r="L421" t="inlineStr">
        <is>
          <t>차량 적 · 원본 전투/성장/코인 시스템</t>
        </is>
      </c>
      <c r="M421" t="inlineStr">
        <is>
          <t>Normal</t>
        </is>
      </c>
      <c r="N421">
        <v>0</v>
      </c>
      <c r="O421">
        <f>'밸런스 조정'!C154*'밸런스 조정'!C295*'밸런스 조정'!C147*(1+('몬스터 성장'!G6/'몬스터 성장'!F6-1)*(U421/'밸런스 조정'!C119)^'몬스터 성장'!H6)</f>
        <v>260.593336748</v>
      </c>
      <c r="P421">
        <v>0</v>
      </c>
      <c r="Q421">
        <v>0</v>
      </c>
      <c r="R421">
        <v>62</v>
      </c>
      <c r="S421" t="inlineStr">
        <is>
          <t>OneTon</t>
        </is>
      </c>
      <c r="T421" t="inlineStr">
        <is>
          <t>Open</t>
        </is>
      </c>
      <c r="U421">
        <v>1060.1667</v>
      </c>
      <c r="V421">
        <v>0</v>
      </c>
      <c r="W421">
        <v>958.9667</v>
      </c>
      <c r="X421">
        <v>191</v>
      </c>
      <c r="Y421">
        <v>0</v>
      </c>
    </row>
    <row r="422">
      <c r="B422">
        <v>430</v>
      </c>
      <c r="C422" t="inlineStr">
        <is>
          <t>HighWay</t>
        </is>
      </c>
      <c r="D422" t="inlineStr">
        <is>
          <t>HWY3_296_Taxi</t>
        </is>
      </c>
      <c r="E422">
        <v>1</v>
      </c>
      <c r="F422" t="inlineStr">
        <is>
          <t>공격 반복</t>
        </is>
      </c>
      <c r="G422">
        <v>5</v>
      </c>
      <c r="H422">
        <v>0</v>
      </c>
      <c r="I422">
        <v>150</v>
      </c>
      <c r="J422">
        <v>0</v>
      </c>
      <c r="K422">
        <v>0</v>
      </c>
      <c r="L422" t="inlineStr">
        <is>
          <t>차량 적 · 원본 전투/성장/코인 시스템</t>
        </is>
      </c>
      <c r="M422" t="inlineStr">
        <is>
          <t>Normal</t>
        </is>
      </c>
      <c r="N422">
        <v>0</v>
      </c>
      <c r="O422">
        <f>'밸런스 조정'!C154*'밸런스 조정'!C295*'밸런스 조정'!C146*(1+('몬스터 성장'!G6/'몬스터 성장'!F6-1)*(U422/'밸런스 조정'!C119)^'몬스터 성장'!H6)</f>
        <v>200.456412883</v>
      </c>
      <c r="P422">
        <v>0</v>
      </c>
      <c r="Q422">
        <v>0</v>
      </c>
      <c r="R422">
        <v>62</v>
      </c>
      <c r="S422" t="inlineStr">
        <is>
          <t>Taxi</t>
        </is>
      </c>
      <c r="T422" t="inlineStr">
        <is>
          <t>Open</t>
        </is>
      </c>
      <c r="U422">
        <v>1060.1667</v>
      </c>
      <c r="V422">
        <v>1</v>
      </c>
      <c r="W422">
        <v>958.9667</v>
      </c>
      <c r="X422">
        <v>191</v>
      </c>
      <c r="Y422">
        <v>0</v>
      </c>
    </row>
    <row r="423">
      <c r="B423">
        <v>431</v>
      </c>
      <c r="C423" t="inlineStr">
        <is>
          <t>HighWay</t>
        </is>
      </c>
      <c r="D423" t="inlineStr">
        <is>
          <t>HWY3_297_Tanker</t>
        </is>
      </c>
      <c r="E423">
        <v>1</v>
      </c>
      <c r="F423" t="inlineStr">
        <is>
          <t>공격 반복</t>
        </is>
      </c>
      <c r="G423">
        <v>5</v>
      </c>
      <c r="H423">
        <v>0</v>
      </c>
      <c r="I423">
        <v>150</v>
      </c>
      <c r="J423">
        <v>0</v>
      </c>
      <c r="K423">
        <v>0</v>
      </c>
      <c r="L423" t="inlineStr">
        <is>
          <t>차량 적 · 원본 전투/성장/코인 시스템</t>
        </is>
      </c>
      <c r="M423" t="inlineStr">
        <is>
          <t>Normal</t>
        </is>
      </c>
      <c r="N423">
        <v>0</v>
      </c>
      <c r="O423">
        <f>'밸런스 조정'!C154*'밸런스 조정'!C295*'밸런스 조정'!C149*(1+('몬스터 성장'!G6/'몬스터 성장'!F6-1)*(U423/'밸런스 조정'!C119)^'몬스터 성장'!H6)</f>
        <v>400.912825766</v>
      </c>
      <c r="P423">
        <v>0</v>
      </c>
      <c r="Q423">
        <v>0</v>
      </c>
      <c r="R423">
        <v>124</v>
      </c>
      <c r="S423" t="inlineStr">
        <is>
          <t>Tanker</t>
        </is>
      </c>
      <c r="T423" t="inlineStr">
        <is>
          <t>Open</t>
        </is>
      </c>
      <c r="U423">
        <v>1060.1667</v>
      </c>
      <c r="V423">
        <v>2</v>
      </c>
      <c r="W423">
        <v>958.9667</v>
      </c>
      <c r="X423">
        <v>191</v>
      </c>
      <c r="Y423">
        <v>0</v>
      </c>
    </row>
    <row r="424">
      <c r="B424">
        <v>432</v>
      </c>
      <c r="C424" t="inlineStr">
        <is>
          <t>HighWay</t>
        </is>
      </c>
      <c r="D424" t="inlineStr">
        <is>
          <t>HWY3_298_Box</t>
        </is>
      </c>
      <c r="E424">
        <v>1</v>
      </c>
      <c r="F424" t="inlineStr">
        <is>
          <t>공격 반복</t>
        </is>
      </c>
      <c r="G424">
        <v>5</v>
      </c>
      <c r="H424">
        <v>0</v>
      </c>
      <c r="I424">
        <v>150</v>
      </c>
      <c r="J424">
        <v>0</v>
      </c>
      <c r="K424">
        <v>0</v>
      </c>
      <c r="L424" t="inlineStr">
        <is>
          <t>차량 적 · 원본 전투/성장/코인 시스템</t>
        </is>
      </c>
      <c r="M424" t="inlineStr">
        <is>
          <t>Normal</t>
        </is>
      </c>
      <c r="N424">
        <v>0</v>
      </c>
      <c r="O424">
        <f>'밸런스 조정'!C154*'밸런스 조정'!C295*'밸런스 조정'!C148*(1+('몬스터 성장'!G6/'몬스터 성장'!F6-1)*(U424/'밸런스 조정'!C119)^'몬스터 성장'!H6)</f>
        <v>329.278141815</v>
      </c>
      <c r="P424">
        <v>0</v>
      </c>
      <c r="Q424">
        <v>0</v>
      </c>
      <c r="R424">
        <v>62</v>
      </c>
      <c r="S424" t="inlineStr">
        <is>
          <t>Box</t>
        </is>
      </c>
      <c r="T424" t="inlineStr">
        <is>
          <t>Open</t>
        </is>
      </c>
      <c r="U424">
        <v>1081.7222</v>
      </c>
      <c r="V424">
        <v>0</v>
      </c>
      <c r="W424">
        <v>980.5222</v>
      </c>
      <c r="X424">
        <v>192</v>
      </c>
      <c r="Y424">
        <v>0</v>
      </c>
    </row>
    <row r="425">
      <c r="B425">
        <v>433</v>
      </c>
      <c r="C425" t="inlineStr">
        <is>
          <t>HighWay</t>
        </is>
      </c>
      <c r="D425" t="inlineStr">
        <is>
          <t>HWY3_299_Sedan</t>
        </is>
      </c>
      <c r="E425">
        <v>1</v>
      </c>
      <c r="F425" t="inlineStr">
        <is>
          <t>공격 반복</t>
        </is>
      </c>
      <c r="G425">
        <v>5</v>
      </c>
      <c r="H425">
        <v>0</v>
      </c>
      <c r="I425">
        <v>150</v>
      </c>
      <c r="J425">
        <v>0</v>
      </c>
      <c r="K425">
        <v>0</v>
      </c>
      <c r="L425" t="inlineStr">
        <is>
          <t>차량 적 · 원본 전투/성장/코인 시스템</t>
        </is>
      </c>
      <c r="M425" t="inlineStr">
        <is>
          <t>Normal</t>
        </is>
      </c>
      <c r="N425">
        <v>0</v>
      </c>
      <c r="O425">
        <f>'밸런스 조정'!C154*'밸런스 조정'!C295*'밸런스 조정'!C145*(1+('몬스터 성장'!G6/'몬스터 성장'!F6-1)*(U425/'밸런스 조정'!C119)^'몬스터 성장'!H6)</f>
        <v>205.798838635</v>
      </c>
      <c r="P425">
        <v>0</v>
      </c>
      <c r="Q425">
        <v>0</v>
      </c>
      <c r="R425">
        <v>62</v>
      </c>
      <c r="S425" t="inlineStr">
        <is>
          <t>Sedan</t>
        </is>
      </c>
      <c r="T425" t="inlineStr">
        <is>
          <t>Open</t>
        </is>
      </c>
      <c r="U425">
        <v>1081.7222</v>
      </c>
      <c r="V425">
        <v>1</v>
      </c>
      <c r="W425">
        <v>980.5222</v>
      </c>
      <c r="X425">
        <v>192</v>
      </c>
      <c r="Y425">
        <v>0</v>
      </c>
    </row>
    <row r="426">
      <c r="B426">
        <v>434</v>
      </c>
      <c r="C426" t="inlineStr">
        <is>
          <t>HighWay</t>
        </is>
      </c>
      <c r="D426" t="inlineStr">
        <is>
          <t>HWY3_300_OneTon</t>
        </is>
      </c>
      <c r="E426">
        <v>1</v>
      </c>
      <c r="F426" t="inlineStr">
        <is>
          <t>공격 반복</t>
        </is>
      </c>
      <c r="G426">
        <v>5</v>
      </c>
      <c r="H426">
        <v>0</v>
      </c>
      <c r="I426">
        <v>150</v>
      </c>
      <c r="J426">
        <v>0</v>
      </c>
      <c r="K426">
        <v>0</v>
      </c>
      <c r="L426" t="inlineStr">
        <is>
          <t>차량 적 · 원본 전투/성장/코인 시스템</t>
        </is>
      </c>
      <c r="M426" t="inlineStr">
        <is>
          <t>Normal</t>
        </is>
      </c>
      <c r="N426">
        <v>0</v>
      </c>
      <c r="O426">
        <f>'밸런스 조정'!C154*'밸런스 조정'!C295*'밸런스 조정'!C147*(1+('몬스터 성장'!G6/'몬스터 성장'!F6-1)*(U426/'밸런스 조정'!C119)^'몬스터 성장'!H6)</f>
        <v>267.538490225</v>
      </c>
      <c r="P426">
        <v>0</v>
      </c>
      <c r="Q426">
        <v>0</v>
      </c>
      <c r="R426">
        <v>62</v>
      </c>
      <c r="S426" t="inlineStr">
        <is>
          <t>OneTon</t>
        </is>
      </c>
      <c r="T426" t="inlineStr">
        <is>
          <t>Open</t>
        </is>
      </c>
      <c r="U426">
        <v>1081.7222</v>
      </c>
      <c r="V426">
        <v>2</v>
      </c>
      <c r="W426">
        <v>980.5222</v>
      </c>
      <c r="X426">
        <v>192</v>
      </c>
      <c r="Y426">
        <v>0</v>
      </c>
    </row>
    <row r="427">
      <c r="B427">
        <v>435</v>
      </c>
      <c r="C427" t="inlineStr">
        <is>
          <t>HighWay</t>
        </is>
      </c>
      <c r="D427" t="inlineStr">
        <is>
          <t>HWY3_301_Tanker</t>
        </is>
      </c>
      <c r="E427">
        <v>1</v>
      </c>
      <c r="F427" t="inlineStr">
        <is>
          <t>공격 반복</t>
        </is>
      </c>
      <c r="G427">
        <v>5</v>
      </c>
      <c r="H427">
        <v>0</v>
      </c>
      <c r="I427">
        <v>150</v>
      </c>
      <c r="J427">
        <v>0</v>
      </c>
      <c r="K427">
        <v>0</v>
      </c>
      <c r="L427" t="inlineStr">
        <is>
          <t>차량 적 · 원본 전투/성장/코인 시스템</t>
        </is>
      </c>
      <c r="M427" t="inlineStr">
        <is>
          <t>Normal</t>
        </is>
      </c>
      <c r="N427">
        <v>0</v>
      </c>
      <c r="O427">
        <f>'밸런스 조정'!C154*'밸런스 조정'!C295*'밸런스 조정'!C149*(1+('몬스터 성장'!G6/'몬스터 성장'!F6-1)*(U427/'밸런스 조정'!C119)^'몬스터 성장'!H6)</f>
        <v>422.497639841</v>
      </c>
      <c r="P427">
        <v>0</v>
      </c>
      <c r="Q427">
        <v>0</v>
      </c>
      <c r="R427">
        <v>124</v>
      </c>
      <c r="S427" t="inlineStr">
        <is>
          <t>Tanker</t>
        </is>
      </c>
      <c r="T427" t="inlineStr">
        <is>
          <t>Open</t>
        </is>
      </c>
      <c r="U427">
        <v>1103.2778</v>
      </c>
      <c r="V427">
        <v>0</v>
      </c>
      <c r="W427">
        <v>1002.0778</v>
      </c>
      <c r="X427">
        <v>193</v>
      </c>
      <c r="Y427">
        <v>0</v>
      </c>
    </row>
    <row r="428">
      <c r="B428">
        <v>436</v>
      </c>
      <c r="C428" t="inlineStr">
        <is>
          <t>HighWay</t>
        </is>
      </c>
      <c r="D428" t="inlineStr">
        <is>
          <t>HWY3_302_Taxi</t>
        </is>
      </c>
      <c r="E428">
        <v>1</v>
      </c>
      <c r="F428" t="inlineStr">
        <is>
          <t>공격 반복</t>
        </is>
      </c>
      <c r="G428">
        <v>5</v>
      </c>
      <c r="H428">
        <v>0</v>
      </c>
      <c r="I428">
        <v>150</v>
      </c>
      <c r="J428">
        <v>0</v>
      </c>
      <c r="K428">
        <v>0</v>
      </c>
      <c r="L428" t="inlineStr">
        <is>
          <t>차량 적 · 원본 전투/성장/코인 시스템</t>
        </is>
      </c>
      <c r="M428" t="inlineStr">
        <is>
          <t>Normal</t>
        </is>
      </c>
      <c r="N428">
        <v>0</v>
      </c>
      <c r="O428">
        <f>'밸런스 조정'!C154*'밸런스 조정'!C295*'밸런스 조정'!C146*(1+('몬스터 성장'!G6/'몬스터 성장'!F6-1)*(U428/'밸런스 조정'!C119)^'몬스터 성장'!H6)</f>
        <v>211.248819921</v>
      </c>
      <c r="P428">
        <v>0</v>
      </c>
      <c r="Q428">
        <v>0</v>
      </c>
      <c r="R428">
        <v>62</v>
      </c>
      <c r="S428" t="inlineStr">
        <is>
          <t>Taxi</t>
        </is>
      </c>
      <c r="T428" t="inlineStr">
        <is>
          <t>Open</t>
        </is>
      </c>
      <c r="U428">
        <v>1103.2778</v>
      </c>
      <c r="V428">
        <v>1</v>
      </c>
      <c r="W428">
        <v>1002.0778</v>
      </c>
      <c r="X428">
        <v>193</v>
      </c>
      <c r="Y428">
        <v>0</v>
      </c>
    </row>
    <row r="429">
      <c r="B429">
        <v>437</v>
      </c>
      <c r="C429" t="inlineStr">
        <is>
          <t>HighWay</t>
        </is>
      </c>
      <c r="D429" t="inlineStr">
        <is>
          <t>HWY3_303_Box</t>
        </is>
      </c>
      <c r="E429">
        <v>1</v>
      </c>
      <c r="F429" t="inlineStr">
        <is>
          <t>공격 반복</t>
        </is>
      </c>
      <c r="G429">
        <v>5</v>
      </c>
      <c r="H429">
        <v>0</v>
      </c>
      <c r="I429">
        <v>150</v>
      </c>
      <c r="J429">
        <v>0</v>
      </c>
      <c r="K429">
        <v>0</v>
      </c>
      <c r="L429" t="inlineStr">
        <is>
          <t>차량 적 · 원본 전투/성장/코인 시스템</t>
        </is>
      </c>
      <c r="M429" t="inlineStr">
        <is>
          <t>Normal</t>
        </is>
      </c>
      <c r="N429">
        <v>0</v>
      </c>
      <c r="O429">
        <f>'밸런스 조정'!C154*'밸런스 조정'!C295*'밸런스 조정'!C148*(1+('몬스터 성장'!G6/'몬스터 성장'!F6-1)*(U429/'밸런스 조정'!C119)^'몬스터 성장'!H6)</f>
        <v>337.998111873</v>
      </c>
      <c r="P429">
        <v>0</v>
      </c>
      <c r="Q429">
        <v>0</v>
      </c>
      <c r="R429">
        <v>62</v>
      </c>
      <c r="S429" t="inlineStr">
        <is>
          <t>Box</t>
        </is>
      </c>
      <c r="T429" t="inlineStr">
        <is>
          <t>Open</t>
        </is>
      </c>
      <c r="U429">
        <v>1103.2778</v>
      </c>
      <c r="V429">
        <v>2</v>
      </c>
      <c r="W429">
        <v>1002.0778</v>
      </c>
      <c r="X429">
        <v>193</v>
      </c>
      <c r="Y429">
        <v>0</v>
      </c>
    </row>
    <row r="430">
      <c r="B430">
        <v>438</v>
      </c>
      <c r="C430" t="inlineStr">
        <is>
          <t>HighWay</t>
        </is>
      </c>
      <c r="D430" t="inlineStr">
        <is>
          <t>HWY3_304_OneTon</t>
        </is>
      </c>
      <c r="E430">
        <v>1</v>
      </c>
      <c r="F430" t="inlineStr">
        <is>
          <t>공격 반복</t>
        </is>
      </c>
      <c r="G430">
        <v>5</v>
      </c>
      <c r="H430">
        <v>0</v>
      </c>
      <c r="I430">
        <v>150</v>
      </c>
      <c r="J430">
        <v>0</v>
      </c>
      <c r="K430">
        <v>0</v>
      </c>
      <c r="L430" t="inlineStr">
        <is>
          <t>차량 적 · 원본 전투/성장/코인 시스템</t>
        </is>
      </c>
      <c r="M430" t="inlineStr">
        <is>
          <t>Normal</t>
        </is>
      </c>
      <c r="N430">
        <v>0</v>
      </c>
      <c r="O430">
        <f>'밸런스 조정'!C154*'밸런스 조정'!C295*'밸런스 조정'!C147*(1+('몬스터 성장'!G6/'몬스터 성장'!F6-1)*(U430/'밸런스 조정'!C119)^'몬스터 성장'!H6)</f>
        <v>281.848198026</v>
      </c>
      <c r="P430">
        <v>0</v>
      </c>
      <c r="Q430">
        <v>0</v>
      </c>
      <c r="R430">
        <v>62</v>
      </c>
      <c r="S430" t="inlineStr">
        <is>
          <t>OneTon</t>
        </is>
      </c>
      <c r="T430" t="inlineStr">
        <is>
          <t>Open</t>
        </is>
      </c>
      <c r="U430">
        <v>1124.8333</v>
      </c>
      <c r="V430">
        <v>0</v>
      </c>
      <c r="W430">
        <v>1023.6333</v>
      </c>
      <c r="X430">
        <v>194</v>
      </c>
      <c r="Y430">
        <v>0</v>
      </c>
    </row>
    <row r="431">
      <c r="B431">
        <v>439</v>
      </c>
      <c r="C431" t="inlineStr">
        <is>
          <t>HighWay</t>
        </is>
      </c>
      <c r="D431" t="inlineStr">
        <is>
          <t>HWY3_305_Box</t>
        </is>
      </c>
      <c r="E431">
        <v>1</v>
      </c>
      <c r="F431" t="inlineStr">
        <is>
          <t>공격 반복</t>
        </is>
      </c>
      <c r="G431">
        <v>5</v>
      </c>
      <c r="H431">
        <v>0</v>
      </c>
      <c r="I431">
        <v>150</v>
      </c>
      <c r="J431">
        <v>0</v>
      </c>
      <c r="K431">
        <v>0</v>
      </c>
      <c r="L431" t="inlineStr">
        <is>
          <t>차량 적 · 원본 전투/성장/코인 시스템</t>
        </is>
      </c>
      <c r="M431" t="inlineStr">
        <is>
          <t>Normal</t>
        </is>
      </c>
      <c r="N431">
        <v>0</v>
      </c>
      <c r="O431">
        <f>'밸런스 조정'!C154*'밸런스 조정'!C295*'밸런스 조정'!C148*(1+('몬스터 성장'!G6/'몬스터 성장'!F6-1)*(U431/'밸런스 조정'!C119)^'몬스터 성장'!H6)</f>
        <v>346.890089879</v>
      </c>
      <c r="P431">
        <v>0</v>
      </c>
      <c r="Q431">
        <v>0</v>
      </c>
      <c r="R431">
        <v>62</v>
      </c>
      <c r="S431" t="inlineStr">
        <is>
          <t>Box</t>
        </is>
      </c>
      <c r="T431" t="inlineStr">
        <is>
          <t>Open</t>
        </is>
      </c>
      <c r="U431">
        <v>1124.8333</v>
      </c>
      <c r="V431">
        <v>1</v>
      </c>
      <c r="W431">
        <v>1023.6333</v>
      </c>
      <c r="X431">
        <v>194</v>
      </c>
      <c r="Y431">
        <v>0</v>
      </c>
    </row>
    <row r="432">
      <c r="B432">
        <v>440</v>
      </c>
      <c r="C432" t="inlineStr">
        <is>
          <t>HighWay</t>
        </is>
      </c>
      <c r="D432" t="inlineStr">
        <is>
          <t>HWY3_306_Sedan</t>
        </is>
      </c>
      <c r="E432">
        <v>1</v>
      </c>
      <c r="F432" t="inlineStr">
        <is>
          <t>공격 반복</t>
        </is>
      </c>
      <c r="G432">
        <v>5</v>
      </c>
      <c r="H432">
        <v>0</v>
      </c>
      <c r="I432">
        <v>150</v>
      </c>
      <c r="J432">
        <v>0</v>
      </c>
      <c r="K432">
        <v>0</v>
      </c>
      <c r="L432" t="inlineStr">
        <is>
          <t>차량 적 · 원본 전투/성장/코인 시스템</t>
        </is>
      </c>
      <c r="M432" t="inlineStr">
        <is>
          <t>Normal</t>
        </is>
      </c>
      <c r="N432">
        <v>0</v>
      </c>
      <c r="O432">
        <f>'밸런스 조정'!C154*'밸런스 조정'!C295*'밸런스 조정'!C145*(1+('몬스터 성장'!G6/'몬스터 성장'!F6-1)*(U432/'밸런스 조정'!C119)^'몬스터 성장'!H6)</f>
        <v>216.806306174</v>
      </c>
      <c r="P432">
        <v>0</v>
      </c>
      <c r="Q432">
        <v>0</v>
      </c>
      <c r="R432">
        <v>62</v>
      </c>
      <c r="S432" t="inlineStr">
        <is>
          <t>Sedan</t>
        </is>
      </c>
      <c r="T432" t="inlineStr">
        <is>
          <t>Open</t>
        </is>
      </c>
      <c r="U432">
        <v>1124.8333</v>
      </c>
      <c r="V432">
        <v>2</v>
      </c>
      <c r="W432">
        <v>1023.6333</v>
      </c>
      <c r="X432">
        <v>194</v>
      </c>
      <c r="Y432">
        <v>0</v>
      </c>
    </row>
    <row r="433">
      <c r="B433">
        <v>441</v>
      </c>
      <c r="C433" t="inlineStr">
        <is>
          <t>HighWay</t>
        </is>
      </c>
      <c r="D433" t="inlineStr">
        <is>
          <t>HWY3_307_Box</t>
        </is>
      </c>
      <c r="E433">
        <v>1</v>
      </c>
      <c r="F433" t="inlineStr">
        <is>
          <t>공격 반복</t>
        </is>
      </c>
      <c r="G433">
        <v>5</v>
      </c>
      <c r="H433">
        <v>0</v>
      </c>
      <c r="I433">
        <v>150</v>
      </c>
      <c r="J433">
        <v>0</v>
      </c>
      <c r="K433">
        <v>0</v>
      </c>
      <c r="L433" t="inlineStr">
        <is>
          <t>차량 적 · 원본 전투/성장/코인 시스템</t>
        </is>
      </c>
      <c r="M433" t="inlineStr">
        <is>
          <t>Normal</t>
        </is>
      </c>
      <c r="N433">
        <v>0</v>
      </c>
      <c r="O433">
        <f>'밸런스 조정'!C154*'밸런스 조정'!C295*'밸런스 조정'!C148*(1+('몬스터 성장'!G6/'몬스터 성장'!F6-1)*(U433/'밸런스 조정'!C119)^'몬스터 성장'!H6)</f>
        <v>355.954158335</v>
      </c>
      <c r="P433">
        <v>0</v>
      </c>
      <c r="Q433">
        <v>0</v>
      </c>
      <c r="R433">
        <v>62</v>
      </c>
      <c r="S433" t="inlineStr">
        <is>
          <t>Box</t>
        </is>
      </c>
      <c r="T433" t="inlineStr">
        <is>
          <t>Open</t>
        </is>
      </c>
      <c r="U433">
        <v>1146.3889</v>
      </c>
      <c r="V433">
        <v>0</v>
      </c>
      <c r="W433">
        <v>1045.1889</v>
      </c>
      <c r="X433">
        <v>195</v>
      </c>
      <c r="Y433">
        <v>0</v>
      </c>
    </row>
    <row r="434">
      <c r="B434">
        <v>442</v>
      </c>
      <c r="C434" t="inlineStr">
        <is>
          <t>HighWay</t>
        </is>
      </c>
      <c r="D434" t="inlineStr">
        <is>
          <t>HWY3_308_Tanker</t>
        </is>
      </c>
      <c r="E434">
        <v>1</v>
      </c>
      <c r="F434" t="inlineStr">
        <is>
          <t>공격 반복</t>
        </is>
      </c>
      <c r="G434">
        <v>5</v>
      </c>
      <c r="H434">
        <v>0</v>
      </c>
      <c r="I434">
        <v>150</v>
      </c>
      <c r="J434">
        <v>0</v>
      </c>
      <c r="K434">
        <v>0</v>
      </c>
      <c r="L434" t="inlineStr">
        <is>
          <t>차량 적 · 원본 전투/성장/코인 시스템</t>
        </is>
      </c>
      <c r="M434" t="inlineStr">
        <is>
          <t>Normal</t>
        </is>
      </c>
      <c r="N434">
        <v>0</v>
      </c>
      <c r="O434">
        <f>'밸런스 조정'!C154*'밸런스 조정'!C295*'밸런스 조정'!C149*(1+('몬스터 성장'!G6/'몬스터 성장'!F6-1)*(U434/'밸런스 조정'!C119)^'몬스터 성장'!H6)</f>
        <v>444.942697919</v>
      </c>
      <c r="P434">
        <v>0</v>
      </c>
      <c r="Q434">
        <v>0</v>
      </c>
      <c r="R434">
        <v>124</v>
      </c>
      <c r="S434" t="inlineStr">
        <is>
          <t>Tanker</t>
        </is>
      </c>
      <c r="T434" t="inlineStr">
        <is>
          <t>Open</t>
        </is>
      </c>
      <c r="U434">
        <v>1146.3889</v>
      </c>
      <c r="V434">
        <v>1</v>
      </c>
      <c r="W434">
        <v>1045.1889</v>
      </c>
      <c r="X434">
        <v>195</v>
      </c>
      <c r="Y434">
        <v>0</v>
      </c>
    </row>
    <row r="435">
      <c r="B435">
        <v>443</v>
      </c>
      <c r="C435" t="inlineStr">
        <is>
          <t>HighWay</t>
        </is>
      </c>
      <c r="D435" t="inlineStr">
        <is>
          <t>HWY3_309_Taxi</t>
        </is>
      </c>
      <c r="E435">
        <v>1</v>
      </c>
      <c r="F435" t="inlineStr">
        <is>
          <t>공격 반복</t>
        </is>
      </c>
      <c r="G435">
        <v>5</v>
      </c>
      <c r="H435">
        <v>0</v>
      </c>
      <c r="I435">
        <v>150</v>
      </c>
      <c r="J435">
        <v>0</v>
      </c>
      <c r="K435">
        <v>0</v>
      </c>
      <c r="L435" t="inlineStr">
        <is>
          <t>차량 적 · 원본 전투/성장/코인 시스템</t>
        </is>
      </c>
      <c r="M435" t="inlineStr">
        <is>
          <t>Normal</t>
        </is>
      </c>
      <c r="N435">
        <v>0</v>
      </c>
      <c r="O435">
        <f>'밸런스 조정'!C154*'밸런스 조정'!C295*'밸런스 조정'!C146*(1+('몬스터 성장'!G6/'몬스터 성장'!F6-1)*(U435/'밸런스 조정'!C119)^'몬스터 성장'!H6)</f>
        <v>222.47134896</v>
      </c>
      <c r="P435">
        <v>0</v>
      </c>
      <c r="Q435">
        <v>0</v>
      </c>
      <c r="R435">
        <v>62</v>
      </c>
      <c r="S435" t="inlineStr">
        <is>
          <t>Taxi</t>
        </is>
      </c>
      <c r="T435" t="inlineStr">
        <is>
          <t>Open</t>
        </is>
      </c>
      <c r="U435">
        <v>1146.3889</v>
      </c>
      <c r="V435">
        <v>2</v>
      </c>
      <c r="W435">
        <v>1045.1889</v>
      </c>
      <c r="X435">
        <v>195</v>
      </c>
      <c r="Y435">
        <v>0</v>
      </c>
    </row>
    <row r="436">
      <c r="B436">
        <v>444</v>
      </c>
      <c r="C436" t="inlineStr">
        <is>
          <t>HighWay</t>
        </is>
      </c>
      <c r="D436" t="inlineStr">
        <is>
          <t>HWY3_310_Tanker</t>
        </is>
      </c>
      <c r="E436">
        <v>1</v>
      </c>
      <c r="F436" t="inlineStr">
        <is>
          <t>공격 반복</t>
        </is>
      </c>
      <c r="G436">
        <v>5</v>
      </c>
      <c r="H436">
        <v>0</v>
      </c>
      <c r="I436">
        <v>150</v>
      </c>
      <c r="J436">
        <v>0</v>
      </c>
      <c r="K436">
        <v>0</v>
      </c>
      <c r="L436" t="inlineStr">
        <is>
          <t>차량 적 · 원본 전투/성장/코인 시스템</t>
        </is>
      </c>
      <c r="M436" t="inlineStr">
        <is>
          <t>Normal</t>
        </is>
      </c>
      <c r="N436">
        <v>0</v>
      </c>
      <c r="O436">
        <f>'밸런스 조정'!C154*'밸런스 조정'!C295*'밸런스 조정'!C149*(1+('몬스터 성장'!G6/'몬스터 성장'!F6-1)*(U436/'밸런스 조정'!C119)^'몬스터 성장'!H6)</f>
        <v>456.48779143</v>
      </c>
      <c r="P436">
        <v>0</v>
      </c>
      <c r="Q436">
        <v>0</v>
      </c>
      <c r="R436">
        <v>124</v>
      </c>
      <c r="S436" t="inlineStr">
        <is>
          <t>Tanker</t>
        </is>
      </c>
      <c r="T436" t="inlineStr">
        <is>
          <t>Open</t>
        </is>
      </c>
      <c r="U436">
        <v>1167.9444</v>
      </c>
      <c r="V436">
        <v>0</v>
      </c>
      <c r="W436">
        <v>1066.7444</v>
      </c>
      <c r="X436">
        <v>196</v>
      </c>
      <c r="Y436">
        <v>0</v>
      </c>
    </row>
    <row r="437">
      <c r="B437">
        <v>445</v>
      </c>
      <c r="C437" t="inlineStr">
        <is>
          <t>HighWay</t>
        </is>
      </c>
      <c r="D437" t="inlineStr">
        <is>
          <t>HWY3_311_OneTon</t>
        </is>
      </c>
      <c r="E437">
        <v>1</v>
      </c>
      <c r="F437" t="inlineStr">
        <is>
          <t>공격 반복</t>
        </is>
      </c>
      <c r="G437">
        <v>5</v>
      </c>
      <c r="H437">
        <v>0</v>
      </c>
      <c r="I437">
        <v>150</v>
      </c>
      <c r="J437">
        <v>0</v>
      </c>
      <c r="K437">
        <v>0</v>
      </c>
      <c r="L437" t="inlineStr">
        <is>
          <t>차량 적 · 원본 전투/성장/코인 시스템</t>
        </is>
      </c>
      <c r="M437" t="inlineStr">
        <is>
          <t>Normal</t>
        </is>
      </c>
      <c r="N437">
        <v>0</v>
      </c>
      <c r="O437">
        <f>'밸런스 조정'!C154*'밸런스 조정'!C295*'밸런스 조정'!C147*(1+('몬스터 성장'!G6/'몬스터 성장'!F6-1)*(U437/'밸런스 조정'!C119)^'몬스터 성장'!H6)</f>
        <v>296.717064429</v>
      </c>
      <c r="P437">
        <v>0</v>
      </c>
      <c r="Q437">
        <v>0</v>
      </c>
      <c r="R437">
        <v>62</v>
      </c>
      <c r="S437" t="inlineStr">
        <is>
          <t>OneTon</t>
        </is>
      </c>
      <c r="T437" t="inlineStr">
        <is>
          <t>Open</t>
        </is>
      </c>
      <c r="U437">
        <v>1167.9444</v>
      </c>
      <c r="V437">
        <v>1</v>
      </c>
      <c r="W437">
        <v>1066.7444</v>
      </c>
      <c r="X437">
        <v>196</v>
      </c>
      <c r="Y437">
        <v>0</v>
      </c>
    </row>
    <row r="438">
      <c r="B438">
        <v>446</v>
      </c>
      <c r="C438" t="inlineStr">
        <is>
          <t>HighWay</t>
        </is>
      </c>
      <c r="D438" t="inlineStr">
        <is>
          <t>HWY3_312_Sedan</t>
        </is>
      </c>
      <c r="E438">
        <v>1</v>
      </c>
      <c r="F438" t="inlineStr">
        <is>
          <t>공격 반복</t>
        </is>
      </c>
      <c r="G438">
        <v>5</v>
      </c>
      <c r="H438">
        <v>0</v>
      </c>
      <c r="I438">
        <v>150</v>
      </c>
      <c r="J438">
        <v>0</v>
      </c>
      <c r="K438">
        <v>0</v>
      </c>
      <c r="L438" t="inlineStr">
        <is>
          <t>차량 적 · 원본 전투/성장/코인 시스템</t>
        </is>
      </c>
      <c r="M438" t="inlineStr">
        <is>
          <t>Normal</t>
        </is>
      </c>
      <c r="N438">
        <v>0</v>
      </c>
      <c r="O438">
        <f>'밸런스 조정'!C154*'밸런스 조정'!C295*'밸런스 조정'!C145*(1+('몬스터 성장'!G6/'몬스터 성장'!F6-1)*(U438/'밸런스 조정'!C119)^'몬스터 성장'!H6)</f>
        <v>228.243895715</v>
      </c>
      <c r="P438">
        <v>0</v>
      </c>
      <c r="Q438">
        <v>0</v>
      </c>
      <c r="R438">
        <v>62</v>
      </c>
      <c r="S438" t="inlineStr">
        <is>
          <t>Sedan</t>
        </is>
      </c>
      <c r="T438" t="inlineStr">
        <is>
          <t>Open</t>
        </is>
      </c>
      <c r="U438">
        <v>1167.9444</v>
      </c>
      <c r="V438">
        <v>2</v>
      </c>
      <c r="W438">
        <v>1066.7444</v>
      </c>
      <c r="X438">
        <v>196</v>
      </c>
      <c r="Y438">
        <v>0</v>
      </c>
    </row>
    <row r="439">
      <c r="B439">
        <v>447</v>
      </c>
      <c r="C439" t="inlineStr">
        <is>
          <t>HighWay</t>
        </is>
      </c>
      <c r="D439" t="inlineStr">
        <is>
          <t>HWY3_313_Taxi</t>
        </is>
      </c>
      <c r="E439">
        <v>1</v>
      </c>
      <c r="F439" t="inlineStr">
        <is>
          <t>공격 반복</t>
        </is>
      </c>
      <c r="G439">
        <v>5</v>
      </c>
      <c r="H439">
        <v>0</v>
      </c>
      <c r="I439">
        <v>150</v>
      </c>
      <c r="J439">
        <v>0</v>
      </c>
      <c r="K439">
        <v>0</v>
      </c>
      <c r="L439" t="inlineStr">
        <is>
          <t>차량 적 · 원본 전투/성장/코인 시스템</t>
        </is>
      </c>
      <c r="M439" t="inlineStr">
        <is>
          <t>Normal</t>
        </is>
      </c>
      <c r="N439">
        <v>0</v>
      </c>
      <c r="O439">
        <f>'밸런스 조정'!C154*'밸런스 조정'!C295*'밸런스 조정'!C146*(1+('몬스터 성장'!G6/'몬스터 성장'!F6-1)*(U439/'밸런스 조정'!C119)^'몬스터 성장'!H6)</f>
        <v>234.124</v>
      </c>
      <c r="P439">
        <v>0</v>
      </c>
      <c r="Q439">
        <v>0</v>
      </c>
      <c r="R439">
        <v>62</v>
      </c>
      <c r="S439" t="inlineStr">
        <is>
          <t>Taxi</t>
        </is>
      </c>
      <c r="T439" t="inlineStr">
        <is>
          <t>Open</t>
        </is>
      </c>
      <c r="U439">
        <v>1189.5</v>
      </c>
      <c r="V439">
        <v>0</v>
      </c>
      <c r="W439">
        <v>1088.3</v>
      </c>
      <c r="X439">
        <v>197</v>
      </c>
      <c r="Y439">
        <v>0</v>
      </c>
    </row>
    <row r="440">
      <c r="B440">
        <v>448</v>
      </c>
      <c r="C440" t="inlineStr">
        <is>
          <t>HighWay</t>
        </is>
      </c>
      <c r="D440" t="inlineStr">
        <is>
          <t>HWY3_314_Box</t>
        </is>
      </c>
      <c r="E440">
        <v>1</v>
      </c>
      <c r="F440" t="inlineStr">
        <is>
          <t>공격 반복</t>
        </is>
      </c>
      <c r="G440">
        <v>5</v>
      </c>
      <c r="H440">
        <v>0</v>
      </c>
      <c r="I440">
        <v>150</v>
      </c>
      <c r="J440">
        <v>0</v>
      </c>
      <c r="K440">
        <v>0</v>
      </c>
      <c r="L440" t="inlineStr">
        <is>
          <t>차량 적 · 원본 전투/성장/코인 시스템</t>
        </is>
      </c>
      <c r="M440" t="inlineStr">
        <is>
          <t>Normal</t>
        </is>
      </c>
      <c r="N440">
        <v>0</v>
      </c>
      <c r="O440">
        <f>'밸런스 조정'!C154*'밸런스 조정'!C295*'밸런스 조정'!C148*(1+('몬스터 성장'!G6/'몬스터 성장'!F6-1)*(U440/'밸런스 조정'!C119)^'몬스터 성장'!H6)</f>
        <v>374.5984</v>
      </c>
      <c r="P440">
        <v>0</v>
      </c>
      <c r="Q440">
        <v>0</v>
      </c>
      <c r="R440">
        <v>62</v>
      </c>
      <c r="S440" t="inlineStr">
        <is>
          <t>Box</t>
        </is>
      </c>
      <c r="T440" t="inlineStr">
        <is>
          <t>Open</t>
        </is>
      </c>
      <c r="U440">
        <v>1189.5</v>
      </c>
      <c r="V440">
        <v>1</v>
      </c>
      <c r="W440">
        <v>1088.3</v>
      </c>
      <c r="X440">
        <v>197</v>
      </c>
      <c r="Y440">
        <v>0</v>
      </c>
    </row>
    <row r="441">
      <c r="B441">
        <v>449</v>
      </c>
      <c r="C441" t="inlineStr">
        <is>
          <t>HighWay</t>
        </is>
      </c>
      <c r="D441" t="inlineStr">
        <is>
          <t>HWY3_315_Tanker</t>
        </is>
      </c>
      <c r="E441">
        <v>1</v>
      </c>
      <c r="F441" t="inlineStr">
        <is>
          <t>공격 반복</t>
        </is>
      </c>
      <c r="G441">
        <v>5</v>
      </c>
      <c r="H441">
        <v>0</v>
      </c>
      <c r="I441">
        <v>150</v>
      </c>
      <c r="J441">
        <v>0</v>
      </c>
      <c r="K441">
        <v>0</v>
      </c>
      <c r="L441" t="inlineStr">
        <is>
          <t>차량 적 · 원본 전투/성장/코인 시스템</t>
        </is>
      </c>
      <c r="M441" t="inlineStr">
        <is>
          <t>Normal</t>
        </is>
      </c>
      <c r="N441">
        <v>0</v>
      </c>
      <c r="O441">
        <f>'밸런스 조정'!C154*'밸런스 조정'!C295*'밸런스 조정'!C149*(1+('몬스터 성장'!G6/'몬스터 성장'!F6-1)*(U441/'밸런스 조정'!C119)^'몬스터 성장'!H6)</f>
        <v>468.248</v>
      </c>
      <c r="P441">
        <v>0</v>
      </c>
      <c r="Q441">
        <v>0</v>
      </c>
      <c r="R441">
        <v>124</v>
      </c>
      <c r="S441" t="inlineStr">
        <is>
          <t>Tanker</t>
        </is>
      </c>
      <c r="T441" t="inlineStr">
        <is>
          <t>Open</t>
        </is>
      </c>
      <c r="U441">
        <v>1189.5</v>
      </c>
      <c r="V441">
        <v>2</v>
      </c>
      <c r="W441">
        <v>1088.3</v>
      </c>
      <c r="X441">
        <v>197</v>
      </c>
      <c r="Y441">
        <v>0</v>
      </c>
    </row>
    <row r="442">
      <c r="B442">
        <v>450</v>
      </c>
      <c r="C442" t="inlineStr">
        <is>
          <t>HighWay</t>
        </is>
      </c>
      <c r="D442" t="inlineStr">
        <is>
          <t>HWY3_316_Police</t>
        </is>
      </c>
      <c r="E442">
        <v>1</v>
      </c>
      <c r="F442" t="inlineStr">
        <is>
          <t>공격 반복</t>
        </is>
      </c>
      <c r="G442">
        <v>18</v>
      </c>
      <c r="H442">
        <v>0</v>
      </c>
      <c r="I442">
        <v>150</v>
      </c>
      <c r="J442">
        <v>0</v>
      </c>
      <c r="K442">
        <v>0</v>
      </c>
      <c r="L442" t="inlineStr">
        <is>
          <t>차량 적 · 원본 전투/성장/코인 시스템</t>
        </is>
      </c>
      <c r="M442" t="inlineStr">
        <is>
          <t>Normal</t>
        </is>
      </c>
      <c r="N442">
        <v>0</v>
      </c>
      <c r="O442">
        <f>'밸런스 조정'!C154*'밸런스 조정'!C293*'밸런스 조정'!C151*(1+('몬스터 성장'!G6/'몬스터 성장'!F6-1)*(U442/'밸런스 조정'!C119)^'몬스터 성장'!H6)</f>
        <v>413.727659172</v>
      </c>
      <c r="P442">
        <v>0</v>
      </c>
      <c r="Q442">
        <v>0</v>
      </c>
      <c r="R442">
        <v>62</v>
      </c>
      <c r="S442" t="inlineStr">
        <is>
          <t>Police</t>
        </is>
      </c>
      <c r="T442" t="inlineStr">
        <is>
          <t>Common</t>
        </is>
      </c>
      <c r="U442">
        <v>1457</v>
      </c>
      <c r="V442">
        <v>0</v>
      </c>
      <c r="W442">
        <v>1315.3</v>
      </c>
      <c r="X442">
        <v>6</v>
      </c>
      <c r="Y442">
        <v>0</v>
      </c>
    </row>
    <row r="443">
      <c r="B443">
        <v>451</v>
      </c>
      <c r="C443" t="inlineStr">
        <is>
          <t>HighWay</t>
        </is>
      </c>
      <c r="D443" t="inlineStr">
        <is>
          <t>HWY3_317_Tow</t>
        </is>
      </c>
      <c r="E443">
        <v>1</v>
      </c>
      <c r="F443" t="inlineStr">
        <is>
          <t>공격 반복</t>
        </is>
      </c>
      <c r="G443">
        <v>18</v>
      </c>
      <c r="H443">
        <v>0</v>
      </c>
      <c r="I443">
        <v>150</v>
      </c>
      <c r="J443">
        <v>0</v>
      </c>
      <c r="K443">
        <v>0</v>
      </c>
      <c r="L443" t="inlineStr">
        <is>
          <t>차량 적 · 원본 전투/성장/코인 시스템</t>
        </is>
      </c>
      <c r="M443" t="inlineStr">
        <is>
          <t>Normal</t>
        </is>
      </c>
      <c r="N443">
        <v>0</v>
      </c>
      <c r="O443">
        <f>'밸런스 조정'!C154*'밸런스 조정'!C293*'밸런스 조정'!C152*(1+('몬스터 성장'!G6/'몬스터 성장'!F6-1)*(U443/'밸런스 조정'!C119)^'몬스터 성장'!H6)</f>
        <v>412.404790533</v>
      </c>
      <c r="P443">
        <v>0</v>
      </c>
      <c r="Q443">
        <v>0</v>
      </c>
      <c r="R443">
        <v>62</v>
      </c>
      <c r="S443" t="inlineStr">
        <is>
          <t>Tow</t>
        </is>
      </c>
      <c r="T443" t="inlineStr">
        <is>
          <t>Common</t>
        </is>
      </c>
      <c r="U443">
        <v>1454</v>
      </c>
      <c r="V443">
        <v>1</v>
      </c>
      <c r="W443">
        <v>1315.3</v>
      </c>
      <c r="X443">
        <v>6</v>
      </c>
      <c r="Y443">
        <v>0</v>
      </c>
    </row>
    <row r="444">
      <c r="B444">
        <v>452</v>
      </c>
      <c r="C444" t="inlineStr">
        <is>
          <t>HighWay</t>
        </is>
      </c>
      <c r="D444" t="inlineStr">
        <is>
          <t>HWY3_318_Tow</t>
        </is>
      </c>
      <c r="E444">
        <v>1</v>
      </c>
      <c r="F444" t="inlineStr">
        <is>
          <t>공격 반복</t>
        </is>
      </c>
      <c r="G444">
        <v>18</v>
      </c>
      <c r="H444">
        <v>0</v>
      </c>
      <c r="I444">
        <v>150</v>
      </c>
      <c r="J444">
        <v>0</v>
      </c>
      <c r="K444">
        <v>0</v>
      </c>
      <c r="L444" t="inlineStr">
        <is>
          <t>차량 적 · 원본 전투/성장/코인 시스템</t>
        </is>
      </c>
      <c r="M444" t="inlineStr">
        <is>
          <t>Normal</t>
        </is>
      </c>
      <c r="N444">
        <v>0</v>
      </c>
      <c r="O444">
        <f>'밸런스 조정'!C154*'밸런스 조정'!C293*'밸런스 조정'!C152*(1+('몬스터 성장'!G6/'몬스터 성장'!F6-1)*(U444/'밸런스 조정'!C119)^'몬스터 성장'!H6)</f>
        <v>413.727659172</v>
      </c>
      <c r="P444">
        <v>0</v>
      </c>
      <c r="Q444">
        <v>0</v>
      </c>
      <c r="R444">
        <v>62</v>
      </c>
      <c r="S444" t="inlineStr">
        <is>
          <t>Tow</t>
        </is>
      </c>
      <c r="T444" t="inlineStr">
        <is>
          <t>Common</t>
        </is>
      </c>
      <c r="U444">
        <v>1457</v>
      </c>
      <c r="V444">
        <v>2</v>
      </c>
      <c r="W444">
        <v>1315.3</v>
      </c>
      <c r="X444">
        <v>6</v>
      </c>
      <c r="Y444">
        <v>0</v>
      </c>
    </row>
    <row r="445">
      <c r="B445">
        <v>453</v>
      </c>
      <c r="C445" t="inlineStr">
        <is>
          <t>HighWay</t>
        </is>
      </c>
      <c r="D445" t="inlineStr">
        <is>
          <t>HWY3_319_Police</t>
        </is>
      </c>
      <c r="E445">
        <v>1</v>
      </c>
      <c r="F445" t="inlineStr">
        <is>
          <t>공격 반복</t>
        </is>
      </c>
      <c r="G445">
        <v>18</v>
      </c>
      <c r="H445">
        <v>0</v>
      </c>
      <c r="I445">
        <v>150</v>
      </c>
      <c r="J445">
        <v>0</v>
      </c>
      <c r="K445">
        <v>0</v>
      </c>
      <c r="L445" t="inlineStr">
        <is>
          <t>차량 적 · 원본 전투/성장/코인 시스템</t>
        </is>
      </c>
      <c r="M445" t="inlineStr">
        <is>
          <t>Normal</t>
        </is>
      </c>
      <c r="N445">
        <v>0</v>
      </c>
      <c r="O445">
        <f>'밸런스 조정'!C154*'밸런스 조정'!C293*'밸런스 조정'!C151*(1+('몬스터 성장'!G6/'몬스터 성장'!F6-1)*(U445/'밸런스 조정'!C119)^'몬스터 성장'!H6)</f>
        <v>424.408766864</v>
      </c>
      <c r="P445">
        <v>0</v>
      </c>
      <c r="Q445">
        <v>0</v>
      </c>
      <c r="R445">
        <v>62</v>
      </c>
      <c r="S445" t="inlineStr">
        <is>
          <t>Police</t>
        </is>
      </c>
      <c r="T445" t="inlineStr">
        <is>
          <t>Common</t>
        </is>
      </c>
      <c r="U445">
        <v>1481</v>
      </c>
      <c r="V445">
        <v>0</v>
      </c>
      <c r="W445">
        <v>1315.3</v>
      </c>
      <c r="X445">
        <v>6</v>
      </c>
      <c r="Y445">
        <v>0</v>
      </c>
    </row>
    <row r="446">
      <c r="B446">
        <v>454</v>
      </c>
      <c r="C446" t="inlineStr">
        <is>
          <t>HighWay</t>
        </is>
      </c>
      <c r="D446" t="inlineStr">
        <is>
          <t>HWY3_320_Police</t>
        </is>
      </c>
      <c r="E446">
        <v>1</v>
      </c>
      <c r="F446" t="inlineStr">
        <is>
          <t>공격 반복</t>
        </is>
      </c>
      <c r="G446">
        <v>18</v>
      </c>
      <c r="H446">
        <v>0</v>
      </c>
      <c r="I446">
        <v>150</v>
      </c>
      <c r="J446">
        <v>0</v>
      </c>
      <c r="K446">
        <v>0</v>
      </c>
      <c r="L446" t="inlineStr">
        <is>
          <t>차량 적 · 원본 전투/성장/코인 시스템</t>
        </is>
      </c>
      <c r="M446" t="inlineStr">
        <is>
          <t>Normal</t>
        </is>
      </c>
      <c r="N446">
        <v>0</v>
      </c>
      <c r="O446">
        <f>'밸런스 조정'!C154*'밸런스 조정'!C293*'밸런스 조정'!C151*(1+('몬스터 성장'!G6/'몬스터 성장'!F6-1)*(U446/'밸런스 조정'!C119)^'몬스터 성장'!H6)</f>
        <v>423.064085207</v>
      </c>
      <c r="P446">
        <v>0</v>
      </c>
      <c r="Q446">
        <v>0</v>
      </c>
      <c r="R446">
        <v>62</v>
      </c>
      <c r="S446" t="inlineStr">
        <is>
          <t>Police</t>
        </is>
      </c>
      <c r="T446" t="inlineStr">
        <is>
          <t>Common</t>
        </is>
      </c>
      <c r="U446">
        <v>1478</v>
      </c>
      <c r="V446">
        <v>1</v>
      </c>
      <c r="W446">
        <v>1315.3</v>
      </c>
      <c r="X446">
        <v>6</v>
      </c>
      <c r="Y446">
        <v>0</v>
      </c>
    </row>
    <row r="447">
      <c r="B447">
        <v>455</v>
      </c>
      <c r="C447" t="inlineStr">
        <is>
          <t>HighWay</t>
        </is>
      </c>
      <c r="D447" t="inlineStr">
        <is>
          <t>HWY3_321_Tow</t>
        </is>
      </c>
      <c r="E447">
        <v>1</v>
      </c>
      <c r="F447" t="inlineStr">
        <is>
          <t>공격 반복</t>
        </is>
      </c>
      <c r="G447">
        <v>18</v>
      </c>
      <c r="H447">
        <v>0</v>
      </c>
      <c r="I447">
        <v>150</v>
      </c>
      <c r="J447">
        <v>0</v>
      </c>
      <c r="K447">
        <v>0</v>
      </c>
      <c r="L447" t="inlineStr">
        <is>
          <t>차량 적 · 원본 전투/성장/코인 시스템</t>
        </is>
      </c>
      <c r="M447" t="inlineStr">
        <is>
          <t>Normal</t>
        </is>
      </c>
      <c r="N447">
        <v>0</v>
      </c>
      <c r="O447">
        <f>'밸런스 조정'!C154*'밸런스 조정'!C293*'밸런스 조정'!C152*(1+('몬스터 성장'!G6/'몬스터 성장'!F6-1)*(U447/'밸런스 조정'!C119)^'몬스터 성장'!H6)</f>
        <v>424.408766864</v>
      </c>
      <c r="P447">
        <v>0</v>
      </c>
      <c r="Q447">
        <v>0</v>
      </c>
      <c r="R447">
        <v>62</v>
      </c>
      <c r="S447" t="inlineStr">
        <is>
          <t>Tow</t>
        </is>
      </c>
      <c r="T447" t="inlineStr">
        <is>
          <t>Common</t>
        </is>
      </c>
      <c r="U447">
        <v>1481</v>
      </c>
      <c r="V447">
        <v>2</v>
      </c>
      <c r="W447">
        <v>1315.3</v>
      </c>
      <c r="X447">
        <v>6</v>
      </c>
      <c r="Y447">
        <v>0</v>
      </c>
    </row>
    <row r="448">
      <c r="B448">
        <v>456</v>
      </c>
      <c r="C448" t="inlineStr">
        <is>
          <t>HighWay</t>
        </is>
      </c>
      <c r="D448" t="inlineStr">
        <is>
          <t>HWY3_322_Police</t>
        </is>
      </c>
      <c r="E448">
        <v>1</v>
      </c>
      <c r="F448" t="inlineStr">
        <is>
          <t>공격 반복</t>
        </is>
      </c>
      <c r="G448">
        <v>18</v>
      </c>
      <c r="H448">
        <v>0</v>
      </c>
      <c r="I448">
        <v>150</v>
      </c>
      <c r="J448">
        <v>0</v>
      </c>
      <c r="K448">
        <v>0</v>
      </c>
      <c r="L448" t="inlineStr">
        <is>
          <t>차량 적 · 원본 전투/성장/코인 시스템</t>
        </is>
      </c>
      <c r="M448" t="inlineStr">
        <is>
          <t>Normal</t>
        </is>
      </c>
      <c r="N448">
        <v>0</v>
      </c>
      <c r="O448">
        <f>'밸런스 조정'!C154*'밸런스 조정'!C293*'밸런스 조정'!C151*(1+('몬스터 성장'!G6/'몬스터 성장'!F6-1)*(U448/'밸런스 조정'!C119)^'몬스터 성장'!H6)</f>
        <v>435.264378698</v>
      </c>
      <c r="P448">
        <v>0</v>
      </c>
      <c r="Q448">
        <v>0</v>
      </c>
      <c r="R448">
        <v>62</v>
      </c>
      <c r="S448" t="inlineStr">
        <is>
          <t>Police</t>
        </is>
      </c>
      <c r="T448" t="inlineStr">
        <is>
          <t>Common</t>
        </is>
      </c>
      <c r="U448">
        <v>1505</v>
      </c>
      <c r="V448">
        <v>0</v>
      </c>
      <c r="W448">
        <v>1315.3</v>
      </c>
      <c r="X448">
        <v>6</v>
      </c>
      <c r="Y448">
        <v>0</v>
      </c>
    </row>
    <row r="449">
      <c r="B449">
        <v>457</v>
      </c>
      <c r="C449" t="inlineStr">
        <is>
          <t>HighWay</t>
        </is>
      </c>
      <c r="D449" t="inlineStr">
        <is>
          <t>HWY3_323_Police</t>
        </is>
      </c>
      <c r="E449">
        <v>1</v>
      </c>
      <c r="F449" t="inlineStr">
        <is>
          <t>공격 반복</t>
        </is>
      </c>
      <c r="G449">
        <v>18</v>
      </c>
      <c r="H449">
        <v>0</v>
      </c>
      <c r="I449">
        <v>150</v>
      </c>
      <c r="J449">
        <v>0</v>
      </c>
      <c r="K449">
        <v>0</v>
      </c>
      <c r="L449" t="inlineStr">
        <is>
          <t>차량 적 · 원본 전투/성장/코인 시스템</t>
        </is>
      </c>
      <c r="M449" t="inlineStr">
        <is>
          <t>Normal</t>
        </is>
      </c>
      <c r="N449">
        <v>0</v>
      </c>
      <c r="O449">
        <f>'밸런스 조정'!C154*'밸런스 조정'!C293*'밸런스 조정'!C151*(1+('몬스터 성장'!G6/'몬스터 성장'!F6-1)*(U449/'밸런스 조정'!C119)^'몬스터 성장'!H6)</f>
        <v>433.897884024</v>
      </c>
      <c r="P449">
        <v>0</v>
      </c>
      <c r="Q449">
        <v>0</v>
      </c>
      <c r="R449">
        <v>62</v>
      </c>
      <c r="S449" t="inlineStr">
        <is>
          <t>Police</t>
        </is>
      </c>
      <c r="T449" t="inlineStr">
        <is>
          <t>Common</t>
        </is>
      </c>
      <c r="U449">
        <v>1502</v>
      </c>
      <c r="V449">
        <v>1</v>
      </c>
      <c r="W449">
        <v>1315.3</v>
      </c>
      <c r="X449">
        <v>6</v>
      </c>
      <c r="Y449">
        <v>0</v>
      </c>
    </row>
    <row r="450">
      <c r="B450">
        <v>458</v>
      </c>
      <c r="C450" t="inlineStr">
        <is>
          <t>HighWay</t>
        </is>
      </c>
      <c r="D450" t="inlineStr">
        <is>
          <t>HWY3_324_Police</t>
        </is>
      </c>
      <c r="E450">
        <v>1</v>
      </c>
      <c r="F450" t="inlineStr">
        <is>
          <t>공격 반복</t>
        </is>
      </c>
      <c r="G450">
        <v>18</v>
      </c>
      <c r="H450">
        <v>0</v>
      </c>
      <c r="I450">
        <v>150</v>
      </c>
      <c r="J450">
        <v>0</v>
      </c>
      <c r="K450">
        <v>0</v>
      </c>
      <c r="L450" t="inlineStr">
        <is>
          <t>차량 적 · 원본 전투/성장/코인 시스템</t>
        </is>
      </c>
      <c r="M450" t="inlineStr">
        <is>
          <t>Normal</t>
        </is>
      </c>
      <c r="N450">
        <v>0</v>
      </c>
      <c r="O450">
        <f>'밸런스 조정'!C154*'밸런스 조정'!C293*'밸런스 조정'!C151*(1+('몬스터 성장'!G6/'몬스터 성장'!F6-1)*(U450/'밸런스 조정'!C119)^'몬스터 성장'!H6)</f>
        <v>435.264378698</v>
      </c>
      <c r="P450">
        <v>0</v>
      </c>
      <c r="Q450">
        <v>0</v>
      </c>
      <c r="R450">
        <v>62</v>
      </c>
      <c r="S450" t="inlineStr">
        <is>
          <t>Police</t>
        </is>
      </c>
      <c r="T450" t="inlineStr">
        <is>
          <t>Common</t>
        </is>
      </c>
      <c r="U450">
        <v>1505</v>
      </c>
      <c r="V450">
        <v>2</v>
      </c>
      <c r="W450">
        <v>1315.3</v>
      </c>
      <c r="X450">
        <v>6</v>
      </c>
      <c r="Y450">
        <v>0</v>
      </c>
    </row>
    <row r="451">
      <c r="B451">
        <v>459</v>
      </c>
      <c r="C451" t="inlineStr">
        <is>
          <t>HighWay</t>
        </is>
      </c>
      <c r="D451" t="inlineStr">
        <is>
          <t>HWY3_325_Police</t>
        </is>
      </c>
      <c r="E451">
        <v>1</v>
      </c>
      <c r="F451" t="inlineStr">
        <is>
          <t>공격 반복</t>
        </is>
      </c>
      <c r="G451">
        <v>18</v>
      </c>
      <c r="H451">
        <v>0</v>
      </c>
      <c r="I451">
        <v>150</v>
      </c>
      <c r="J451">
        <v>0</v>
      </c>
      <c r="K451">
        <v>0</v>
      </c>
      <c r="L451" t="inlineStr">
        <is>
          <t>차량 적 · 원본 전투/성장/코인 시스템</t>
        </is>
      </c>
      <c r="M451" t="inlineStr">
        <is>
          <t>Normal</t>
        </is>
      </c>
      <c r="N451">
        <v>0</v>
      </c>
      <c r="O451">
        <f>'밸런스 조정'!C154*'밸런스 조정'!C293*'밸런스 조정'!C151*(1+('몬스터 성장'!G6/'몬스터 성장'!F6-1)*(U451/'밸런스 조정'!C119)^'몬스터 성장'!H6)</f>
        <v>446.294494675</v>
      </c>
      <c r="P451">
        <v>0</v>
      </c>
      <c r="Q451">
        <v>0</v>
      </c>
      <c r="R451">
        <v>62</v>
      </c>
      <c r="S451" t="inlineStr">
        <is>
          <t>Police</t>
        </is>
      </c>
      <c r="T451" t="inlineStr">
        <is>
          <t>Common</t>
        </is>
      </c>
      <c r="U451">
        <v>1529</v>
      </c>
      <c r="V451">
        <v>0</v>
      </c>
      <c r="W451">
        <v>1315.3</v>
      </c>
      <c r="X451">
        <v>6</v>
      </c>
      <c r="Y451">
        <v>0</v>
      </c>
    </row>
    <row r="452">
      <c r="B452">
        <v>460</v>
      </c>
      <c r="C452" t="inlineStr">
        <is>
          <t>HighWay</t>
        </is>
      </c>
      <c r="D452" t="inlineStr">
        <is>
          <t>HWY3_326_Police</t>
        </is>
      </c>
      <c r="E452">
        <v>1</v>
      </c>
      <c r="F452" t="inlineStr">
        <is>
          <t>공격 반복</t>
        </is>
      </c>
      <c r="G452">
        <v>18</v>
      </c>
      <c r="H452">
        <v>0</v>
      </c>
      <c r="I452">
        <v>150</v>
      </c>
      <c r="J452">
        <v>0</v>
      </c>
      <c r="K452">
        <v>0</v>
      </c>
      <c r="L452" t="inlineStr">
        <is>
          <t>차량 적 · 원본 전투/성장/코인 시스템</t>
        </is>
      </c>
      <c r="M452" t="inlineStr">
        <is>
          <t>Normal</t>
        </is>
      </c>
      <c r="N452">
        <v>0</v>
      </c>
      <c r="O452">
        <f>'밸런스 조정'!C154*'밸런스 조정'!C293*'밸런스 조정'!C151*(1+('몬스터 성장'!G6/'몬스터 성장'!F6-1)*(U452/'밸런스 조정'!C119)^'몬스터 성장'!H6)</f>
        <v>444.906186982</v>
      </c>
      <c r="P452">
        <v>0</v>
      </c>
      <c r="Q452">
        <v>0</v>
      </c>
      <c r="R452">
        <v>62</v>
      </c>
      <c r="S452" t="inlineStr">
        <is>
          <t>Police</t>
        </is>
      </c>
      <c r="T452" t="inlineStr">
        <is>
          <t>Common</t>
        </is>
      </c>
      <c r="U452">
        <v>1526</v>
      </c>
      <c r="V452">
        <v>1</v>
      </c>
      <c r="W452">
        <v>1315.3</v>
      </c>
      <c r="X452">
        <v>6</v>
      </c>
      <c r="Y452">
        <v>0</v>
      </c>
    </row>
    <row r="453">
      <c r="B453">
        <v>461</v>
      </c>
      <c r="C453" t="inlineStr">
        <is>
          <t>HighWay</t>
        </is>
      </c>
      <c r="D453" t="inlineStr">
        <is>
          <t>HWY3_327_Police</t>
        </is>
      </c>
      <c r="E453">
        <v>1</v>
      </c>
      <c r="F453" t="inlineStr">
        <is>
          <t>공격 반복</t>
        </is>
      </c>
      <c r="G453">
        <v>18</v>
      </c>
      <c r="H453">
        <v>0</v>
      </c>
      <c r="I453">
        <v>150</v>
      </c>
      <c r="J453">
        <v>0</v>
      </c>
      <c r="K453">
        <v>0</v>
      </c>
      <c r="L453" t="inlineStr">
        <is>
          <t>차량 적 · 원본 전투/성장/코인 시스템</t>
        </is>
      </c>
      <c r="M453" t="inlineStr">
        <is>
          <t>Normal</t>
        </is>
      </c>
      <c r="N453">
        <v>0</v>
      </c>
      <c r="O453">
        <f>'밸런스 조정'!C154*'밸런스 조정'!C293*'밸런스 조정'!C151*(1+('몬스터 성장'!G6/'몬스터 성장'!F6-1)*(U453/'밸런스 조정'!C119)^'몬스터 성장'!H6)</f>
        <v>446.294494675</v>
      </c>
      <c r="P453">
        <v>0</v>
      </c>
      <c r="Q453">
        <v>0</v>
      </c>
      <c r="R453">
        <v>62</v>
      </c>
      <c r="S453" t="inlineStr">
        <is>
          <t>Police</t>
        </is>
      </c>
      <c r="T453" t="inlineStr">
        <is>
          <t>Common</t>
        </is>
      </c>
      <c r="U453">
        <v>1529</v>
      </c>
      <c r="V453">
        <v>2</v>
      </c>
      <c r="W453">
        <v>1315.3</v>
      </c>
      <c r="X453">
        <v>6</v>
      </c>
      <c r="Y453">
        <v>0</v>
      </c>
    </row>
    <row r="454">
      <c r="B454">
        <v>462</v>
      </c>
      <c r="C454" t="inlineStr">
        <is>
          <t>HighWay</t>
        </is>
      </c>
      <c r="D454" t="inlineStr">
        <is>
          <t>HWY3_328_Sedan</t>
        </is>
      </c>
      <c r="E454">
        <v>1</v>
      </c>
      <c r="F454" t="inlineStr">
        <is>
          <t>공격 반복</t>
        </is>
      </c>
      <c r="G454">
        <v>12</v>
      </c>
      <c r="H454">
        <v>0</v>
      </c>
      <c r="I454">
        <v>150</v>
      </c>
      <c r="J454">
        <v>0</v>
      </c>
      <c r="K454">
        <v>0</v>
      </c>
      <c r="L454" t="inlineStr">
        <is>
          <t>차량 적 · 원본 전투/성장/코인 시스템</t>
        </is>
      </c>
      <c r="M454" t="inlineStr">
        <is>
          <t>Normal</t>
        </is>
      </c>
      <c r="N454">
        <v>0</v>
      </c>
      <c r="O454">
        <f>'밸런스 조정'!C154*'밸런스 조정'!C292*'밸런스 조정'!C145*(1+('몬스터 성장'!G6/'몬스터 성장'!F6-1)*(U454/'밸런스 조정'!C119)^'몬스터 성장'!H6)</f>
        <v>851.734385273</v>
      </c>
      <c r="P454">
        <v>0</v>
      </c>
      <c r="Q454">
        <v>0</v>
      </c>
      <c r="R454">
        <v>62</v>
      </c>
      <c r="S454" t="inlineStr">
        <is>
          <t>Sedan</t>
        </is>
      </c>
      <c r="T454" t="inlineStr">
        <is>
          <t>Common</t>
        </is>
      </c>
      <c r="U454">
        <v>2110</v>
      </c>
      <c r="V454">
        <v>0</v>
      </c>
      <c r="W454">
        <v>1998.3</v>
      </c>
      <c r="X454">
        <v>198</v>
      </c>
      <c r="Y454">
        <v>0</v>
      </c>
    </row>
    <row r="455">
      <c r="B455">
        <v>463</v>
      </c>
      <c r="C455" t="inlineStr">
        <is>
          <t>HighWay</t>
        </is>
      </c>
      <c r="D455" t="inlineStr">
        <is>
          <t>HWY3_329_Box</t>
        </is>
      </c>
      <c r="E455">
        <v>1</v>
      </c>
      <c r="F455" t="inlineStr">
        <is>
          <t>공격 반복</t>
        </is>
      </c>
      <c r="G455">
        <v>12</v>
      </c>
      <c r="H455">
        <v>0</v>
      </c>
      <c r="I455">
        <v>150</v>
      </c>
      <c r="J455">
        <v>0</v>
      </c>
      <c r="K455">
        <v>0</v>
      </c>
      <c r="L455" t="inlineStr">
        <is>
          <t>차량 적 · 원본 전투/성장/코인 시스템</t>
        </is>
      </c>
      <c r="M455" t="inlineStr">
        <is>
          <t>Normal</t>
        </is>
      </c>
      <c r="N455">
        <v>0</v>
      </c>
      <c r="O455">
        <f>'밸런스 조정'!C154*'밸런스 조정'!C292*'밸런스 조정'!C148*(1+('몬스터 성장'!G6/'몬스터 성장'!F6-1)*(U455/'밸런스 조정'!C119)^'몬스터 성장'!H6)</f>
        <v>1362.77501644</v>
      </c>
      <c r="P455">
        <v>0</v>
      </c>
      <c r="Q455">
        <v>0</v>
      </c>
      <c r="R455">
        <v>62</v>
      </c>
      <c r="S455" t="inlineStr">
        <is>
          <t>Box</t>
        </is>
      </c>
      <c r="T455" t="inlineStr">
        <is>
          <t>Common</t>
        </is>
      </c>
      <c r="U455">
        <v>2110</v>
      </c>
      <c r="V455">
        <v>1</v>
      </c>
      <c r="W455">
        <v>1998.3</v>
      </c>
      <c r="X455">
        <v>198</v>
      </c>
      <c r="Y455">
        <v>0</v>
      </c>
    </row>
    <row r="456">
      <c r="B456">
        <v>464</v>
      </c>
      <c r="C456" t="inlineStr">
        <is>
          <t>HighWay</t>
        </is>
      </c>
      <c r="D456" t="inlineStr">
        <is>
          <t>HWY3_330_Tanker</t>
        </is>
      </c>
      <c r="E456">
        <v>1</v>
      </c>
      <c r="F456" t="inlineStr">
        <is>
          <t>공격 반복</t>
        </is>
      </c>
      <c r="G456">
        <v>12</v>
      </c>
      <c r="H456">
        <v>0</v>
      </c>
      <c r="I456">
        <v>150</v>
      </c>
      <c r="J456">
        <v>0</v>
      </c>
      <c r="K456">
        <v>0</v>
      </c>
      <c r="L456" t="inlineStr">
        <is>
          <t>차량 적 · 원본 전투/성장/코인 시스템</t>
        </is>
      </c>
      <c r="M456" t="inlineStr">
        <is>
          <t>Normal</t>
        </is>
      </c>
      <c r="N456">
        <v>0</v>
      </c>
      <c r="O456">
        <f>'밸런스 조정'!C154*'밸런스 조정'!C292*'밸런스 조정'!C149*(1+('몬스터 성장'!G6/'몬스터 성장'!F6-1)*(U456/'밸런스 조정'!C119)^'몬스터 성장'!H6)</f>
        <v>1703.46877055</v>
      </c>
      <c r="P456">
        <v>0</v>
      </c>
      <c r="Q456">
        <v>0</v>
      </c>
      <c r="R456">
        <v>124</v>
      </c>
      <c r="S456" t="inlineStr">
        <is>
          <t>Tanker</t>
        </is>
      </c>
      <c r="T456" t="inlineStr">
        <is>
          <t>Common</t>
        </is>
      </c>
      <c r="U456">
        <v>2110</v>
      </c>
      <c r="V456">
        <v>2</v>
      </c>
      <c r="W456">
        <v>1998.3</v>
      </c>
      <c r="X456">
        <v>198</v>
      </c>
      <c r="Y456">
        <v>0</v>
      </c>
    </row>
    <row r="457">
      <c r="B457">
        <v>465</v>
      </c>
      <c r="C457" t="inlineStr">
        <is>
          <t>HighWay</t>
        </is>
      </c>
      <c r="D457" t="inlineStr">
        <is>
          <t>HWY3_331_Taxi</t>
        </is>
      </c>
      <c r="E457">
        <v>1</v>
      </c>
      <c r="F457" t="inlineStr">
        <is>
          <t>공격 반복</t>
        </is>
      </c>
      <c r="G457">
        <v>12</v>
      </c>
      <c r="H457">
        <v>0</v>
      </c>
      <c r="I457">
        <v>150</v>
      </c>
      <c r="J457">
        <v>0</v>
      </c>
      <c r="K457">
        <v>0</v>
      </c>
      <c r="L457" t="inlineStr">
        <is>
          <t>차량 적 · 원본 전투/성장/코인 시스템</t>
        </is>
      </c>
      <c r="M457" t="inlineStr">
        <is>
          <t>Normal</t>
        </is>
      </c>
      <c r="N457">
        <v>0</v>
      </c>
      <c r="O457">
        <f>'밸런스 조정'!C154*'밸런스 조정'!C292*'밸런스 조정'!C146*(1+('몬스터 성장'!G6/'몬스터 성장'!F6-1)*(U457/'밸런스 조정'!C119)^'몬스터 성장'!H6)</f>
        <v>874.635360947</v>
      </c>
      <c r="P457">
        <v>0</v>
      </c>
      <c r="Q457">
        <v>0</v>
      </c>
      <c r="R457">
        <v>62</v>
      </c>
      <c r="S457" t="inlineStr">
        <is>
          <t>Taxi</t>
        </is>
      </c>
      <c r="T457" t="inlineStr">
        <is>
          <t>Common</t>
        </is>
      </c>
      <c r="U457">
        <v>2142</v>
      </c>
      <c r="V457">
        <v>0</v>
      </c>
      <c r="W457">
        <v>2030.3</v>
      </c>
      <c r="X457">
        <v>199</v>
      </c>
      <c r="Y457">
        <v>0</v>
      </c>
    </row>
    <row r="458">
      <c r="B458">
        <v>466</v>
      </c>
      <c r="C458" t="inlineStr">
        <is>
          <t>HighWay</t>
        </is>
      </c>
      <c r="D458" t="inlineStr">
        <is>
          <t>HWY3_332_Tanker</t>
        </is>
      </c>
      <c r="E458">
        <v>1</v>
      </c>
      <c r="F458" t="inlineStr">
        <is>
          <t>공격 반복</t>
        </is>
      </c>
      <c r="G458">
        <v>12</v>
      </c>
      <c r="H458">
        <v>0</v>
      </c>
      <c r="I458">
        <v>150</v>
      </c>
      <c r="J458">
        <v>0</v>
      </c>
      <c r="K458">
        <v>0</v>
      </c>
      <c r="L458" t="inlineStr">
        <is>
          <t>차량 적 · 원본 전투/성장/코인 시스템</t>
        </is>
      </c>
      <c r="M458" t="inlineStr">
        <is>
          <t>Normal</t>
        </is>
      </c>
      <c r="N458">
        <v>0</v>
      </c>
      <c r="O458">
        <f>'밸런스 조정'!C154*'밸런스 조정'!C292*'밸런스 조정'!C149*(1+('몬스터 성장'!G6/'몬스터 성장'!F6-1)*(U458/'밸런스 조정'!C119)^'몬스터 성장'!H6)</f>
        <v>1749.27072189</v>
      </c>
      <c r="P458">
        <v>0</v>
      </c>
      <c r="Q458">
        <v>0</v>
      </c>
      <c r="R458">
        <v>124</v>
      </c>
      <c r="S458" t="inlineStr">
        <is>
          <t>Tanker</t>
        </is>
      </c>
      <c r="T458" t="inlineStr">
        <is>
          <t>Common</t>
        </is>
      </c>
      <c r="U458">
        <v>2142</v>
      </c>
      <c r="V458">
        <v>1</v>
      </c>
      <c r="W458">
        <v>2030.3</v>
      </c>
      <c r="X458">
        <v>199</v>
      </c>
      <c r="Y458">
        <v>0</v>
      </c>
    </row>
    <row r="459">
      <c r="B459">
        <v>467</v>
      </c>
      <c r="C459" t="inlineStr">
        <is>
          <t>HighWay</t>
        </is>
      </c>
      <c r="D459" t="inlineStr">
        <is>
          <t>HWY3_333_OneTon</t>
        </is>
      </c>
      <c r="E459">
        <v>1</v>
      </c>
      <c r="F459" t="inlineStr">
        <is>
          <t>공격 반복</t>
        </is>
      </c>
      <c r="G459">
        <v>12</v>
      </c>
      <c r="H459">
        <v>0</v>
      </c>
      <c r="I459">
        <v>150</v>
      </c>
      <c r="J459">
        <v>0</v>
      </c>
      <c r="K459">
        <v>0</v>
      </c>
      <c r="L459" t="inlineStr">
        <is>
          <t>차량 적 · 원본 전투/성장/코인 시스템</t>
        </is>
      </c>
      <c r="M459" t="inlineStr">
        <is>
          <t>Normal</t>
        </is>
      </c>
      <c r="N459">
        <v>0</v>
      </c>
      <c r="O459">
        <f>'밸런스 조정'!C154*'밸런스 조정'!C292*'밸런스 조정'!C147*(1+('몬스터 성장'!G6/'몬스터 성장'!F6-1)*(U459/'밸런스 조정'!C119)^'몬스터 성장'!H6)</f>
        <v>1137.02596923</v>
      </c>
      <c r="P459">
        <v>0</v>
      </c>
      <c r="Q459">
        <v>0</v>
      </c>
      <c r="R459">
        <v>62</v>
      </c>
      <c r="S459" t="inlineStr">
        <is>
          <t>OneTon</t>
        </is>
      </c>
      <c r="T459" t="inlineStr">
        <is>
          <t>Common</t>
        </is>
      </c>
      <c r="U459">
        <v>2142</v>
      </c>
      <c r="V459">
        <v>2</v>
      </c>
      <c r="W459">
        <v>2030.3</v>
      </c>
      <c r="X459">
        <v>199</v>
      </c>
      <c r="Y459">
        <v>0</v>
      </c>
    </row>
    <row r="460">
      <c r="B460">
        <v>468</v>
      </c>
      <c r="C460" t="inlineStr">
        <is>
          <t>HighWay</t>
        </is>
      </c>
      <c r="D460" t="inlineStr">
        <is>
          <t>HWY3_334_Sedan</t>
        </is>
      </c>
      <c r="E460">
        <v>1</v>
      </c>
      <c r="F460" t="inlineStr">
        <is>
          <t>공격 반복</t>
        </is>
      </c>
      <c r="G460">
        <v>12</v>
      </c>
      <c r="H460">
        <v>0</v>
      </c>
      <c r="I460">
        <v>150</v>
      </c>
      <c r="J460">
        <v>0</v>
      </c>
      <c r="K460">
        <v>0</v>
      </c>
      <c r="L460" t="inlineStr">
        <is>
          <t>차량 적 · 원본 전투/성장/코인 시스템</t>
        </is>
      </c>
      <c r="M460" t="inlineStr">
        <is>
          <t>Normal</t>
        </is>
      </c>
      <c r="N460">
        <v>0</v>
      </c>
      <c r="O460">
        <f>'밸런스 조정'!C154*'밸런스 조정'!C292*'밸런스 조정'!C145*(1+('몬스터 성장'!G6/'몬스터 성장'!F6-1)*(U460/'밸런스 조정'!C119)^'몬스터 성장'!H6)</f>
        <v>897.88103616</v>
      </c>
      <c r="P460">
        <v>0</v>
      </c>
      <c r="Q460">
        <v>0</v>
      </c>
      <c r="R460">
        <v>62</v>
      </c>
      <c r="S460" t="inlineStr">
        <is>
          <t>Sedan</t>
        </is>
      </c>
      <c r="T460" t="inlineStr">
        <is>
          <t>Common</t>
        </is>
      </c>
      <c r="U460">
        <v>2174</v>
      </c>
      <c r="V460">
        <v>0</v>
      </c>
      <c r="W460">
        <v>2062.3</v>
      </c>
      <c r="X460">
        <v>200</v>
      </c>
      <c r="Y460">
        <v>0</v>
      </c>
    </row>
    <row r="461">
      <c r="B461">
        <v>469</v>
      </c>
      <c r="C461" t="inlineStr">
        <is>
          <t>HighWay</t>
        </is>
      </c>
      <c r="D461" t="inlineStr">
        <is>
          <t>HWY3_335_OneTon</t>
        </is>
      </c>
      <c r="E461">
        <v>1</v>
      </c>
      <c r="F461" t="inlineStr">
        <is>
          <t>공격 반복</t>
        </is>
      </c>
      <c r="G461">
        <v>12</v>
      </c>
      <c r="H461">
        <v>0</v>
      </c>
      <c r="I461">
        <v>150</v>
      </c>
      <c r="J461">
        <v>0</v>
      </c>
      <c r="K461">
        <v>0</v>
      </c>
      <c r="L461" t="inlineStr">
        <is>
          <t>차량 적 · 원본 전투/성장/코인 시스템</t>
        </is>
      </c>
      <c r="M461" t="inlineStr">
        <is>
          <t>Normal</t>
        </is>
      </c>
      <c r="N461">
        <v>0</v>
      </c>
      <c r="O461">
        <f>'밸런스 조정'!C154*'밸런스 조정'!C292*'밸런스 조정'!C147*(1+('몬스터 성장'!G6/'몬스터 성장'!F6-1)*(U461/'밸런스 조정'!C119)^'몬스터 성장'!H6)</f>
        <v>1167.24534701</v>
      </c>
      <c r="P461">
        <v>0</v>
      </c>
      <c r="Q461">
        <v>0</v>
      </c>
      <c r="R461">
        <v>62</v>
      </c>
      <c r="S461" t="inlineStr">
        <is>
          <t>OneTon</t>
        </is>
      </c>
      <c r="T461" t="inlineStr">
        <is>
          <t>Common</t>
        </is>
      </c>
      <c r="U461">
        <v>2174</v>
      </c>
      <c r="V461">
        <v>1</v>
      </c>
      <c r="W461">
        <v>2062.3</v>
      </c>
      <c r="X461">
        <v>200</v>
      </c>
      <c r="Y461">
        <v>0</v>
      </c>
    </row>
    <row r="462">
      <c r="B462">
        <v>470</v>
      </c>
      <c r="C462" t="inlineStr">
        <is>
          <t>HighWay</t>
        </is>
      </c>
      <c r="D462" t="inlineStr">
        <is>
          <t>HWY3_336_Box</t>
        </is>
      </c>
      <c r="E462">
        <v>1</v>
      </c>
      <c r="F462" t="inlineStr">
        <is>
          <t>공격 반복</t>
        </is>
      </c>
      <c r="G462">
        <v>12</v>
      </c>
      <c r="H462">
        <v>0</v>
      </c>
      <c r="I462">
        <v>150</v>
      </c>
      <c r="J462">
        <v>0</v>
      </c>
      <c r="K462">
        <v>0</v>
      </c>
      <c r="L462" t="inlineStr">
        <is>
          <t>차량 적 · 원본 전투/성장/코인 시스템</t>
        </is>
      </c>
      <c r="M462" t="inlineStr">
        <is>
          <t>Normal</t>
        </is>
      </c>
      <c r="N462">
        <v>0</v>
      </c>
      <c r="O462">
        <f>'밸런스 조정'!C154*'밸런스 조정'!C292*'밸런스 조정'!C148*(1+('몬스터 성장'!G6/'몬스터 성장'!F6-1)*(U462/'밸런스 조정'!C119)^'몬스터 성장'!H6)</f>
        <v>1436.60965786</v>
      </c>
      <c r="P462">
        <v>0</v>
      </c>
      <c r="Q462">
        <v>0</v>
      </c>
      <c r="R462">
        <v>62</v>
      </c>
      <c r="S462" t="inlineStr">
        <is>
          <t>Box</t>
        </is>
      </c>
      <c r="T462" t="inlineStr">
        <is>
          <t>Common</t>
        </is>
      </c>
      <c r="U462">
        <v>2174</v>
      </c>
      <c r="V462">
        <v>2</v>
      </c>
      <c r="W462">
        <v>2062.3</v>
      </c>
      <c r="X462">
        <v>200</v>
      </c>
      <c r="Y462">
        <v>0</v>
      </c>
    </row>
    <row r="463">
      <c r="B463">
        <v>471</v>
      </c>
      <c r="C463" t="inlineStr">
        <is>
          <t>HighWay</t>
        </is>
      </c>
      <c r="D463" t="inlineStr">
        <is>
          <t>HWY3_337_OneTon</t>
        </is>
      </c>
      <c r="E463">
        <v>1</v>
      </c>
      <c r="F463" t="inlineStr">
        <is>
          <t>공격 반복</t>
        </is>
      </c>
      <c r="G463">
        <v>12</v>
      </c>
      <c r="H463">
        <v>0</v>
      </c>
      <c r="I463">
        <v>150</v>
      </c>
      <c r="J463">
        <v>0</v>
      </c>
      <c r="K463">
        <v>0</v>
      </c>
      <c r="L463" t="inlineStr">
        <is>
          <t>차량 적 · 원본 전투/성장/코인 시스템</t>
        </is>
      </c>
      <c r="M463" t="inlineStr">
        <is>
          <t>Normal</t>
        </is>
      </c>
      <c r="N463">
        <v>0</v>
      </c>
      <c r="O463">
        <f>'밸런스 조정'!C154*'밸런스 조정'!C292*'밸런스 조정'!C147*(1+('몬스터 성장'!G6/'몬스터 성장'!F6-1)*(U463/'밸런스 조정'!C119)^'몬스터 성장'!H6)</f>
        <v>1197.91283419</v>
      </c>
      <c r="P463">
        <v>0</v>
      </c>
      <c r="Q463">
        <v>0</v>
      </c>
      <c r="R463">
        <v>62</v>
      </c>
      <c r="S463" t="inlineStr">
        <is>
          <t>OneTon</t>
        </is>
      </c>
      <c r="T463" t="inlineStr">
        <is>
          <t>Common</t>
        </is>
      </c>
      <c r="U463">
        <v>2206</v>
      </c>
      <c r="V463">
        <v>0</v>
      </c>
      <c r="W463">
        <v>2094.3</v>
      </c>
      <c r="X463">
        <v>201</v>
      </c>
      <c r="Y463">
        <v>0</v>
      </c>
    </row>
    <row r="464">
      <c r="B464">
        <v>472</v>
      </c>
      <c r="C464" t="inlineStr">
        <is>
          <t>HighWay</t>
        </is>
      </c>
      <c r="D464" t="inlineStr">
        <is>
          <t>HWY3_338_Taxi</t>
        </is>
      </c>
      <c r="E464">
        <v>1</v>
      </c>
      <c r="F464" t="inlineStr">
        <is>
          <t>공격 반복</t>
        </is>
      </c>
      <c r="G464">
        <v>12</v>
      </c>
      <c r="H464">
        <v>0</v>
      </c>
      <c r="I464">
        <v>150</v>
      </c>
      <c r="J464">
        <v>0</v>
      </c>
      <c r="K464">
        <v>0</v>
      </c>
      <c r="L464" t="inlineStr">
        <is>
          <t>차량 적 · 원본 전투/성장/코인 시스템</t>
        </is>
      </c>
      <c r="M464" t="inlineStr">
        <is>
          <t>Normal</t>
        </is>
      </c>
      <c r="N464">
        <v>0</v>
      </c>
      <c r="O464">
        <f>'밸런스 조정'!C154*'밸런스 조정'!C292*'밸런스 조정'!C146*(1+('몬스터 성장'!G6/'몬스터 성장'!F6-1)*(U464/'밸런스 조정'!C119)^'몬스터 성장'!H6)</f>
        <v>921.471410914</v>
      </c>
      <c r="P464">
        <v>0</v>
      </c>
      <c r="Q464">
        <v>0</v>
      </c>
      <c r="R464">
        <v>62</v>
      </c>
      <c r="S464" t="inlineStr">
        <is>
          <t>Taxi</t>
        </is>
      </c>
      <c r="T464" t="inlineStr">
        <is>
          <t>Common</t>
        </is>
      </c>
      <c r="U464">
        <v>2206</v>
      </c>
      <c r="V464">
        <v>1</v>
      </c>
      <c r="W464">
        <v>2094.3</v>
      </c>
      <c r="X464">
        <v>201</v>
      </c>
      <c r="Y464">
        <v>0</v>
      </c>
    </row>
    <row r="465">
      <c r="B465">
        <v>473</v>
      </c>
      <c r="C465" t="inlineStr">
        <is>
          <t>HighWay</t>
        </is>
      </c>
      <c r="D465" t="inlineStr">
        <is>
          <t>HWY3_339_Tanker</t>
        </is>
      </c>
      <c r="E465">
        <v>1</v>
      </c>
      <c r="F465" t="inlineStr">
        <is>
          <t>공격 반복</t>
        </is>
      </c>
      <c r="G465">
        <v>12</v>
      </c>
      <c r="H465">
        <v>0</v>
      </c>
      <c r="I465">
        <v>150</v>
      </c>
      <c r="J465">
        <v>0</v>
      </c>
      <c r="K465">
        <v>0</v>
      </c>
      <c r="L465" t="inlineStr">
        <is>
          <t>차량 적 · 원본 전투/성장/코인 시스템</t>
        </is>
      </c>
      <c r="M465" t="inlineStr">
        <is>
          <t>Normal</t>
        </is>
      </c>
      <c r="N465">
        <v>0</v>
      </c>
      <c r="O465">
        <f>'밸런스 조정'!C154*'밸런스 조정'!C292*'밸런스 조정'!C149*(1+('몬스터 성장'!G6/'몬스터 성장'!F6-1)*(U465/'밸런스 조정'!C119)^'몬스터 성장'!H6)</f>
        <v>1842.94282183</v>
      </c>
      <c r="P465">
        <v>0</v>
      </c>
      <c r="Q465">
        <v>0</v>
      </c>
      <c r="R465">
        <v>124</v>
      </c>
      <c r="S465" t="inlineStr">
        <is>
          <t>Tanker</t>
        </is>
      </c>
      <c r="T465" t="inlineStr">
        <is>
          <t>Common</t>
        </is>
      </c>
      <c r="U465">
        <v>2206</v>
      </c>
      <c r="V465">
        <v>2</v>
      </c>
      <c r="W465">
        <v>2094.3</v>
      </c>
      <c r="X465">
        <v>201</v>
      </c>
      <c r="Y465">
        <v>0</v>
      </c>
    </row>
    <row r="466">
      <c r="B466">
        <v>474</v>
      </c>
      <c r="C466" t="inlineStr">
        <is>
          <t>HighWay</t>
        </is>
      </c>
      <c r="D466" t="inlineStr">
        <is>
          <t>HWY3_340_Box</t>
        </is>
      </c>
      <c r="E466">
        <v>1</v>
      </c>
      <c r="F466" t="inlineStr">
        <is>
          <t>공격 반복</t>
        </is>
      </c>
      <c r="G466">
        <v>12</v>
      </c>
      <c r="H466">
        <v>0</v>
      </c>
      <c r="I466">
        <v>150</v>
      </c>
      <c r="J466">
        <v>0</v>
      </c>
      <c r="K466">
        <v>0</v>
      </c>
      <c r="L466" t="inlineStr">
        <is>
          <t>차량 적 · 원본 전투/성장/코인 시스템</t>
        </is>
      </c>
      <c r="M466" t="inlineStr">
        <is>
          <t>Normal</t>
        </is>
      </c>
      <c r="N466">
        <v>0</v>
      </c>
      <c r="O466">
        <f>'밸런스 조정'!C154*'밸런스 조정'!C292*'밸런스 조정'!C148*(1+('몬스터 성장'!G6/'몬스터 성장'!F6-1)*(U466/'밸런스 조정'!C119)^'몬스터 성장'!H6)</f>
        <v>1512.65037633</v>
      </c>
      <c r="P466">
        <v>0</v>
      </c>
      <c r="Q466">
        <v>0</v>
      </c>
      <c r="R466">
        <v>62</v>
      </c>
      <c r="S466" t="inlineStr">
        <is>
          <t>Box</t>
        </is>
      </c>
      <c r="T466" t="inlineStr">
        <is>
          <t>Common</t>
        </is>
      </c>
      <c r="U466">
        <v>2238</v>
      </c>
      <c r="V466">
        <v>0</v>
      </c>
      <c r="W466">
        <v>2126.3</v>
      </c>
      <c r="X466">
        <v>202</v>
      </c>
      <c r="Y466">
        <v>0</v>
      </c>
    </row>
    <row r="467">
      <c r="B467">
        <v>475</v>
      </c>
      <c r="C467" t="inlineStr">
        <is>
          <t>HighWay</t>
        </is>
      </c>
      <c r="D467" t="inlineStr">
        <is>
          <t>HWY3_341_Sedan</t>
        </is>
      </c>
      <c r="E467">
        <v>1</v>
      </c>
      <c r="F467" t="inlineStr">
        <is>
          <t>공격 반복</t>
        </is>
      </c>
      <c r="G467">
        <v>12</v>
      </c>
      <c r="H467">
        <v>0</v>
      </c>
      <c r="I467">
        <v>150</v>
      </c>
      <c r="J467">
        <v>0</v>
      </c>
      <c r="K467">
        <v>0</v>
      </c>
      <c r="L467" t="inlineStr">
        <is>
          <t>차량 적 · 원본 전투/성장/코인 시스템</t>
        </is>
      </c>
      <c r="M467" t="inlineStr">
        <is>
          <t>Normal</t>
        </is>
      </c>
      <c r="N467">
        <v>0</v>
      </c>
      <c r="O467">
        <f>'밸런스 조정'!C154*'밸런스 조정'!C292*'밸런스 조정'!C145*(1+('몬스터 성장'!G6/'몬스터 성장'!F6-1)*(U467/'밸런스 조정'!C119)^'몬스터 성장'!H6)</f>
        <v>945.406485207</v>
      </c>
      <c r="P467">
        <v>0</v>
      </c>
      <c r="Q467">
        <v>0</v>
      </c>
      <c r="R467">
        <v>62</v>
      </c>
      <c r="S467" t="inlineStr">
        <is>
          <t>Sedan</t>
        </is>
      </c>
      <c r="T467" t="inlineStr">
        <is>
          <t>Common</t>
        </is>
      </c>
      <c r="U467">
        <v>2238</v>
      </c>
      <c r="V467">
        <v>1</v>
      </c>
      <c r="W467">
        <v>2126.3</v>
      </c>
      <c r="X467">
        <v>202</v>
      </c>
      <c r="Y467">
        <v>0</v>
      </c>
    </row>
    <row r="468">
      <c r="B468">
        <v>476</v>
      </c>
      <c r="C468" t="inlineStr">
        <is>
          <t>HighWay</t>
        </is>
      </c>
      <c r="D468" t="inlineStr">
        <is>
          <t>HWY3_342_OneTon</t>
        </is>
      </c>
      <c r="E468">
        <v>1</v>
      </c>
      <c r="F468" t="inlineStr">
        <is>
          <t>공격 반복</t>
        </is>
      </c>
      <c r="G468">
        <v>12</v>
      </c>
      <c r="H468">
        <v>0</v>
      </c>
      <c r="I468">
        <v>150</v>
      </c>
      <c r="J468">
        <v>0</v>
      </c>
      <c r="K468">
        <v>0</v>
      </c>
      <c r="L468" t="inlineStr">
        <is>
          <t>차량 적 · 원본 전투/성장/코인 시스템</t>
        </is>
      </c>
      <c r="M468" t="inlineStr">
        <is>
          <t>Normal</t>
        </is>
      </c>
      <c r="N468">
        <v>0</v>
      </c>
      <c r="O468">
        <f>'밸런스 조정'!C154*'밸런스 조정'!C292*'밸런스 조정'!C147*(1+('몬스터 성장'!G6/'몬스터 성장'!F6-1)*(U468/'밸런스 조정'!C119)^'몬스터 성장'!H6)</f>
        <v>1229.02843077</v>
      </c>
      <c r="P468">
        <v>0</v>
      </c>
      <c r="Q468">
        <v>0</v>
      </c>
      <c r="R468">
        <v>62</v>
      </c>
      <c r="S468" t="inlineStr">
        <is>
          <t>OneTon</t>
        </is>
      </c>
      <c r="T468" t="inlineStr">
        <is>
          <t>Common</t>
        </is>
      </c>
      <c r="U468">
        <v>2238</v>
      </c>
      <c r="V468">
        <v>2</v>
      </c>
      <c r="W468">
        <v>2126.3</v>
      </c>
      <c r="X468">
        <v>202</v>
      </c>
      <c r="Y468">
        <v>0</v>
      </c>
    </row>
    <row r="469">
      <c r="B469">
        <v>477</v>
      </c>
      <c r="C469" t="inlineStr">
        <is>
          <t>HighWay</t>
        </is>
      </c>
      <c r="D469" t="inlineStr">
        <is>
          <t>HWY3_343_Tanker</t>
        </is>
      </c>
      <c r="E469">
        <v>1</v>
      </c>
      <c r="F469" t="inlineStr">
        <is>
          <t>공격 반복</t>
        </is>
      </c>
      <c r="G469">
        <v>12</v>
      </c>
      <c r="H469">
        <v>0</v>
      </c>
      <c r="I469">
        <v>150</v>
      </c>
      <c r="J469">
        <v>0</v>
      </c>
      <c r="K469">
        <v>0</v>
      </c>
      <c r="L469" t="inlineStr">
        <is>
          <t>차량 적 · 원본 전투/성장/코인 시스템</t>
        </is>
      </c>
      <c r="M469" t="inlineStr">
        <is>
          <t>Normal</t>
        </is>
      </c>
      <c r="N469">
        <v>0</v>
      </c>
      <c r="O469">
        <f>'밸런스 조정'!C154*'밸런스 조정'!C292*'밸런스 조정'!C149*(1+('몬스터 성장'!G6/'몬스터 성장'!F6-1)*(U469/'밸런스 조정'!C119)^'몬스터 성장'!H6)</f>
        <v>1939.37251808</v>
      </c>
      <c r="P469">
        <v>0</v>
      </c>
      <c r="Q469">
        <v>0</v>
      </c>
      <c r="R469">
        <v>124</v>
      </c>
      <c r="S469" t="inlineStr">
        <is>
          <t>Tanker</t>
        </is>
      </c>
      <c r="T469" t="inlineStr">
        <is>
          <t>Common</t>
        </is>
      </c>
      <c r="U469">
        <v>2270</v>
      </c>
      <c r="V469">
        <v>0</v>
      </c>
      <c r="W469">
        <v>2158.3</v>
      </c>
      <c r="X469">
        <v>203</v>
      </c>
      <c r="Y469">
        <v>0</v>
      </c>
    </row>
    <row r="470">
      <c r="B470">
        <v>478</v>
      </c>
      <c r="C470" t="inlineStr">
        <is>
          <t>HighWay</t>
        </is>
      </c>
      <c r="D470" t="inlineStr">
        <is>
          <t>HWY3_344_Taxi</t>
        </is>
      </c>
      <c r="E470">
        <v>1</v>
      </c>
      <c r="F470" t="inlineStr">
        <is>
          <t>공격 반복</t>
        </is>
      </c>
      <c r="G470">
        <v>12</v>
      </c>
      <c r="H470">
        <v>0</v>
      </c>
      <c r="I470">
        <v>150</v>
      </c>
      <c r="J470">
        <v>0</v>
      </c>
      <c r="K470">
        <v>0</v>
      </c>
      <c r="L470" t="inlineStr">
        <is>
          <t>차량 적 · 원본 전투/성장/코인 시스템</t>
        </is>
      </c>
      <c r="M470" t="inlineStr">
        <is>
          <t>Normal</t>
        </is>
      </c>
      <c r="N470">
        <v>0</v>
      </c>
      <c r="O470">
        <f>'밸런스 조정'!C154*'밸런스 조정'!C292*'밸런스 조정'!C146*(1+('몬스터 성장'!G6/'몬스터 성장'!F6-1)*(U470/'밸런스 조정'!C119)^'몬스터 성장'!H6)</f>
        <v>969.68625904</v>
      </c>
      <c r="P470">
        <v>0</v>
      </c>
      <c r="Q470">
        <v>0</v>
      </c>
      <c r="R470">
        <v>62</v>
      </c>
      <c r="S470" t="inlineStr">
        <is>
          <t>Taxi</t>
        </is>
      </c>
      <c r="T470" t="inlineStr">
        <is>
          <t>Common</t>
        </is>
      </c>
      <c r="U470">
        <v>2270</v>
      </c>
      <c r="V470">
        <v>1</v>
      </c>
      <c r="W470">
        <v>2158.3</v>
      </c>
      <c r="X470">
        <v>203</v>
      </c>
      <c r="Y470">
        <v>0</v>
      </c>
    </row>
    <row r="471">
      <c r="B471">
        <v>479</v>
      </c>
      <c r="C471" t="inlineStr">
        <is>
          <t>HighWay</t>
        </is>
      </c>
      <c r="D471" t="inlineStr">
        <is>
          <t>HWY3_345_Box</t>
        </is>
      </c>
      <c r="E471">
        <v>1</v>
      </c>
      <c r="F471" t="inlineStr">
        <is>
          <t>공격 반복</t>
        </is>
      </c>
      <c r="G471">
        <v>12</v>
      </c>
      <c r="H471">
        <v>0</v>
      </c>
      <c r="I471">
        <v>150</v>
      </c>
      <c r="J471">
        <v>0</v>
      </c>
      <c r="K471">
        <v>0</v>
      </c>
      <c r="L471" t="inlineStr">
        <is>
          <t>차량 적 · 원본 전투/성장/코인 시스템</t>
        </is>
      </c>
      <c r="M471" t="inlineStr">
        <is>
          <t>Normal</t>
        </is>
      </c>
      <c r="N471">
        <v>0</v>
      </c>
      <c r="O471">
        <f>'밸런스 조정'!C154*'밸런스 조정'!C292*'밸런스 조정'!C148*(1+('몬스터 성장'!G6/'몬스터 성장'!F6-1)*(U471/'밸런스 조정'!C119)^'몬스터 성장'!H6)</f>
        <v>1551.49801446</v>
      </c>
      <c r="P471">
        <v>0</v>
      </c>
      <c r="Q471">
        <v>0</v>
      </c>
      <c r="R471">
        <v>62</v>
      </c>
      <c r="S471" t="inlineStr">
        <is>
          <t>Box</t>
        </is>
      </c>
      <c r="T471" t="inlineStr">
        <is>
          <t>Common</t>
        </is>
      </c>
      <c r="U471">
        <v>2270</v>
      </c>
      <c r="V471">
        <v>2</v>
      </c>
      <c r="W471">
        <v>2158.3</v>
      </c>
      <c r="X471">
        <v>203</v>
      </c>
      <c r="Y471">
        <v>0</v>
      </c>
    </row>
    <row r="472">
      <c r="B472">
        <v>480</v>
      </c>
      <c r="C472" t="inlineStr">
        <is>
          <t>HighWay</t>
        </is>
      </c>
      <c r="D472" t="inlineStr">
        <is>
          <t>HWY3_346_OneTon</t>
        </is>
      </c>
      <c r="E472">
        <v>1</v>
      </c>
      <c r="F472" t="inlineStr">
        <is>
          <t>공격 반복</t>
        </is>
      </c>
      <c r="G472">
        <v>12</v>
      </c>
      <c r="H472">
        <v>0</v>
      </c>
      <c r="I472">
        <v>150</v>
      </c>
      <c r="J472">
        <v>0</v>
      </c>
      <c r="K472">
        <v>0</v>
      </c>
      <c r="L472" t="inlineStr">
        <is>
          <t>차량 적 · 원본 전투/성장/코인 시스템</t>
        </is>
      </c>
      <c r="M472" t="inlineStr">
        <is>
          <t>Normal</t>
        </is>
      </c>
      <c r="N472">
        <v>0</v>
      </c>
      <c r="O472">
        <f>'밸런스 조정'!C154*'밸런스 조정'!C292*'밸런스 조정'!C147*(1+('몬스터 성장'!G6/'몬스터 성장'!F6-1)*(U472/'밸런스 조정'!C119)^'몬스터 성장'!H6)</f>
        <v>1292.60395214</v>
      </c>
      <c r="P472">
        <v>0</v>
      </c>
      <c r="Q472">
        <v>0</v>
      </c>
      <c r="R472">
        <v>62</v>
      </c>
      <c r="S472" t="inlineStr">
        <is>
          <t>OneTon</t>
        </is>
      </c>
      <c r="T472" t="inlineStr">
        <is>
          <t>Common</t>
        </is>
      </c>
      <c r="U472">
        <v>2302</v>
      </c>
      <c r="V472">
        <v>0</v>
      </c>
      <c r="W472">
        <v>2190.3</v>
      </c>
      <c r="X472">
        <v>204</v>
      </c>
      <c r="Y472">
        <v>0</v>
      </c>
    </row>
    <row r="473">
      <c r="B473">
        <v>481</v>
      </c>
      <c r="C473" t="inlineStr">
        <is>
          <t>HighWay</t>
        </is>
      </c>
      <c r="D473" t="inlineStr">
        <is>
          <t>HWY3_347_Box</t>
        </is>
      </c>
      <c r="E473">
        <v>1</v>
      </c>
      <c r="F473" t="inlineStr">
        <is>
          <t>공격 반복</t>
        </is>
      </c>
      <c r="G473">
        <v>12</v>
      </c>
      <c r="H473">
        <v>0</v>
      </c>
      <c r="I473">
        <v>150</v>
      </c>
      <c r="J473">
        <v>0</v>
      </c>
      <c r="K473">
        <v>0</v>
      </c>
      <c r="L473" t="inlineStr">
        <is>
          <t>차량 적 · 원본 전투/성장/코인 시스템</t>
        </is>
      </c>
      <c r="M473" t="inlineStr">
        <is>
          <t>Normal</t>
        </is>
      </c>
      <c r="N473">
        <v>0</v>
      </c>
      <c r="O473">
        <f>'밸런스 조정'!C154*'밸런스 조정'!C292*'밸런스 조정'!C148*(1+('몬스터 성장'!G6/'몬스터 성장'!F6-1)*(U473/'밸런스 조정'!C119)^'몬스터 성장'!H6)</f>
        <v>1590.89717186</v>
      </c>
      <c r="P473">
        <v>0</v>
      </c>
      <c r="Q473">
        <v>0</v>
      </c>
      <c r="R473">
        <v>62</v>
      </c>
      <c r="S473" t="inlineStr">
        <is>
          <t>Box</t>
        </is>
      </c>
      <c r="T473" t="inlineStr">
        <is>
          <t>Common</t>
        </is>
      </c>
      <c r="U473">
        <v>2302</v>
      </c>
      <c r="V473">
        <v>1</v>
      </c>
      <c r="W473">
        <v>2190.3</v>
      </c>
      <c r="X473">
        <v>204</v>
      </c>
      <c r="Y473">
        <v>0</v>
      </c>
    </row>
    <row r="474">
      <c r="B474">
        <v>482</v>
      </c>
      <c r="C474" t="inlineStr">
        <is>
          <t>HighWay</t>
        </is>
      </c>
      <c r="D474" t="inlineStr">
        <is>
          <t>HWY3_348_Sedan</t>
        </is>
      </c>
      <c r="E474">
        <v>1</v>
      </c>
      <c r="F474" t="inlineStr">
        <is>
          <t>공격 반복</t>
        </is>
      </c>
      <c r="G474">
        <v>12</v>
      </c>
      <c r="H474">
        <v>0</v>
      </c>
      <c r="I474">
        <v>150</v>
      </c>
      <c r="J474">
        <v>0</v>
      </c>
      <c r="K474">
        <v>0</v>
      </c>
      <c r="L474" t="inlineStr">
        <is>
          <t>차량 적 · 원본 전투/성장/코인 시스템</t>
        </is>
      </c>
      <c r="M474" t="inlineStr">
        <is>
          <t>Normal</t>
        </is>
      </c>
      <c r="N474">
        <v>0</v>
      </c>
      <c r="O474">
        <f>'밸런스 조정'!C154*'밸런스 조정'!C292*'밸런스 조정'!C145*(1+('몬스터 성장'!G6/'몬스터 성장'!F6-1)*(U474/'밸런스 조정'!C119)^'몬스터 성장'!H6)</f>
        <v>994.310732413</v>
      </c>
      <c r="P474">
        <v>0</v>
      </c>
      <c r="Q474">
        <v>0</v>
      </c>
      <c r="R474">
        <v>62</v>
      </c>
      <c r="S474" t="inlineStr">
        <is>
          <t>Sedan</t>
        </is>
      </c>
      <c r="T474" t="inlineStr">
        <is>
          <t>Common</t>
        </is>
      </c>
      <c r="U474">
        <v>2302</v>
      </c>
      <c r="V474">
        <v>2</v>
      </c>
      <c r="W474">
        <v>2190.3</v>
      </c>
      <c r="X474">
        <v>204</v>
      </c>
      <c r="Y474">
        <v>0</v>
      </c>
    </row>
    <row r="475">
      <c r="B475">
        <v>483</v>
      </c>
      <c r="C475" t="inlineStr">
        <is>
          <t>HighWay</t>
        </is>
      </c>
      <c r="D475" t="inlineStr">
        <is>
          <t>HWY3_349_Box</t>
        </is>
      </c>
      <c r="E475">
        <v>1</v>
      </c>
      <c r="F475" t="inlineStr">
        <is>
          <t>공격 반복</t>
        </is>
      </c>
      <c r="G475">
        <v>12</v>
      </c>
      <c r="H475">
        <v>0</v>
      </c>
      <c r="I475">
        <v>150</v>
      </c>
      <c r="J475">
        <v>0</v>
      </c>
      <c r="K475">
        <v>0</v>
      </c>
      <c r="L475" t="inlineStr">
        <is>
          <t>차량 적 · 원본 전투/성장/코인 시스템</t>
        </is>
      </c>
      <c r="M475" t="inlineStr">
        <is>
          <t>Normal</t>
        </is>
      </c>
      <c r="N475">
        <v>0</v>
      </c>
      <c r="O475">
        <f>'밸런스 조정'!C154*'밸런스 조정'!C292*'밸런스 조정'!C148*(1+('몬스터 성장'!G6/'몬스터 성장'!F6-1)*(U475/'밸런스 조정'!C119)^'몬스터 성장'!H6)</f>
        <v>1630.84784852</v>
      </c>
      <c r="P475">
        <v>0</v>
      </c>
      <c r="Q475">
        <v>0</v>
      </c>
      <c r="R475">
        <v>62</v>
      </c>
      <c r="S475" t="inlineStr">
        <is>
          <t>Box</t>
        </is>
      </c>
      <c r="T475" t="inlineStr">
        <is>
          <t>Common</t>
        </is>
      </c>
      <c r="U475">
        <v>2334</v>
      </c>
      <c r="V475">
        <v>0</v>
      </c>
      <c r="W475">
        <v>2222.3</v>
      </c>
      <c r="X475">
        <v>205</v>
      </c>
      <c r="Y475">
        <v>0</v>
      </c>
    </row>
    <row r="476">
      <c r="B476">
        <v>484</v>
      </c>
      <c r="C476" t="inlineStr">
        <is>
          <t>HighWay</t>
        </is>
      </c>
      <c r="D476" t="inlineStr">
        <is>
          <t>HWY3_350_Tanker</t>
        </is>
      </c>
      <c r="E476">
        <v>1</v>
      </c>
      <c r="F476" t="inlineStr">
        <is>
          <t>공격 반복</t>
        </is>
      </c>
      <c r="G476">
        <v>12</v>
      </c>
      <c r="H476">
        <v>0</v>
      </c>
      <c r="I476">
        <v>150</v>
      </c>
      <c r="J476">
        <v>0</v>
      </c>
      <c r="K476">
        <v>0</v>
      </c>
      <c r="L476" t="inlineStr">
        <is>
          <t>차량 적 · 원본 전투/성장/코인 시스템</t>
        </is>
      </c>
      <c r="M476" t="inlineStr">
        <is>
          <t>Normal</t>
        </is>
      </c>
      <c r="N476">
        <v>0</v>
      </c>
      <c r="O476">
        <f>'밸런스 조정'!C154*'밸런스 조정'!C292*'밸런스 조정'!C149*(1+('몬스터 성장'!G6/'몬스터 성장'!F6-1)*(U476/'밸런스 조정'!C119)^'몬스터 성장'!H6)</f>
        <v>2038.55981065</v>
      </c>
      <c r="P476">
        <v>0</v>
      </c>
      <c r="Q476">
        <v>0</v>
      </c>
      <c r="R476">
        <v>124</v>
      </c>
      <c r="S476" t="inlineStr">
        <is>
          <t>Tanker</t>
        </is>
      </c>
      <c r="T476" t="inlineStr">
        <is>
          <t>Common</t>
        </is>
      </c>
      <c r="U476">
        <v>2334</v>
      </c>
      <c r="V476">
        <v>1</v>
      </c>
      <c r="W476">
        <v>2222.3</v>
      </c>
      <c r="X476">
        <v>205</v>
      </c>
      <c r="Y476">
        <v>0</v>
      </c>
    </row>
    <row r="477">
      <c r="B477">
        <v>485</v>
      </c>
      <c r="C477" t="inlineStr">
        <is>
          <t>HighWay</t>
        </is>
      </c>
      <c r="D477" t="inlineStr">
        <is>
          <t>HWY3_351_Taxi</t>
        </is>
      </c>
      <c r="E477">
        <v>1</v>
      </c>
      <c r="F477" t="inlineStr">
        <is>
          <t>공격 반복</t>
        </is>
      </c>
      <c r="G477">
        <v>12</v>
      </c>
      <c r="H477">
        <v>0</v>
      </c>
      <c r="I477">
        <v>150</v>
      </c>
      <c r="J477">
        <v>0</v>
      </c>
      <c r="K477">
        <v>0</v>
      </c>
      <c r="L477" t="inlineStr">
        <is>
          <t>차량 적 · 원본 전투/성장/코인 시스템</t>
        </is>
      </c>
      <c r="M477" t="inlineStr">
        <is>
          <t>Normal</t>
        </is>
      </c>
      <c r="N477">
        <v>0</v>
      </c>
      <c r="O477">
        <f>'밸런스 조정'!C154*'밸런스 조정'!C292*'밸런스 조정'!C146*(1+('몬스터 성장'!G6/'몬스터 성장'!F6-1)*(U477/'밸런스 조정'!C119)^'몬스터 성장'!H6)</f>
        <v>1019.27990533</v>
      </c>
      <c r="P477">
        <v>0</v>
      </c>
      <c r="Q477">
        <v>0</v>
      </c>
      <c r="R477">
        <v>62</v>
      </c>
      <c r="S477" t="inlineStr">
        <is>
          <t>Taxi</t>
        </is>
      </c>
      <c r="T477" t="inlineStr">
        <is>
          <t>Common</t>
        </is>
      </c>
      <c r="U477">
        <v>2334</v>
      </c>
      <c r="V477">
        <v>2</v>
      </c>
      <c r="W477">
        <v>2222.3</v>
      </c>
      <c r="X477">
        <v>205</v>
      </c>
      <c r="Y477">
        <v>0</v>
      </c>
    </row>
  </sheetData>
  <phoneticPr fontId="12" type="noConversion"/>
  <dataValidations count="3">
    <dataValidation type="list" sqref="E3:E29 Q3:Q102" xr:uid="{00000000-0002-0000-0800-000000000000}">
      <formula1>"0,1"</formula1>
    </dataValidation>
    <dataValidation type="list" sqref="F3:F29" xr:uid="{00000000-0002-0000-0800-000001000000}">
      <formula1>"공격 반복,공격 한 번,사격,왕복,이동 후 공격,전방 매복 사격"</formula1>
    </dataValidation>
    <dataValidation type="list" sqref="M3:M102" xr:uid="{00000000-0002-0000-0800-000002000000}">
      <formula1>"Normal,Elite,Boss"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mc="http://schemas.openxmlformats.org/markup-compatibility/2006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00000000-0001-0000-0900-000000000000}">
  <dimension ref="B1:G65"/>
  <sheetViews>
    <sheetView workbookViewId="0">
      <pane ySplit="2" topLeftCell="A3" activePane="bottomLeft" state="frozen"/>
      <selection pane="bottomLeft"/>
    </sheetView>
  </sheetViews>
  <sheetFormatPr defaultRowHeight="16.5"/>
  <cols>
    <col min="2" max="2" width="7" customWidth="1"/>
    <col min="3" max="3" width="38" customWidth="1"/>
    <col min="4" max="4" width="61" customWidth="1"/>
    <col min="5" max="6" width="15" customWidth="1"/>
    <col min="7" max="7" width="55" customWidth="1"/>
  </cols>
  <sheetData>
    <row r="1" spans="2:7">
      <c r="B1" s="16" t="s">
        <v>359</v>
      </c>
      <c r="C1" s="16"/>
      <c r="D1" s="16"/>
      <c r="E1" s="16"/>
      <c r="F1" s="16"/>
      <c r="G1" s="16"/>
    </row>
    <row r="2" spans="2:7" ht="27.95" customHeight="1">
      <c r="B2" s="17" t="s">
        <v>77</v>
      </c>
      <c r="C2" s="17" t="s">
        <v>183</v>
      </c>
      <c r="D2" s="17" t="s">
        <v>184</v>
      </c>
      <c r="E2" s="17" t="s">
        <v>185</v>
      </c>
      <c r="F2" s="17" t="s">
        <v>360</v>
      </c>
      <c r="G2" s="17" t="s">
        <v>192</v>
      </c>
    </row>
    <row r="3" spans="2:7" ht="30" customHeight="1">
      <c r="B3" s="19">
        <v>1</v>
      </c>
      <c r="C3" s="16" t="s">
        <v>197</v>
      </c>
      <c r="D3" s="16" t="s">
        <v>361</v>
      </c>
      <c r="E3" s="20">
        <v>1</v>
      </c>
      <c r="F3" s="21" t="s">
        <v>43</v>
      </c>
      <c r="G3" s="18" t="s">
        <v>362</v>
      </c>
    </row>
    <row r="4" spans="2:7" ht="30" customHeight="1">
      <c r="B4" s="19">
        <v>2</v>
      </c>
      <c r="C4" s="16" t="s">
        <v>197</v>
      </c>
      <c r="D4" s="16" t="s">
        <v>363</v>
      </c>
      <c r="E4" s="20">
        <v>1</v>
      </c>
      <c r="F4" s="21" t="s">
        <v>43</v>
      </c>
      <c r="G4" s="18" t="s">
        <v>362</v>
      </c>
    </row>
    <row r="5" spans="2:7" ht="30" customHeight="1">
      <c r="B5" s="19">
        <v>3</v>
      </c>
      <c r="C5" s="16" t="s">
        <v>197</v>
      </c>
      <c r="D5" s="16" t="s">
        <v>364</v>
      </c>
      <c r="E5" s="20">
        <v>1</v>
      </c>
      <c r="F5" s="21" t="s">
        <v>43</v>
      </c>
      <c r="G5" s="18" t="s">
        <v>362</v>
      </c>
    </row>
    <row r="6" spans="2:7" ht="30" customHeight="1">
      <c r="B6" s="19">
        <v>4</v>
      </c>
      <c r="C6" s="16" t="s">
        <v>197</v>
      </c>
      <c r="D6" s="16" t="s">
        <v>365</v>
      </c>
      <c r="E6" s="20">
        <v>1</v>
      </c>
      <c r="F6" s="21" t="s">
        <v>59</v>
      </c>
      <c r="G6" s="18" t="s">
        <v>362</v>
      </c>
    </row>
    <row r="7" spans="2:7" ht="30" customHeight="1">
      <c r="B7" s="19">
        <v>5</v>
      </c>
      <c r="C7" s="16" t="s">
        <v>197</v>
      </c>
      <c r="D7" s="16" t="s">
        <v>366</v>
      </c>
      <c r="E7" s="20">
        <v>1</v>
      </c>
      <c r="F7" s="21" t="s">
        <v>43</v>
      </c>
      <c r="G7" s="18" t="s">
        <v>362</v>
      </c>
    </row>
    <row r="8" spans="2:7" ht="30" customHeight="1">
      <c r="B8" s="19">
        <v>6</v>
      </c>
      <c r="C8" s="16" t="s">
        <v>197</v>
      </c>
      <c r="D8" s="16" t="s">
        <v>367</v>
      </c>
      <c r="E8" s="20">
        <v>1</v>
      </c>
      <c r="F8" s="21" t="s">
        <v>43</v>
      </c>
      <c r="G8" s="18" t="s">
        <v>362</v>
      </c>
    </row>
    <row r="9" spans="2:7" ht="30" customHeight="1">
      <c r="B9" s="19">
        <v>7</v>
      </c>
      <c r="C9" s="16" t="s">
        <v>197</v>
      </c>
      <c r="D9" s="16" t="s">
        <v>368</v>
      </c>
      <c r="E9" s="20">
        <v>1</v>
      </c>
      <c r="F9" s="21" t="s">
        <v>43</v>
      </c>
      <c r="G9" s="18" t="s">
        <v>362</v>
      </c>
    </row>
    <row r="10" spans="2:7" ht="30" customHeight="1">
      <c r="B10" s="19">
        <v>8</v>
      </c>
      <c r="C10" s="16" t="s">
        <v>197</v>
      </c>
      <c r="D10" s="16" t="s">
        <v>369</v>
      </c>
      <c r="E10" s="20">
        <v>1</v>
      </c>
      <c r="F10" s="21" t="s">
        <v>59</v>
      </c>
      <c r="G10" s="18" t="s">
        <v>362</v>
      </c>
    </row>
    <row r="11" spans="2:7" ht="30" customHeight="1">
      <c r="B11" s="19">
        <v>9</v>
      </c>
      <c r="C11" s="16" t="s">
        <v>197</v>
      </c>
      <c r="D11" s="16" t="s">
        <v>370</v>
      </c>
      <c r="E11" s="20">
        <v>1</v>
      </c>
      <c r="F11" s="21" t="s">
        <v>43</v>
      </c>
      <c r="G11" s="18" t="s">
        <v>362</v>
      </c>
    </row>
    <row r="12" spans="2:7" ht="30" customHeight="1">
      <c r="B12" s="19">
        <v>10</v>
      </c>
      <c r="C12" s="16" t="s">
        <v>197</v>
      </c>
      <c r="D12" s="16" t="s">
        <v>371</v>
      </c>
      <c r="E12" s="20">
        <v>1</v>
      </c>
      <c r="F12" s="21" t="s">
        <v>43</v>
      </c>
      <c r="G12" s="18" t="s">
        <v>362</v>
      </c>
    </row>
    <row r="13" spans="2:7" ht="30" customHeight="1">
      <c r="B13" s="19">
        <v>11</v>
      </c>
      <c r="C13" s="16" t="s">
        <v>197</v>
      </c>
      <c r="D13" s="16" t="s">
        <v>372</v>
      </c>
      <c r="E13" s="20">
        <v>1</v>
      </c>
      <c r="F13" s="21" t="s">
        <v>43</v>
      </c>
      <c r="G13" s="18" t="s">
        <v>362</v>
      </c>
    </row>
    <row r="14" spans="2:7" ht="30" customHeight="1">
      <c r="B14" s="19">
        <v>12</v>
      </c>
      <c r="C14" s="16" t="s">
        <v>197</v>
      </c>
      <c r="D14" s="16" t="s">
        <v>373</v>
      </c>
      <c r="E14" s="20">
        <v>1</v>
      </c>
      <c r="F14" s="21" t="s">
        <v>59</v>
      </c>
      <c r="G14" s="18" t="s">
        <v>362</v>
      </c>
    </row>
    <row r="15" spans="2:7" ht="30" customHeight="1">
      <c r="B15" s="19">
        <v>13</v>
      </c>
      <c r="C15" s="16" t="s">
        <v>197</v>
      </c>
      <c r="D15" s="16" t="s">
        <v>374</v>
      </c>
      <c r="E15" s="20">
        <v>1</v>
      </c>
      <c r="F15" s="21" t="s">
        <v>43</v>
      </c>
      <c r="G15" s="18" t="s">
        <v>362</v>
      </c>
    </row>
    <row r="16" spans="2:7" ht="30" customHeight="1">
      <c r="B16" s="19">
        <v>14</v>
      </c>
      <c r="C16" s="16" t="s">
        <v>197</v>
      </c>
      <c r="D16" s="16" t="s">
        <v>375</v>
      </c>
      <c r="E16" s="20">
        <v>1</v>
      </c>
      <c r="F16" s="21" t="s">
        <v>43</v>
      </c>
      <c r="G16" s="18" t="s">
        <v>362</v>
      </c>
    </row>
    <row r="17" spans="2:7" ht="30" customHeight="1">
      <c r="B17" s="19">
        <v>15</v>
      </c>
      <c r="C17" s="16" t="s">
        <v>197</v>
      </c>
      <c r="D17" s="16" t="s">
        <v>376</v>
      </c>
      <c r="E17" s="20">
        <v>1</v>
      </c>
      <c r="F17" s="21" t="s">
        <v>43</v>
      </c>
      <c r="G17" s="18" t="s">
        <v>362</v>
      </c>
    </row>
    <row r="18" spans="2:7" ht="30" customHeight="1">
      <c r="B18" s="19">
        <v>16</v>
      </c>
      <c r="C18" s="16" t="s">
        <v>197</v>
      </c>
      <c r="D18" s="16" t="s">
        <v>377</v>
      </c>
      <c r="E18" s="20">
        <v>1</v>
      </c>
      <c r="F18" s="21" t="s">
        <v>59</v>
      </c>
      <c r="G18" s="18" t="s">
        <v>362</v>
      </c>
    </row>
    <row r="19" spans="2:7" ht="30" customHeight="1">
      <c r="B19" s="19">
        <v>17</v>
      </c>
      <c r="C19" s="16" t="s">
        <v>197</v>
      </c>
      <c r="D19" s="16" t="s">
        <v>378</v>
      </c>
      <c r="E19" s="20">
        <v>1</v>
      </c>
      <c r="F19" s="21" t="s">
        <v>43</v>
      </c>
      <c r="G19" s="18" t="s">
        <v>362</v>
      </c>
    </row>
    <row r="20" spans="2:7" ht="30" customHeight="1">
      <c r="B20" s="19">
        <v>18</v>
      </c>
      <c r="C20" s="16" t="s">
        <v>197</v>
      </c>
      <c r="D20" s="16" t="s">
        <v>379</v>
      </c>
      <c r="E20" s="20">
        <v>1</v>
      </c>
      <c r="F20" s="21" t="s">
        <v>43</v>
      </c>
      <c r="G20" s="18" t="s">
        <v>362</v>
      </c>
    </row>
    <row r="21" spans="2:7" ht="30" customHeight="1">
      <c r="B21" s="19">
        <v>19</v>
      </c>
      <c r="C21" s="16" t="s">
        <v>197</v>
      </c>
      <c r="D21" s="16" t="s">
        <v>380</v>
      </c>
      <c r="E21" s="20">
        <v>1</v>
      </c>
      <c r="F21" s="21" t="s">
        <v>43</v>
      </c>
      <c r="G21" s="18" t="s">
        <v>362</v>
      </c>
    </row>
    <row r="22" spans="2:7" ht="30" customHeight="1">
      <c r="B22" s="19">
        <v>20</v>
      </c>
      <c r="C22" s="16" t="s">
        <v>197</v>
      </c>
      <c r="D22" s="16" t="s">
        <v>381</v>
      </c>
      <c r="E22" s="20">
        <v>1</v>
      </c>
      <c r="F22" s="21" t="s">
        <v>59</v>
      </c>
      <c r="G22" s="18" t="s">
        <v>362</v>
      </c>
    </row>
    <row r="23" spans="2:7" ht="30" customHeight="1">
      <c r="B23" s="19">
        <v>21</v>
      </c>
      <c r="C23" s="16" t="s">
        <v>197</v>
      </c>
      <c r="D23" s="16" t="s">
        <v>382</v>
      </c>
      <c r="E23" s="20">
        <v>1</v>
      </c>
      <c r="F23" s="21" t="s">
        <v>43</v>
      </c>
      <c r="G23" s="18" t="s">
        <v>362</v>
      </c>
    </row>
    <row r="24" spans="2:7" ht="30" customHeight="1">
      <c r="B24" s="19">
        <v>22</v>
      </c>
      <c r="C24" s="16" t="s">
        <v>197</v>
      </c>
      <c r="D24" s="16" t="s">
        <v>383</v>
      </c>
      <c r="E24" s="20">
        <v>1</v>
      </c>
      <c r="F24" s="21" t="s">
        <v>43</v>
      </c>
      <c r="G24" s="18" t="s">
        <v>362</v>
      </c>
    </row>
    <row r="25" spans="2:7" ht="30" customHeight="1">
      <c r="B25" s="19">
        <v>23</v>
      </c>
      <c r="C25" s="16" t="s">
        <v>197</v>
      </c>
      <c r="D25" s="16" t="s">
        <v>384</v>
      </c>
      <c r="E25" s="20">
        <v>1</v>
      </c>
      <c r="F25" s="21" t="s">
        <v>43</v>
      </c>
      <c r="G25" s="18" t="s">
        <v>362</v>
      </c>
    </row>
    <row r="26" spans="2:7" ht="30" customHeight="1">
      <c r="B26" s="19">
        <v>24</v>
      </c>
      <c r="C26" s="16" t="s">
        <v>197</v>
      </c>
      <c r="D26" s="16" t="s">
        <v>385</v>
      </c>
      <c r="E26" s="20">
        <v>1</v>
      </c>
      <c r="F26" s="21" t="s">
        <v>59</v>
      </c>
      <c r="G26" s="18" t="s">
        <v>362</v>
      </c>
    </row>
    <row r="27" spans="2:7" ht="30" customHeight="1">
      <c r="B27" s="19">
        <v>25</v>
      </c>
      <c r="C27" s="16" t="s">
        <v>197</v>
      </c>
      <c r="D27" s="16" t="s">
        <v>386</v>
      </c>
      <c r="E27" s="20">
        <v>1</v>
      </c>
      <c r="F27" s="21" t="s">
        <v>67</v>
      </c>
      <c r="G27" s="18" t="s">
        <v>362</v>
      </c>
    </row>
    <row r="28" spans="2:7">
      <c r="B28">
        <v>26</v>
      </c>
      <c r="C28" t="s">
        <v>256</v>
      </c>
      <c r="D28" t="s">
        <v>387</v>
      </c>
      <c r="E28">
        <v>1</v>
      </c>
      <c r="F28" t="inlineStr">
        <is>
          <t>Normal</t>
        </is>
      </c>
      <c r="G28" t="s">
        <v>388</v>
      </c>
    </row>
    <row r="29" spans="2:7">
      <c r="B29">
        <v>27</v>
      </c>
      <c r="C29" t="s">
        <v>256</v>
      </c>
      <c r="D29" t="s">
        <v>389</v>
      </c>
      <c r="E29">
        <v>1</v>
      </c>
      <c r="F29" t="inlineStr">
        <is>
          <t>Normal</t>
        </is>
      </c>
      <c r="G29" t="s">
        <v>388</v>
      </c>
    </row>
    <row r="30" spans="2:7">
      <c r="B30">
        <v>28</v>
      </c>
      <c r="C30" t="s">
        <v>256</v>
      </c>
      <c r="D30" t="s">
        <v>390</v>
      </c>
      <c r="E30">
        <v>1</v>
      </c>
      <c r="F30" t="inlineStr">
        <is>
          <t>Normal</t>
        </is>
      </c>
      <c r="G30" t="s">
        <v>388</v>
      </c>
    </row>
    <row r="31" spans="2:7">
      <c r="B31">
        <v>29</v>
      </c>
      <c r="C31" t="s">
        <v>256</v>
      </c>
      <c r="D31" t="s">
        <v>391</v>
      </c>
      <c r="E31">
        <v>1</v>
      </c>
      <c r="F31" t="inlineStr">
        <is>
          <t>Normal</t>
        </is>
      </c>
      <c r="G31" t="s">
        <v>388</v>
      </c>
    </row>
    <row r="32" spans="2:7">
      <c r="B32">
        <v>30</v>
      </c>
      <c r="C32" t="s">
        <v>256</v>
      </c>
      <c r="D32" t="s">
        <v>392</v>
      </c>
      <c r="E32">
        <v>1</v>
      </c>
      <c r="F32" t="inlineStr">
        <is>
          <t>Normal</t>
        </is>
      </c>
      <c r="G32" t="s">
        <v>388</v>
      </c>
    </row>
    <row r="33" spans="2:7">
      <c r="B33">
        <v>31</v>
      </c>
      <c r="C33" t="s">
        <v>256</v>
      </c>
      <c r="D33" t="s">
        <v>393</v>
      </c>
      <c r="E33">
        <v>1</v>
      </c>
      <c r="F33" t="inlineStr">
        <is>
          <t>Normal</t>
        </is>
      </c>
      <c r="G33" t="s">
        <v>388</v>
      </c>
    </row>
    <row r="34" spans="2:7">
      <c r="B34">
        <v>32</v>
      </c>
      <c r="C34" t="s">
        <v>256</v>
      </c>
      <c r="D34" t="s">
        <v>394</v>
      </c>
      <c r="E34">
        <v>1</v>
      </c>
      <c r="F34" t="inlineStr">
        <is>
          <t>Normal</t>
        </is>
      </c>
      <c r="G34" t="s">
        <v>388</v>
      </c>
    </row>
    <row r="35" spans="2:7">
      <c r="B35">
        <v>33</v>
      </c>
      <c r="C35" t="s">
        <v>256</v>
      </c>
      <c r="D35" t="s">
        <v>395</v>
      </c>
      <c r="E35">
        <v>1</v>
      </c>
      <c r="F35" t="inlineStr">
        <is>
          <t>Normal</t>
        </is>
      </c>
      <c r="G35" t="s">
        <v>388</v>
      </c>
    </row>
    <row r="36" spans="2:7">
      <c r="B36">
        <v>34</v>
      </c>
      <c r="C36" t="s">
        <v>256</v>
      </c>
      <c r="D36" t="s">
        <v>396</v>
      </c>
      <c r="E36">
        <v>1</v>
      </c>
      <c r="F36" t="inlineStr">
        <is>
          <t>Normal</t>
        </is>
      </c>
      <c r="G36" t="s">
        <v>388</v>
      </c>
    </row>
    <row r="37" spans="2:7">
      <c r="B37">
        <v>35</v>
      </c>
      <c r="C37" t="s">
        <v>256</v>
      </c>
      <c r="D37" t="s">
        <v>397</v>
      </c>
      <c r="E37">
        <v>1</v>
      </c>
      <c r="F37" t="inlineStr">
        <is>
          <t>Normal</t>
        </is>
      </c>
      <c r="G37" t="s">
        <v>388</v>
      </c>
    </row>
    <row r="38" spans="2:7">
      <c r="B38">
        <v>36</v>
      </c>
      <c r="C38" t="s">
        <v>256</v>
      </c>
      <c r="D38" t="s">
        <v>398</v>
      </c>
      <c r="E38">
        <v>1</v>
      </c>
      <c r="F38" t="inlineStr">
        <is>
          <t>Normal</t>
        </is>
      </c>
      <c r="G38" t="s">
        <v>388</v>
      </c>
    </row>
    <row r="39" spans="2:7">
      <c r="B39">
        <v>37</v>
      </c>
      <c r="C39" t="s">
        <v>256</v>
      </c>
      <c r="D39" t="s">
        <v>399</v>
      </c>
      <c r="E39">
        <v>1</v>
      </c>
      <c r="F39" t="inlineStr">
        <is>
          <t>Normal</t>
        </is>
      </c>
      <c r="G39" t="s">
        <v>388</v>
      </c>
    </row>
    <row r="40" spans="2:7">
      <c r="B40">
        <v>38</v>
      </c>
      <c r="C40" t="s">
        <v>256</v>
      </c>
      <c r="D40" t="s">
        <v>400</v>
      </c>
      <c r="E40">
        <v>0</v>
      </c>
      <c r="F40" t="inlineStr">
        <is>
          <t>Normal</t>
        </is>
      </c>
      <c r="G40" t="s">
        <v>388</v>
      </c>
    </row>
    <row r="41" spans="2:7">
      <c r="B41">
        <v>39</v>
      </c>
      <c r="C41" t="s">
        <v>256</v>
      </c>
      <c r="D41" t="s">
        <v>401</v>
      </c>
      <c r="E41">
        <v>0</v>
      </c>
      <c r="F41" t="inlineStr">
        <is>
          <t>Normal</t>
        </is>
      </c>
      <c r="G41" t="s">
        <v>388</v>
      </c>
    </row>
    <row r="42" spans="2:7">
      <c r="B42">
        <v>40</v>
      </c>
      <c r="C42" t="s">
        <v>256</v>
      </c>
      <c r="D42" t="s">
        <v>402</v>
      </c>
      <c r="E42">
        <v>0</v>
      </c>
      <c r="F42" t="inlineStr">
        <is>
          <t>Normal</t>
        </is>
      </c>
      <c r="G42" t="s">
        <v>388</v>
      </c>
    </row>
    <row r="43" spans="2:7">
      <c r="B43">
        <v>41</v>
      </c>
      <c r="C43" t="s">
        <v>256</v>
      </c>
      <c r="D43" t="s">
        <v>403</v>
      </c>
      <c r="E43">
        <v>0</v>
      </c>
      <c r="F43" t="inlineStr">
        <is>
          <t>Normal</t>
        </is>
      </c>
      <c r="G43" t="s">
        <v>388</v>
      </c>
    </row>
    <row r="44" spans="2:7">
      <c r="B44">
        <v>42</v>
      </c>
      <c r="C44" t="s">
        <v>256</v>
      </c>
      <c r="D44" t="s">
        <v>404</v>
      </c>
      <c r="E44">
        <v>0</v>
      </c>
      <c r="F44" t="inlineStr">
        <is>
          <t>Normal</t>
        </is>
      </c>
      <c r="G44" t="s">
        <v>388</v>
      </c>
    </row>
    <row r="45" spans="2:7">
      <c r="B45">
        <v>43</v>
      </c>
      <c r="C45" t="s">
        <v>256</v>
      </c>
      <c r="D45" t="s">
        <v>405</v>
      </c>
      <c r="E45">
        <v>0</v>
      </c>
      <c r="F45" t="inlineStr">
        <is>
          <t>Normal</t>
        </is>
      </c>
      <c r="G45" t="s">
        <v>388</v>
      </c>
    </row>
    <row r="46" spans="2:7">
      <c r="B46">
        <v>44</v>
      </c>
      <c r="C46" t="s">
        <v>256</v>
      </c>
      <c r="D46" t="s">
        <v>406</v>
      </c>
      <c r="E46">
        <v>0</v>
      </c>
      <c r="F46" t="inlineStr">
        <is>
          <t>Normal</t>
        </is>
      </c>
      <c r="G46" t="s">
        <v>388</v>
      </c>
    </row>
    <row r="47" spans="2:7">
      <c r="B47">
        <v>45</v>
      </c>
      <c r="C47" t="s">
        <v>256</v>
      </c>
      <c r="D47" t="s">
        <v>407</v>
      </c>
      <c r="E47">
        <v>0</v>
      </c>
      <c r="F47" t="inlineStr">
        <is>
          <t>Normal</t>
        </is>
      </c>
      <c r="G47" t="s">
        <v>388</v>
      </c>
    </row>
    <row r="48" spans="2:7">
      <c r="B48">
        <v>46</v>
      </c>
      <c r="C48" t="s">
        <v>256</v>
      </c>
      <c r="D48" t="s">
        <v>408</v>
      </c>
      <c r="E48">
        <v>0</v>
      </c>
      <c r="F48" t="inlineStr">
        <is>
          <t>Normal</t>
        </is>
      </c>
      <c r="G48" t="s">
        <v>388</v>
      </c>
    </row>
    <row r="49" spans="2:7">
      <c r="B49">
        <v>47</v>
      </c>
      <c r="C49" t="s">
        <v>256</v>
      </c>
      <c r="D49" t="s">
        <v>409</v>
      </c>
      <c r="E49">
        <v>0</v>
      </c>
      <c r="F49" t="inlineStr">
        <is>
          <t>Normal</t>
        </is>
      </c>
      <c r="G49" t="s">
        <v>388</v>
      </c>
    </row>
    <row r="50" spans="2:7">
      <c r="B50">
        <v>48</v>
      </c>
      <c r="C50" t="s">
        <v>256</v>
      </c>
      <c r="D50" t="s">
        <v>410</v>
      </c>
      <c r="E50">
        <v>0</v>
      </c>
      <c r="F50" t="inlineStr">
        <is>
          <t>Normal</t>
        </is>
      </c>
      <c r="G50" t="s">
        <v>388</v>
      </c>
    </row>
    <row r="51" spans="2:7">
      <c r="B51">
        <v>49</v>
      </c>
      <c r="C51" t="s">
        <v>256</v>
      </c>
      <c r="D51" t="s">
        <v>411</v>
      </c>
      <c r="E51">
        <v>0</v>
      </c>
      <c r="F51" t="inlineStr">
        <is>
          <t>Normal</t>
        </is>
      </c>
      <c r="G51" t="s">
        <v>388</v>
      </c>
    </row>
    <row r="52" spans="2:7">
      <c r="B52">
        <v>50</v>
      </c>
      <c r="C52" t="s">
        <v>256</v>
      </c>
      <c r="D52" t="s">
        <v>412</v>
      </c>
      <c r="E52">
        <v>0</v>
      </c>
      <c r="F52" t="inlineStr">
        <is>
          <t>Normal</t>
        </is>
      </c>
      <c r="G52" t="s">
        <v>388</v>
      </c>
    </row>
    <row r="53" spans="2:7">
      <c r="B53">
        <v>56</v>
      </c>
      <c r="C53" t="s">
        <v>307</v>
      </c>
      <c r="D53" t="s">
        <v>419</v>
      </c>
      <c r="E53">
        <v>1</v>
      </c>
      <c r="F53" t="s">
        <v>43</v>
      </c>
      <c r="G53" t="s">
        <v>414</v>
      </c>
    </row>
    <row r="54" spans="2:7">
      <c r="B54">
        <v>57</v>
      </c>
      <c r="C54" t="s">
        <v>307</v>
      </c>
      <c r="D54" t="s">
        <v>420</v>
      </c>
      <c r="E54">
        <v>1</v>
      </c>
      <c r="F54" t="s">
        <v>43</v>
      </c>
      <c r="G54" t="s">
        <v>414</v>
      </c>
    </row>
    <row r="55" spans="2:7">
      <c r="B55">
        <v>58</v>
      </c>
      <c r="C55" t="s">
        <v>307</v>
      </c>
      <c r="D55" t="s">
        <v>421</v>
      </c>
      <c r="E55">
        <v>1</v>
      </c>
      <c r="F55" t="s">
        <v>43</v>
      </c>
      <c r="G55" t="s">
        <v>414</v>
      </c>
    </row>
    <row r="56" spans="2:7">
      <c r="B56">
        <v>59</v>
      </c>
      <c r="C56" t="s">
        <v>307</v>
      </c>
      <c r="D56" t="s">
        <v>422</v>
      </c>
      <c r="E56">
        <v>1</v>
      </c>
      <c r="F56" t="s">
        <v>43</v>
      </c>
      <c r="G56" t="s">
        <v>414</v>
      </c>
    </row>
    <row r="57" spans="2:7">
      <c r="B57">
        <v>60</v>
      </c>
      <c r="C57" t="s">
        <v>307</v>
      </c>
      <c r="D57" t="s">
        <v>423</v>
      </c>
      <c r="E57">
        <v>1</v>
      </c>
      <c r="F57" t="s">
        <v>59</v>
      </c>
      <c r="G57" t="s">
        <v>414</v>
      </c>
    </row>
    <row r="58" spans="2:7">
      <c r="B58">
        <v>61</v>
      </c>
      <c r="C58" t="s">
        <v>307</v>
      </c>
      <c r="D58" t="s">
        <v>424</v>
      </c>
      <c r="E58">
        <v>0</v>
      </c>
      <c r="F58" t="s">
        <v>43</v>
      </c>
      <c r="G58" t="s">
        <v>414</v>
      </c>
    </row>
    <row r="59" spans="2:7">
      <c r="B59">
        <v>62</v>
      </c>
      <c r="C59" t="s">
        <v>307</v>
      </c>
      <c r="D59" t="s">
        <v>425</v>
      </c>
      <c r="E59">
        <v>0</v>
      </c>
      <c r="F59" t="s">
        <v>43</v>
      </c>
      <c r="G59" t="s">
        <v>414</v>
      </c>
    </row>
    <row r="60" spans="2:7">
      <c r="B60">
        <v>63</v>
      </c>
      <c r="C60" t="s">
        <v>307</v>
      </c>
      <c r="D60" t="s">
        <v>426</v>
      </c>
      <c r="E60">
        <v>1</v>
      </c>
      <c r="F60" t="s">
        <v>43</v>
      </c>
      <c r="G60" t="s">
        <v>414</v>
      </c>
    </row>
    <row r="61" spans="2:7">
      <c r="B61">
        <v>64</v>
      </c>
      <c r="C61" t="s">
        <v>307</v>
      </c>
      <c r="D61" t="s">
        <v>427</v>
      </c>
      <c r="E61">
        <v>1</v>
      </c>
      <c r="F61" t="s">
        <v>43</v>
      </c>
      <c r="G61" t="s">
        <v>414</v>
      </c>
    </row>
    <row r="62" spans="2:7">
      <c r="B62">
        <v>65</v>
      </c>
      <c r="C62" t="s">
        <v>307</v>
      </c>
      <c r="D62" t="s">
        <v>428</v>
      </c>
      <c r="E62">
        <v>1</v>
      </c>
      <c r="F62" t="s">
        <v>59</v>
      </c>
      <c r="G62" t="s">
        <v>414</v>
      </c>
    </row>
    <row r="63" spans="2:7">
      <c r="B63">
        <v>66</v>
      </c>
      <c r="C63" t="s">
        <v>307</v>
      </c>
      <c r="D63" t="s">
        <v>429</v>
      </c>
      <c r="E63">
        <v>1</v>
      </c>
      <c r="F63" t="s">
        <v>43</v>
      </c>
      <c r="G63" t="s">
        <v>414</v>
      </c>
    </row>
    <row r="64" spans="2:7">
      <c r="B64">
        <v>67</v>
      </c>
      <c r="C64" t="s">
        <v>307</v>
      </c>
      <c r="D64" t="s">
        <v>430</v>
      </c>
      <c r="E64">
        <v>1</v>
      </c>
      <c r="F64" t="s">
        <v>43</v>
      </c>
      <c r="G64" t="s">
        <v>414</v>
      </c>
    </row>
    <row r="65" spans="2:7">
      <c r="B65">
        <v>68</v>
      </c>
      <c r="C65" t="s">
        <v>307</v>
      </c>
      <c r="D65" t="s">
        <v>431</v>
      </c>
      <c r="E65">
        <v>1</v>
      </c>
      <c r="F65" t="s">
        <v>43</v>
      </c>
      <c r="G65" t="s">
        <v>414</v>
      </c>
    </row>
  </sheetData>
  <phoneticPr fontId="12" type="noConversion"/>
  <dataValidations count="2">
    <dataValidation type="list" sqref="E3:E27" xr:uid="{00000000-0002-0000-0900-000000000000}">
      <formula1>"0,1"</formula1>
    </dataValidation>
    <dataValidation type="list" sqref="F3:F27" xr:uid="{00000000-0002-0000-0900-000001000000}">
      <formula1>"Normal,Rare,Unique"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mc="http://schemas.openxmlformats.org/markup-compatibility/2006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00000000-0001-0000-0A00-000000000000}">
  <dimension ref="B1:L64"/>
  <sheetViews>
    <sheetView workbookViewId="0">
      <pane ySplit="2" topLeftCell="A3" activePane="bottomLeft" state="frozen"/>
      <selection pane="bottomLeft"/>
    </sheetView>
  </sheetViews>
  <sheetFormatPr defaultRowHeight="16.5"/>
  <cols>
    <col min="2" max="2" width="7" customWidth="1"/>
    <col min="3" max="3" width="38" customWidth="1"/>
    <col min="4" max="4" width="61" customWidth="1"/>
    <col min="5" max="7" width="15" customWidth="1"/>
    <col min="8" max="8" width="55" customWidth="1"/>
    <col min="9" max="12" width="13" customWidth="1"/>
  </cols>
  <sheetData>
    <row r="1" spans="2:12">
      <c r="B1" s="16" t="s">
        <v>359</v>
      </c>
      <c r="C1" s="16"/>
      <c r="D1" s="16"/>
      <c r="E1" s="16"/>
      <c r="F1" s="16"/>
      <c r="G1" s="16"/>
      <c r="H1" s="16"/>
    </row>
    <row r="2" spans="2:12" ht="27.95" customHeight="1">
      <c r="B2" s="17" t="s">
        <v>77</v>
      </c>
      <c r="C2" s="17" t="s">
        <v>183</v>
      </c>
      <c r="D2" s="17" t="s">
        <v>184</v>
      </c>
      <c r="E2" s="17" t="s">
        <v>185</v>
      </c>
      <c r="F2" s="17" t="s">
        <v>439</v>
      </c>
      <c r="G2" s="17" t="s">
        <v>440</v>
      </c>
      <c r="H2" s="17" t="s">
        <v>192</v>
      </c>
      <c r="I2" s="37" t="s">
        <v>441</v>
      </c>
      <c r="J2" s="37" t="s">
        <v>442</v>
      </c>
      <c r="K2" s="37" t="s">
        <v>443</v>
      </c>
      <c r="L2" s="37" t="s">
        <v>444</v>
      </c>
    </row>
    <row r="3" spans="2:12" ht="30" customHeight="1">
      <c r="B3" s="19">
        <v>1</v>
      </c>
      <c r="C3" s="16" t="s">
        <v>197</v>
      </c>
      <c r="D3" s="16" t="s">
        <v>445</v>
      </c>
      <c r="E3" s="20">
        <v>0</v>
      </c>
      <c r="F3" s="22" t="s">
        <v>100</v>
      </c>
      <c r="G3" s="21">
        <v>3</v>
      </c>
      <c r="H3" s="18" t="s">
        <v>446</v>
      </c>
    </row>
    <row r="4" spans="2:12" ht="30" customHeight="1">
      <c r="B4" s="19">
        <v>2</v>
      </c>
      <c r="C4" s="16" t="s">
        <v>197</v>
      </c>
      <c r="D4" s="16" t="s">
        <v>447</v>
      </c>
      <c r="E4" s="20">
        <v>1</v>
      </c>
      <c r="F4" s="22" t="s">
        <v>102</v>
      </c>
      <c r="G4" s="21">
        <v>50</v>
      </c>
      <c r="H4" s="18" t="s">
        <v>448</v>
      </c>
    </row>
    <row r="5" spans="2:12" ht="30" customHeight="1">
      <c r="B5" s="19">
        <v>3</v>
      </c>
      <c r="C5" s="16" t="s">
        <v>197</v>
      </c>
      <c r="D5" s="16" t="s">
        <v>449</v>
      </c>
      <c r="E5" s="20">
        <v>1</v>
      </c>
      <c r="F5" s="22" t="s">
        <v>98</v>
      </c>
      <c r="G5" s="21">
        <v>80</v>
      </c>
      <c r="H5" s="18" t="s">
        <v>450</v>
      </c>
    </row>
    <row r="6" spans="2:12" ht="30" customHeight="1">
      <c r="B6" s="19">
        <v>4</v>
      </c>
      <c r="C6" s="16" t="s">
        <v>197</v>
      </c>
      <c r="D6" s="16" t="s">
        <v>451</v>
      </c>
      <c r="E6" s="20">
        <v>1</v>
      </c>
      <c r="F6" s="22" t="s">
        <v>100</v>
      </c>
      <c r="G6" s="21">
        <v>3</v>
      </c>
      <c r="H6" s="18" t="s">
        <v>446</v>
      </c>
    </row>
    <row r="7" spans="2:12" ht="30" customHeight="1">
      <c r="B7" s="19">
        <v>5</v>
      </c>
      <c r="C7" s="16" t="s">
        <v>197</v>
      </c>
      <c r="D7" s="16" t="s">
        <v>452</v>
      </c>
      <c r="E7" s="20">
        <v>1</v>
      </c>
      <c r="F7" s="22" t="s">
        <v>102</v>
      </c>
      <c r="G7" s="21">
        <v>50</v>
      </c>
      <c r="H7" s="18" t="s">
        <v>448</v>
      </c>
    </row>
    <row r="8" spans="2:12" ht="30" customHeight="1">
      <c r="B8" s="19">
        <v>6</v>
      </c>
      <c r="C8" s="16" t="s">
        <v>197</v>
      </c>
      <c r="D8" s="16" t="s">
        <v>453</v>
      </c>
      <c r="E8" s="20">
        <v>1</v>
      </c>
      <c r="F8" s="22" t="s">
        <v>98</v>
      </c>
      <c r="G8" s="21">
        <v>80</v>
      </c>
      <c r="H8" s="18" t="s">
        <v>450</v>
      </c>
    </row>
    <row r="9" spans="2:12" ht="30" customHeight="1">
      <c r="B9" s="19">
        <v>7</v>
      </c>
      <c r="C9" s="16" t="s">
        <v>197</v>
      </c>
      <c r="D9" s="16" t="s">
        <v>454</v>
      </c>
      <c r="E9" s="20">
        <v>1</v>
      </c>
      <c r="F9" s="22" t="s">
        <v>100</v>
      </c>
      <c r="G9" s="21">
        <v>3</v>
      </c>
      <c r="H9" s="18" t="s">
        <v>446</v>
      </c>
    </row>
    <row r="10" spans="2:12" ht="30" customHeight="1">
      <c r="B10" s="19">
        <v>8</v>
      </c>
      <c r="C10" s="16" t="s">
        <v>197</v>
      </c>
      <c r="D10" s="16" t="s">
        <v>455</v>
      </c>
      <c r="E10" s="20">
        <v>1</v>
      </c>
      <c r="F10" s="22" t="s">
        <v>111</v>
      </c>
      <c r="G10" s="21">
        <f>'밸런스 조정'!$C$67</f>
        <v>12</v>
      </c>
      <c r="H10" s="18" t="s">
        <v>456</v>
      </c>
    </row>
    <row r="11" spans="2:12" ht="30" customHeight="1">
      <c r="B11" s="19">
        <v>9</v>
      </c>
      <c r="C11" s="16" t="s">
        <v>197</v>
      </c>
      <c r="D11" s="16" t="s">
        <v>457</v>
      </c>
      <c r="E11" s="20">
        <v>1</v>
      </c>
      <c r="F11" s="22" t="s">
        <v>98</v>
      </c>
      <c r="G11" s="21">
        <v>80</v>
      </c>
      <c r="H11" s="18" t="s">
        <v>450</v>
      </c>
    </row>
    <row r="12" spans="2:12" ht="30" customHeight="1">
      <c r="B12" s="19">
        <v>10</v>
      </c>
      <c r="C12" s="16" t="s">
        <v>197</v>
      </c>
      <c r="D12" s="16" t="s">
        <v>458</v>
      </c>
      <c r="E12" s="20">
        <v>1</v>
      </c>
      <c r="F12" s="22" t="s">
        <v>96</v>
      </c>
      <c r="G12" s="21">
        <f>'밸런스 조정'!$C$48</f>
        <v>2</v>
      </c>
      <c r="H12" s="18" t="s">
        <v>459</v>
      </c>
    </row>
    <row r="13" spans="2:12" ht="30" customHeight="1">
      <c r="B13" s="19">
        <v>11</v>
      </c>
      <c r="C13" s="16" t="s">
        <v>197</v>
      </c>
      <c r="D13" s="16" t="s">
        <v>460</v>
      </c>
      <c r="E13" s="20">
        <v>1</v>
      </c>
      <c r="F13" s="22" t="s">
        <v>102</v>
      </c>
      <c r="G13" s="21">
        <v>50</v>
      </c>
      <c r="H13" s="18" t="s">
        <v>448</v>
      </c>
    </row>
    <row r="14" spans="2:12" ht="30" customHeight="1">
      <c r="B14" s="19">
        <v>12</v>
      </c>
      <c r="C14" s="16" t="s">
        <v>197</v>
      </c>
      <c r="D14" s="16" t="s">
        <v>461</v>
      </c>
      <c r="E14" s="20">
        <v>1</v>
      </c>
      <c r="F14" s="22" t="s">
        <v>98</v>
      </c>
      <c r="G14" s="21">
        <v>80</v>
      </c>
      <c r="H14" s="18" t="s">
        <v>450</v>
      </c>
    </row>
    <row r="15" spans="2:12" ht="30" customHeight="1">
      <c r="B15" s="19">
        <v>13</v>
      </c>
      <c r="C15" s="16" t="s">
        <v>197</v>
      </c>
      <c r="D15" s="16" t="s">
        <v>462</v>
      </c>
      <c r="E15" s="20">
        <v>1</v>
      </c>
      <c r="F15" s="22" t="s">
        <v>100</v>
      </c>
      <c r="G15" s="21">
        <v>3</v>
      </c>
      <c r="H15" s="18" t="s">
        <v>446</v>
      </c>
    </row>
    <row r="16" spans="2:12" ht="30" customHeight="1">
      <c r="B16" s="19">
        <v>14</v>
      </c>
      <c r="C16" s="16" t="s">
        <v>197</v>
      </c>
      <c r="D16" s="16" t="s">
        <v>463</v>
      </c>
      <c r="E16" s="20">
        <v>1</v>
      </c>
      <c r="F16" s="22" t="s">
        <v>102</v>
      </c>
      <c r="G16" s="21">
        <v>50</v>
      </c>
      <c r="H16" s="18" t="s">
        <v>448</v>
      </c>
    </row>
    <row r="17" spans="2:12" ht="30" customHeight="1">
      <c r="B17" s="19">
        <v>15</v>
      </c>
      <c r="C17" s="16" t="s">
        <v>197</v>
      </c>
      <c r="D17" s="16" t="s">
        <v>464</v>
      </c>
      <c r="E17" s="20">
        <v>1</v>
      </c>
      <c r="F17" s="22" t="s">
        <v>100</v>
      </c>
      <c r="G17" s="21">
        <v>3</v>
      </c>
      <c r="H17" s="18" t="s">
        <v>446</v>
      </c>
    </row>
    <row r="18" spans="2:12" ht="30" customHeight="1">
      <c r="B18" s="19">
        <v>16</v>
      </c>
      <c r="C18" s="16" t="s">
        <v>197</v>
      </c>
      <c r="D18" s="16" t="s">
        <v>465</v>
      </c>
      <c r="E18" s="20">
        <v>1</v>
      </c>
      <c r="F18" s="22" t="s">
        <v>104</v>
      </c>
      <c r="G18" s="21">
        <f>'밸런스 조정'!$C$49</f>
        <v>20</v>
      </c>
      <c r="H18" s="18" t="s">
        <v>466</v>
      </c>
    </row>
    <row r="19" spans="2:12" ht="30" customHeight="1">
      <c r="B19" s="19">
        <v>17</v>
      </c>
      <c r="C19" s="16" t="s">
        <v>197</v>
      </c>
      <c r="D19" s="16" t="s">
        <v>467</v>
      </c>
      <c r="E19" s="20">
        <v>1</v>
      </c>
      <c r="F19" s="22" t="s">
        <v>107</v>
      </c>
      <c r="G19" s="21">
        <f>'밸런스 조정'!$C$68</f>
        <v>3</v>
      </c>
      <c r="H19" s="18" t="s">
        <v>468</v>
      </c>
    </row>
    <row r="20" spans="2:12" ht="30" customHeight="1">
      <c r="B20" s="19">
        <v>18</v>
      </c>
      <c r="C20" s="16" t="s">
        <v>197</v>
      </c>
      <c r="D20" s="16" t="s">
        <v>469</v>
      </c>
      <c r="E20" s="20">
        <v>1</v>
      </c>
      <c r="F20" s="22" t="s">
        <v>98</v>
      </c>
      <c r="G20" s="21">
        <v>80</v>
      </c>
      <c r="H20" s="18" t="s">
        <v>450</v>
      </c>
    </row>
    <row r="21" spans="2:12" ht="30" customHeight="1">
      <c r="B21" s="19">
        <v>19</v>
      </c>
      <c r="C21" s="16" t="s">
        <v>197</v>
      </c>
      <c r="D21" s="16" t="s">
        <v>470</v>
      </c>
      <c r="E21" s="20">
        <v>1</v>
      </c>
      <c r="F21" s="22" t="s">
        <v>96</v>
      </c>
      <c r="G21" s="21">
        <f>'밸런스 조정'!$C$48</f>
        <v>2</v>
      </c>
      <c r="H21" s="18" t="s">
        <v>459</v>
      </c>
    </row>
    <row r="22" spans="2:12" ht="30" customHeight="1">
      <c r="B22" s="19">
        <v>20</v>
      </c>
      <c r="C22" s="16" t="s">
        <v>197</v>
      </c>
      <c r="D22" s="16" t="s">
        <v>471</v>
      </c>
      <c r="E22" s="20">
        <v>1</v>
      </c>
      <c r="F22" s="22" t="s">
        <v>102</v>
      </c>
      <c r="G22" s="21">
        <v>50</v>
      </c>
      <c r="H22" s="18" t="s">
        <v>448</v>
      </c>
    </row>
    <row r="23" spans="2:12" ht="30" customHeight="1">
      <c r="B23" s="19">
        <v>21</v>
      </c>
      <c r="C23" s="16" t="s">
        <v>197</v>
      </c>
      <c r="D23" s="16" t="s">
        <v>472</v>
      </c>
      <c r="E23" s="20">
        <v>1</v>
      </c>
      <c r="F23" s="22" t="s">
        <v>98</v>
      </c>
      <c r="G23" s="21">
        <v>80</v>
      </c>
      <c r="H23" s="18" t="s">
        <v>450</v>
      </c>
    </row>
    <row r="24" spans="2:12" ht="30" customHeight="1">
      <c r="B24" s="19">
        <v>22</v>
      </c>
      <c r="C24" s="16" t="s">
        <v>197</v>
      </c>
      <c r="D24" s="16" t="s">
        <v>473</v>
      </c>
      <c r="E24" s="20">
        <v>1</v>
      </c>
      <c r="F24" s="22" t="s">
        <v>100</v>
      </c>
      <c r="G24" s="21">
        <v>3</v>
      </c>
      <c r="H24" s="18" t="s">
        <v>446</v>
      </c>
    </row>
    <row r="25" spans="2:12" ht="30" customHeight="1">
      <c r="B25" s="19">
        <v>23</v>
      </c>
      <c r="C25" s="16" t="s">
        <v>197</v>
      </c>
      <c r="D25" s="16" t="s">
        <v>474</v>
      </c>
      <c r="E25" s="20">
        <v>1</v>
      </c>
      <c r="F25" s="22" t="s">
        <v>102</v>
      </c>
      <c r="G25" s="21">
        <v>50</v>
      </c>
      <c r="H25" s="18" t="s">
        <v>448</v>
      </c>
    </row>
    <row r="26" spans="2:12" ht="30" customHeight="1">
      <c r="B26" s="19">
        <v>24</v>
      </c>
      <c r="C26" s="16" t="s">
        <v>197</v>
      </c>
      <c r="D26" s="16" t="s">
        <v>475</v>
      </c>
      <c r="E26" s="20">
        <v>1</v>
      </c>
      <c r="F26" s="22" t="s">
        <v>98</v>
      </c>
      <c r="G26" s="21">
        <v>80</v>
      </c>
      <c r="H26" s="18" t="s">
        <v>450</v>
      </c>
    </row>
    <row r="27" spans="2:12">
      <c r="B27">
        <v>25</v>
      </c>
      <c r="C27" t="s">
        <v>197</v>
      </c>
      <c r="D27" t="s">
        <v>476</v>
      </c>
      <c r="E27">
        <v>1</v>
      </c>
      <c r="F27" t="s">
        <v>106</v>
      </c>
      <c r="G27">
        <f>'밸런스 조정'!$C$50</f>
        <v>10</v>
      </c>
      <c r="H27" t="s">
        <v>477</v>
      </c>
    </row>
    <row r="28" spans="2:12">
      <c r="B28">
        <v>26</v>
      </c>
      <c r="C28" t="s">
        <v>256</v>
      </c>
      <c r="D28" t="s">
        <v>478</v>
      </c>
      <c r="E28">
        <v>0</v>
      </c>
      <c r="F28" t="s">
        <v>479</v>
      </c>
      <c r="G28">
        <f>'밸런스 조정'!$C$38</f>
        <v>180</v>
      </c>
      <c r="H28" t="s">
        <v>480</v>
      </c>
      <c r="I28">
        <f>'밸런스 조정'!$C$41</f>
        <v>240</v>
      </c>
      <c r="J28">
        <f>'밸런스 조정'!$C$42</f>
        <v>1.8</v>
      </c>
      <c r="K28">
        <f>'밸런스 조정'!$C$43</f>
        <v>4</v>
      </c>
      <c r="L28">
        <f>0</f>
        <v>0</v>
      </c>
    </row>
    <row r="29" spans="2:12">
      <c r="B29">
        <v>27</v>
      </c>
      <c r="C29" t="s">
        <v>256</v>
      </c>
      <c r="D29" t="s">
        <v>481</v>
      </c>
      <c r="E29">
        <v>0</v>
      </c>
      <c r="F29" t="s">
        <v>479</v>
      </c>
      <c r="G29">
        <f>'밸런스 조정'!$C$38</f>
        <v>180</v>
      </c>
      <c r="H29" t="s">
        <v>480</v>
      </c>
      <c r="I29">
        <f>'밸런스 조정'!$C$41</f>
        <v>240</v>
      </c>
      <c r="J29">
        <f>'밸런스 조정'!$C$42</f>
        <v>1.8</v>
      </c>
      <c r="K29">
        <f>'밸런스 조정'!$C$43</f>
        <v>4</v>
      </c>
      <c r="L29">
        <f>0</f>
        <v>0</v>
      </c>
    </row>
    <row r="30" spans="2:12">
      <c r="B30">
        <v>28</v>
      </c>
      <c r="C30" t="s">
        <v>256</v>
      </c>
      <c r="D30" t="s">
        <v>482</v>
      </c>
      <c r="E30">
        <v>0</v>
      </c>
      <c r="F30" t="s">
        <v>479</v>
      </c>
      <c r="G30">
        <f>'밸런스 조정'!$C$38</f>
        <v>180</v>
      </c>
      <c r="H30" t="s">
        <v>480</v>
      </c>
      <c r="I30">
        <f>'밸런스 조정'!$C$41</f>
        <v>240</v>
      </c>
      <c r="J30">
        <f>'밸런스 조정'!$C$42</f>
        <v>1.8</v>
      </c>
      <c r="K30">
        <f>'밸런스 조정'!$C$43</f>
        <v>4</v>
      </c>
      <c r="L30">
        <f>0</f>
        <v>0</v>
      </c>
    </row>
    <row r="31" spans="2:12">
      <c r="B31">
        <v>29</v>
      </c>
      <c r="C31" t="s">
        <v>256</v>
      </c>
      <c r="D31" t="s">
        <v>483</v>
      </c>
      <c r="E31">
        <v>0</v>
      </c>
      <c r="F31" t="s">
        <v>479</v>
      </c>
      <c r="G31">
        <f>'밸런스 조정'!$C$38</f>
        <v>180</v>
      </c>
      <c r="H31" t="s">
        <v>480</v>
      </c>
      <c r="I31">
        <f>'밸런스 조정'!$C$41</f>
        <v>240</v>
      </c>
      <c r="J31">
        <f>'밸런스 조정'!$C$42</f>
        <v>1.8</v>
      </c>
      <c r="K31">
        <f>'밸런스 조정'!$C$43</f>
        <v>4</v>
      </c>
      <c r="L31">
        <f>0</f>
        <v>0</v>
      </c>
    </row>
    <row r="32" spans="2:12">
      <c r="B32">
        <v>30</v>
      </c>
      <c r="C32" t="s">
        <v>256</v>
      </c>
      <c r="D32" t="s">
        <v>484</v>
      </c>
      <c r="E32">
        <v>0</v>
      </c>
      <c r="F32" t="s">
        <v>479</v>
      </c>
      <c r="G32">
        <f>'밸런스 조정'!$C$38</f>
        <v>180</v>
      </c>
      <c r="H32" t="s">
        <v>480</v>
      </c>
      <c r="I32">
        <f>'밸런스 조정'!$C$41</f>
        <v>240</v>
      </c>
      <c r="J32">
        <f>'밸런스 조정'!$C$42</f>
        <v>1.8</v>
      </c>
      <c r="K32">
        <f>'밸런스 조정'!$C$43</f>
        <v>4</v>
      </c>
      <c r="L32">
        <f>0</f>
        <v>0</v>
      </c>
    </row>
    <row r="33" spans="2:12">
      <c r="B33">
        <v>31</v>
      </c>
      <c r="C33" t="s">
        <v>256</v>
      </c>
      <c r="D33" t="s">
        <v>485</v>
      </c>
      <c r="E33">
        <v>0</v>
      </c>
      <c r="F33" t="s">
        <v>479</v>
      </c>
      <c r="G33">
        <f>'밸런스 조정'!$C$38</f>
        <v>180</v>
      </c>
      <c r="H33" t="s">
        <v>480</v>
      </c>
      <c r="I33">
        <f>'밸런스 조정'!$C$41</f>
        <v>240</v>
      </c>
      <c r="J33">
        <f>'밸런스 조정'!$C$42</f>
        <v>1.8</v>
      </c>
      <c r="K33">
        <f>'밸런스 조정'!$C$43</f>
        <v>4</v>
      </c>
      <c r="L33">
        <f>0</f>
        <v>0</v>
      </c>
    </row>
    <row r="34" spans="2:12">
      <c r="B34">
        <v>32</v>
      </c>
      <c r="C34" t="s">
        <v>256</v>
      </c>
      <c r="D34" t="s">
        <v>486</v>
      </c>
      <c r="E34">
        <v>0</v>
      </c>
      <c r="F34" t="s">
        <v>479</v>
      </c>
      <c r="G34">
        <f>'밸런스 조정'!$C$38</f>
        <v>180</v>
      </c>
      <c r="H34" t="s">
        <v>480</v>
      </c>
      <c r="I34">
        <f>'밸런스 조정'!$C$41</f>
        <v>240</v>
      </c>
      <c r="J34">
        <f>'밸런스 조정'!$C$42</f>
        <v>1.8</v>
      </c>
      <c r="K34">
        <f>'밸런스 조정'!$C$43</f>
        <v>4</v>
      </c>
      <c r="L34">
        <f>0</f>
        <v>0</v>
      </c>
    </row>
    <row r="35" spans="2:12">
      <c r="B35">
        <v>33</v>
      </c>
      <c r="C35" t="s">
        <v>256</v>
      </c>
      <c r="D35" t="s">
        <v>487</v>
      </c>
      <c r="E35">
        <v>0</v>
      </c>
      <c r="F35" t="s">
        <v>479</v>
      </c>
      <c r="G35">
        <f>'밸런스 조정'!$C$38</f>
        <v>180</v>
      </c>
      <c r="H35" t="s">
        <v>480</v>
      </c>
      <c r="I35">
        <f>'밸런스 조정'!$C$41</f>
        <v>240</v>
      </c>
      <c r="J35">
        <f>'밸런스 조정'!$C$42</f>
        <v>1.8</v>
      </c>
      <c r="K35">
        <f>'밸런스 조정'!$C$43</f>
        <v>4</v>
      </c>
      <c r="L35">
        <f>0</f>
        <v>0</v>
      </c>
    </row>
    <row r="36" spans="2:12">
      <c r="B36">
        <v>34</v>
      </c>
      <c r="C36" t="s">
        <v>256</v>
      </c>
      <c r="D36" t="s">
        <v>488</v>
      </c>
      <c r="E36">
        <v>0</v>
      </c>
      <c r="F36" t="s">
        <v>479</v>
      </c>
      <c r="G36">
        <f>'밸런스 조정'!$C$38</f>
        <v>180</v>
      </c>
      <c r="H36" t="s">
        <v>480</v>
      </c>
      <c r="I36">
        <f>'밸런스 조정'!$C$41</f>
        <v>240</v>
      </c>
      <c r="J36">
        <f>'밸런스 조정'!$C$42</f>
        <v>1.8</v>
      </c>
      <c r="K36">
        <f>'밸런스 조정'!$C$43</f>
        <v>4</v>
      </c>
      <c r="L36">
        <f>0</f>
        <v>0</v>
      </c>
    </row>
    <row r="37" spans="2:12">
      <c r="B37">
        <v>35</v>
      </c>
      <c r="C37" t="s">
        <v>256</v>
      </c>
      <c r="D37" t="s">
        <v>489</v>
      </c>
      <c r="E37">
        <v>0</v>
      </c>
      <c r="F37" t="s">
        <v>479</v>
      </c>
      <c r="G37">
        <f>'밸런스 조정'!$C$38</f>
        <v>180</v>
      </c>
      <c r="H37" t="s">
        <v>480</v>
      </c>
      <c r="I37">
        <f>'밸런스 조정'!$C$41</f>
        <v>240</v>
      </c>
      <c r="J37">
        <f>'밸런스 조정'!$C$42</f>
        <v>1.8</v>
      </c>
      <c r="K37">
        <f>'밸런스 조정'!$C$43</f>
        <v>4</v>
      </c>
      <c r="L37">
        <f>0</f>
        <v>0</v>
      </c>
    </row>
    <row r="38" spans="2:12">
      <c r="B38">
        <v>36</v>
      </c>
      <c r="C38" t="s">
        <v>256</v>
      </c>
      <c r="D38" t="s">
        <v>490</v>
      </c>
      <c r="E38">
        <v>0</v>
      </c>
      <c r="F38" t="s">
        <v>479</v>
      </c>
      <c r="G38">
        <f>'밸런스 조정'!$C$38</f>
        <v>180</v>
      </c>
      <c r="H38" t="s">
        <v>480</v>
      </c>
      <c r="I38">
        <f>'밸런스 조정'!$C$41</f>
        <v>240</v>
      </c>
      <c r="J38">
        <f>'밸런스 조정'!$C$42</f>
        <v>1.8</v>
      </c>
      <c r="K38">
        <f>'밸런스 조정'!$C$43</f>
        <v>4</v>
      </c>
      <c r="L38">
        <f>0</f>
        <v>0</v>
      </c>
    </row>
    <row r="39" spans="2:12">
      <c r="B39">
        <v>37</v>
      </c>
      <c r="C39" t="s">
        <v>256</v>
      </c>
      <c r="D39" t="s">
        <v>491</v>
      </c>
      <c r="E39">
        <v>0</v>
      </c>
      <c r="F39" t="s">
        <v>479</v>
      </c>
      <c r="G39">
        <f>'밸런스 조정'!$C$38</f>
        <v>180</v>
      </c>
      <c r="H39" t="s">
        <v>480</v>
      </c>
      <c r="I39">
        <f>'밸런스 조정'!$C$41</f>
        <v>240</v>
      </c>
      <c r="J39">
        <f>'밸런스 조정'!$C$42</f>
        <v>1.8</v>
      </c>
      <c r="K39">
        <f>'밸런스 조정'!$C$43</f>
        <v>4</v>
      </c>
      <c r="L39">
        <f>0</f>
        <v>0</v>
      </c>
    </row>
    <row r="40" spans="2:12">
      <c r="B40">
        <v>38</v>
      </c>
      <c r="C40" t="s">
        <v>256</v>
      </c>
      <c r="D40" t="s">
        <v>492</v>
      </c>
      <c r="E40">
        <v>0</v>
      </c>
      <c r="F40" t="s">
        <v>479</v>
      </c>
      <c r="G40">
        <f>'밸런스 조정'!$C$38</f>
        <v>180</v>
      </c>
      <c r="H40" t="s">
        <v>480</v>
      </c>
      <c r="I40">
        <f>'밸런스 조정'!$C$41</f>
        <v>240</v>
      </c>
      <c r="J40">
        <f>'밸런스 조정'!$C$42</f>
        <v>1.8</v>
      </c>
      <c r="K40">
        <f>'밸런스 조정'!$C$43</f>
        <v>4</v>
      </c>
      <c r="L40">
        <f>0</f>
        <v>0</v>
      </c>
    </row>
    <row r="41" spans="2:12">
      <c r="B41">
        <v>39</v>
      </c>
      <c r="C41" t="s">
        <v>256</v>
      </c>
      <c r="D41" t="s">
        <v>493</v>
      </c>
      <c r="E41">
        <v>0</v>
      </c>
      <c r="F41" t="s">
        <v>479</v>
      </c>
      <c r="G41">
        <f>'밸런스 조정'!$C$38</f>
        <v>180</v>
      </c>
      <c r="H41" t="s">
        <v>480</v>
      </c>
      <c r="I41">
        <f>'밸런스 조정'!$C$41</f>
        <v>240</v>
      </c>
      <c r="J41">
        <f>'밸런스 조정'!$C$42</f>
        <v>1.8</v>
      </c>
      <c r="K41">
        <f>'밸런스 조정'!$C$43</f>
        <v>4</v>
      </c>
      <c r="L41">
        <f>0</f>
        <v>0</v>
      </c>
    </row>
    <row r="42" spans="2:12">
      <c r="B42">
        <v>40</v>
      </c>
      <c r="C42" t="s">
        <v>256</v>
      </c>
      <c r="D42" t="s">
        <v>494</v>
      </c>
      <c r="E42">
        <v>0</v>
      </c>
      <c r="F42" t="s">
        <v>495</v>
      </c>
      <c r="G42">
        <f>'밸런스 조정'!$C$39</f>
        <v>240</v>
      </c>
      <c r="H42" t="s">
        <v>480</v>
      </c>
      <c r="I42">
        <f>0</f>
        <v>0</v>
      </c>
      <c r="J42">
        <f>'밸런스 조정'!$C$42</f>
        <v>1.8</v>
      </c>
      <c r="K42">
        <f>'밸런스 조정'!$C$43</f>
        <v>4</v>
      </c>
      <c r="L42">
        <f>'밸런스 조정'!$C$45</f>
        <v>9</v>
      </c>
    </row>
    <row r="43" spans="2:12">
      <c r="B43">
        <v>41</v>
      </c>
      <c r="C43" t="s">
        <v>256</v>
      </c>
      <c r="D43" t="s">
        <v>496</v>
      </c>
      <c r="E43">
        <v>0</v>
      </c>
      <c r="F43" t="s">
        <v>497</v>
      </c>
      <c r="G43">
        <f>'밸런스 조정'!$C$40</f>
        <v>280</v>
      </c>
      <c r="H43" t="s">
        <v>498</v>
      </c>
      <c r="I43">
        <f>0</f>
        <v>0</v>
      </c>
      <c r="J43">
        <f>'밸런스 조정'!$C$42</f>
        <v>1.8</v>
      </c>
      <c r="K43">
        <f>'밸런스 조정'!$C$44</f>
        <v>6</v>
      </c>
      <c r="L43">
        <f>0</f>
        <v>0</v>
      </c>
    </row>
    <row r="44" spans="2:12">
      <c r="B44">
        <v>42</v>
      </c>
      <c r="C44" t="s">
        <v>256</v>
      </c>
      <c r="D44" t="s">
        <v>499</v>
      </c>
      <c r="E44">
        <v>0</v>
      </c>
      <c r="F44" t="s">
        <v>495</v>
      </c>
      <c r="G44">
        <f>'밸런스 조정'!$C$39</f>
        <v>240</v>
      </c>
      <c r="H44" t="s">
        <v>480</v>
      </c>
      <c r="I44">
        <f>0</f>
        <v>0</v>
      </c>
      <c r="J44">
        <f>'밸런스 조정'!$C$42</f>
        <v>1.8</v>
      </c>
      <c r="K44">
        <f>'밸런스 조정'!$C$43</f>
        <v>4</v>
      </c>
      <c r="L44">
        <f>'밸런스 조정'!$C$45</f>
        <v>9</v>
      </c>
    </row>
    <row r="45" spans="2:12">
      <c r="B45">
        <v>43</v>
      </c>
      <c r="C45" t="s">
        <v>256</v>
      </c>
      <c r="D45" t="s">
        <v>500</v>
      </c>
      <c r="E45">
        <v>0</v>
      </c>
      <c r="F45" t="s">
        <v>495</v>
      </c>
      <c r="G45">
        <f>'밸런스 조정'!$C$39</f>
        <v>240</v>
      </c>
      <c r="H45" t="s">
        <v>480</v>
      </c>
      <c r="I45">
        <f>0</f>
        <v>0</v>
      </c>
      <c r="J45">
        <f>'밸런스 조정'!$C$42</f>
        <v>1.8</v>
      </c>
      <c r="K45">
        <f>'밸런스 조정'!$C$43</f>
        <v>4</v>
      </c>
      <c r="L45">
        <f>'밸런스 조정'!$C$45</f>
        <v>9</v>
      </c>
    </row>
    <row r="46" spans="2:12">
      <c r="B46">
        <v>44</v>
      </c>
      <c r="C46" t="s">
        <v>256</v>
      </c>
      <c r="D46" t="s">
        <v>501</v>
      </c>
      <c r="E46">
        <v>0</v>
      </c>
      <c r="F46" t="s">
        <v>497</v>
      </c>
      <c r="G46">
        <f>'밸런스 조정'!$C$40</f>
        <v>280</v>
      </c>
      <c r="H46" t="s">
        <v>498</v>
      </c>
      <c r="I46">
        <f>0</f>
        <v>0</v>
      </c>
      <c r="J46">
        <f>'밸런스 조정'!$C$42</f>
        <v>1.8</v>
      </c>
      <c r="K46">
        <f>'밸런스 조정'!$C$44</f>
        <v>6</v>
      </c>
      <c r="L46">
        <f>0</f>
        <v>0</v>
      </c>
    </row>
    <row r="47" spans="2:12">
      <c r="B47">
        <v>45</v>
      </c>
      <c r="C47" t="s">
        <v>256</v>
      </c>
      <c r="D47" t="s">
        <v>502</v>
      </c>
      <c r="E47">
        <v>0</v>
      </c>
      <c r="F47" t="s">
        <v>495</v>
      </c>
      <c r="G47">
        <f>'밸런스 조정'!$C$39</f>
        <v>240</v>
      </c>
      <c r="H47" t="s">
        <v>480</v>
      </c>
      <c r="I47">
        <f>0</f>
        <v>0</v>
      </c>
      <c r="J47">
        <f>'밸런스 조정'!$C$42</f>
        <v>1.8</v>
      </c>
      <c r="K47">
        <f>'밸런스 조정'!$C$43</f>
        <v>4</v>
      </c>
      <c r="L47">
        <f>'밸런스 조정'!$C$45</f>
        <v>9</v>
      </c>
    </row>
    <row r="48" spans="2:12">
      <c r="B48">
        <v>46</v>
      </c>
      <c r="C48" t="s">
        <v>256</v>
      </c>
      <c r="D48" t="s">
        <v>503</v>
      </c>
      <c r="E48">
        <v>0</v>
      </c>
      <c r="F48" t="s">
        <v>495</v>
      </c>
      <c r="G48">
        <f>'밸런스 조정'!$C$39</f>
        <v>240</v>
      </c>
      <c r="H48" t="s">
        <v>480</v>
      </c>
      <c r="I48">
        <f>0</f>
        <v>0</v>
      </c>
      <c r="J48">
        <f>'밸런스 조정'!$C$42</f>
        <v>1.8</v>
      </c>
      <c r="K48">
        <f>'밸런스 조정'!$C$43</f>
        <v>4</v>
      </c>
      <c r="L48">
        <f>'밸런스 조정'!$C$45</f>
        <v>9</v>
      </c>
    </row>
    <row r="49" spans="2:12">
      <c r="B49">
        <v>47</v>
      </c>
      <c r="C49" t="s">
        <v>256</v>
      </c>
      <c r="D49" t="s">
        <v>504</v>
      </c>
      <c r="E49">
        <v>0</v>
      </c>
      <c r="F49" t="s">
        <v>497</v>
      </c>
      <c r="G49">
        <f>'밸런스 조정'!$C$40</f>
        <v>280</v>
      </c>
      <c r="H49" t="s">
        <v>498</v>
      </c>
      <c r="I49">
        <f>0</f>
        <v>0</v>
      </c>
      <c r="J49">
        <f>'밸런스 조정'!$C$42</f>
        <v>1.8</v>
      </c>
      <c r="K49">
        <f>'밸런스 조정'!$C$44</f>
        <v>6</v>
      </c>
      <c r="L49">
        <f>0</f>
        <v>0</v>
      </c>
    </row>
    <row r="50" spans="2:12">
      <c r="B50">
        <v>48</v>
      </c>
      <c r="C50" t="s">
        <v>256</v>
      </c>
      <c r="D50" t="s">
        <v>505</v>
      </c>
      <c r="E50">
        <v>0</v>
      </c>
      <c r="F50" t="s">
        <v>495</v>
      </c>
      <c r="G50">
        <f>'밸런스 조정'!$C$39</f>
        <v>240</v>
      </c>
      <c r="H50" t="s">
        <v>480</v>
      </c>
      <c r="I50">
        <f>0</f>
        <v>0</v>
      </c>
      <c r="J50">
        <f>'밸런스 조정'!$C$42</f>
        <v>1.8</v>
      </c>
      <c r="K50">
        <f>'밸런스 조정'!$C$43</f>
        <v>4</v>
      </c>
      <c r="L50">
        <f>'밸런스 조정'!$C$45</f>
        <v>9</v>
      </c>
    </row>
    <row r="51" spans="2:12">
      <c r="B51">
        <v>49</v>
      </c>
      <c r="C51" t="s">
        <v>256</v>
      </c>
      <c r="D51" t="s">
        <v>506</v>
      </c>
      <c r="E51">
        <v>0</v>
      </c>
      <c r="F51" t="s">
        <v>479</v>
      </c>
      <c r="G51">
        <f>'밸런스 조정'!$C$38</f>
        <v>180</v>
      </c>
      <c r="H51" t="s">
        <v>480</v>
      </c>
      <c r="I51">
        <f>'밸런스 조정'!$C$41</f>
        <v>240</v>
      </c>
      <c r="J51">
        <f>'밸런스 조정'!$C$42</f>
        <v>1.8</v>
      </c>
      <c r="K51">
        <f>'밸런스 조정'!$C$43</f>
        <v>4</v>
      </c>
      <c r="L51">
        <f>0</f>
        <v>0</v>
      </c>
    </row>
    <row r="52" spans="2:12">
      <c r="B52">
        <v>50</v>
      </c>
      <c r="C52" t="s">
        <v>256</v>
      </c>
      <c r="D52" t="s">
        <v>507</v>
      </c>
      <c r="E52">
        <v>0</v>
      </c>
      <c r="F52" t="s">
        <v>479</v>
      </c>
      <c r="G52">
        <f>'밸런스 조정'!$C$38</f>
        <v>180</v>
      </c>
      <c r="H52" t="s">
        <v>480</v>
      </c>
      <c r="I52">
        <f>'밸런스 조정'!$C$41</f>
        <v>240</v>
      </c>
      <c r="J52">
        <f>'밸런스 조정'!$C$42</f>
        <v>1.8</v>
      </c>
      <c r="K52">
        <f>'밸런스 조정'!$C$43</f>
        <v>4</v>
      </c>
      <c r="L52">
        <f>0</f>
        <v>0</v>
      </c>
    </row>
    <row r="53" spans="2:12">
      <c r="B53">
        <v>56</v>
      </c>
      <c r="C53" t="s">
        <v>307</v>
      </c>
      <c r="D53" t="s">
        <v>516</v>
      </c>
      <c r="E53">
        <v>1</v>
      </c>
      <c r="F53" t="s">
        <v>479</v>
      </c>
      <c r="G53">
        <f>'밸런스 조정'!$C$80</f>
        <v>500</v>
      </c>
      <c r="H53" t="s">
        <v>509</v>
      </c>
      <c r="I53">
        <f>'밸런스 조정'!$C$83</f>
        <v>1250</v>
      </c>
      <c r="J53">
        <v>0</v>
      </c>
      <c r="K53">
        <v>0</v>
      </c>
      <c r="L53">
        <v>0</v>
      </c>
    </row>
    <row r="54" spans="2:12">
      <c r="B54">
        <v>57</v>
      </c>
      <c r="C54" t="s">
        <v>307</v>
      </c>
      <c r="D54" t="s">
        <v>517</v>
      </c>
      <c r="E54">
        <v>1</v>
      </c>
      <c r="F54" t="s">
        <v>495</v>
      </c>
      <c r="G54">
        <f>'밸런스 조정'!$C$81</f>
        <v>650</v>
      </c>
      <c r="H54" t="s">
        <v>511</v>
      </c>
      <c r="I54">
        <v>0</v>
      </c>
      <c r="J54">
        <f>'밸런스 조정'!$C$84</f>
        <v>2</v>
      </c>
      <c r="K54">
        <f>'밸런스 조정'!$C$85</f>
        <v>5.5</v>
      </c>
      <c r="L54">
        <f>'밸런스 조정'!$C$87</f>
        <v>9</v>
      </c>
    </row>
    <row r="55" spans="2:12">
      <c r="B55">
        <v>58</v>
      </c>
      <c r="C55" t="s">
        <v>307</v>
      </c>
      <c r="D55" t="s">
        <v>518</v>
      </c>
      <c r="E55">
        <v>1</v>
      </c>
      <c r="F55" t="s">
        <v>479</v>
      </c>
      <c r="G55">
        <f>'밸런스 조정'!$C$80</f>
        <v>500</v>
      </c>
      <c r="H55" t="s">
        <v>509</v>
      </c>
      <c r="I55">
        <f>'밸런스 조정'!$C$83</f>
        <v>1250</v>
      </c>
      <c r="J55">
        <v>0</v>
      </c>
      <c r="K55">
        <v>0</v>
      </c>
      <c r="L55">
        <v>0</v>
      </c>
    </row>
    <row r="56" spans="2:12">
      <c r="B56">
        <v>59</v>
      </c>
      <c r="C56" t="s">
        <v>307</v>
      </c>
      <c r="D56" t="s">
        <v>519</v>
      </c>
      <c r="E56">
        <v>1</v>
      </c>
      <c r="F56" t="s">
        <v>497</v>
      </c>
      <c r="G56">
        <f>'밸런스 조정'!$C$82</f>
        <v>750</v>
      </c>
      <c r="H56" t="s">
        <v>514</v>
      </c>
      <c r="I56">
        <v>0</v>
      </c>
      <c r="J56">
        <v>0</v>
      </c>
      <c r="K56">
        <f>'밸런스 조정'!$C$86</f>
        <v>7</v>
      </c>
      <c r="L56">
        <v>0</v>
      </c>
    </row>
    <row r="57" spans="2:12">
      <c r="B57">
        <v>60</v>
      </c>
      <c r="C57" t="s">
        <v>307</v>
      </c>
      <c r="D57" t="s">
        <v>520</v>
      </c>
      <c r="E57">
        <v>1</v>
      </c>
      <c r="F57" t="s">
        <v>495</v>
      </c>
      <c r="G57">
        <f>'밸런스 조정'!$C$81</f>
        <v>650</v>
      </c>
      <c r="H57" t="s">
        <v>511</v>
      </c>
      <c r="I57">
        <v>0</v>
      </c>
      <c r="J57">
        <f>'밸런스 조정'!$C$84</f>
        <v>2</v>
      </c>
      <c r="K57">
        <f>'밸런스 조정'!$C$85</f>
        <v>5.5</v>
      </c>
      <c r="L57">
        <f>'밸런스 조정'!$C$87</f>
        <v>9</v>
      </c>
    </row>
    <row r="58" spans="2:12">
      <c r="B58">
        <v>61</v>
      </c>
      <c r="C58" t="s">
        <v>307</v>
      </c>
      <c r="D58" t="s">
        <v>521</v>
      </c>
      <c r="E58">
        <v>0</v>
      </c>
      <c r="F58" t="s">
        <v>479</v>
      </c>
      <c r="G58">
        <f>'밸런스 조정'!$C$80</f>
        <v>500</v>
      </c>
      <c r="H58" t="s">
        <v>509</v>
      </c>
      <c r="I58">
        <f>'밸런스 조정'!$C$83</f>
        <v>1250</v>
      </c>
      <c r="J58">
        <v>0</v>
      </c>
      <c r="K58">
        <v>0</v>
      </c>
      <c r="L58">
        <v>0</v>
      </c>
    </row>
    <row r="59" spans="2:12">
      <c r="B59">
        <v>62</v>
      </c>
      <c r="C59" t="s">
        <v>307</v>
      </c>
      <c r="D59" t="s">
        <v>522</v>
      </c>
      <c r="E59">
        <v>0</v>
      </c>
      <c r="F59" t="s">
        <v>495</v>
      </c>
      <c r="G59">
        <f>'밸런스 조정'!$C$81</f>
        <v>650</v>
      </c>
      <c r="H59" t="s">
        <v>511</v>
      </c>
      <c r="I59">
        <v>0</v>
      </c>
      <c r="J59">
        <f>'밸런스 조정'!$C$84</f>
        <v>2</v>
      </c>
      <c r="K59">
        <f>'밸런스 조정'!$C$85</f>
        <v>5.5</v>
      </c>
      <c r="L59">
        <f>'밸런스 조정'!$C$87</f>
        <v>9</v>
      </c>
    </row>
    <row r="60" spans="2:12">
      <c r="B60">
        <v>63</v>
      </c>
      <c r="C60" t="s">
        <v>307</v>
      </c>
      <c r="D60" t="s">
        <v>523</v>
      </c>
      <c r="E60">
        <v>1</v>
      </c>
      <c r="F60" t="s">
        <v>479</v>
      </c>
      <c r="G60">
        <f>'밸런스 조정'!$C$80</f>
        <v>500</v>
      </c>
      <c r="H60" t="s">
        <v>509</v>
      </c>
      <c r="I60">
        <f>'밸런스 조정'!$C$83</f>
        <v>1250</v>
      </c>
      <c r="J60">
        <v>0</v>
      </c>
      <c r="K60">
        <v>0</v>
      </c>
      <c r="L60">
        <v>0</v>
      </c>
    </row>
    <row r="61" spans="2:12">
      <c r="B61">
        <v>64</v>
      </c>
      <c r="C61" t="s">
        <v>307</v>
      </c>
      <c r="D61" t="s">
        <v>524</v>
      </c>
      <c r="E61">
        <v>1</v>
      </c>
      <c r="F61" t="s">
        <v>497</v>
      </c>
      <c r="G61">
        <f>'밸런스 조정'!$C$82</f>
        <v>750</v>
      </c>
      <c r="H61" t="s">
        <v>514</v>
      </c>
      <c r="I61">
        <v>0</v>
      </c>
      <c r="J61">
        <v>0</v>
      </c>
      <c r="K61">
        <f>'밸런스 조정'!$C$86</f>
        <v>7</v>
      </c>
      <c r="L61">
        <v>0</v>
      </c>
    </row>
    <row r="62" spans="2:12">
      <c r="B62">
        <v>65</v>
      </c>
      <c r="C62" t="s">
        <v>307</v>
      </c>
      <c r="D62" t="s">
        <v>525</v>
      </c>
      <c r="E62">
        <v>1</v>
      </c>
      <c r="F62" t="s">
        <v>495</v>
      </c>
      <c r="G62">
        <f>'밸런스 조정'!$C$81</f>
        <v>650</v>
      </c>
      <c r="H62" t="s">
        <v>511</v>
      </c>
      <c r="I62">
        <v>0</v>
      </c>
      <c r="J62">
        <f>'밸런스 조정'!$C$84</f>
        <v>2</v>
      </c>
      <c r="K62">
        <f>'밸런스 조정'!$C$85</f>
        <v>5.5</v>
      </c>
      <c r="L62">
        <f>'밸런스 조정'!$C$87</f>
        <v>9</v>
      </c>
    </row>
    <row r="63" spans="2:12">
      <c r="B63">
        <v>66</v>
      </c>
      <c r="C63" t="s">
        <v>307</v>
      </c>
      <c r="D63" t="s">
        <v>526</v>
      </c>
      <c r="E63">
        <v>1</v>
      </c>
      <c r="F63" t="s">
        <v>479</v>
      </c>
      <c r="G63">
        <f>'밸런스 조정'!$C$80</f>
        <v>500</v>
      </c>
      <c r="H63" t="s">
        <v>509</v>
      </c>
      <c r="I63">
        <f>'밸런스 조정'!$C$83</f>
        <v>1250</v>
      </c>
      <c r="J63">
        <v>0</v>
      </c>
      <c r="K63">
        <v>0</v>
      </c>
      <c r="L63">
        <v>0</v>
      </c>
    </row>
    <row r="64" spans="2:12">
      <c r="B64">
        <v>67</v>
      </c>
      <c r="C64" t="s">
        <v>307</v>
      </c>
      <c r="D64" t="s">
        <v>527</v>
      </c>
      <c r="E64">
        <v>1</v>
      </c>
      <c r="F64" t="s">
        <v>495</v>
      </c>
      <c r="G64">
        <f>'밸런스 조정'!$C$81</f>
        <v>650</v>
      </c>
      <c r="H64" t="s">
        <v>511</v>
      </c>
      <c r="I64">
        <v>0</v>
      </c>
      <c r="J64">
        <f>'밸런스 조정'!$C$84</f>
        <v>2</v>
      </c>
      <c r="K64">
        <f>'밸런스 조정'!$C$85</f>
        <v>5.5</v>
      </c>
      <c r="L64">
        <f>'밸런스 조정'!$C$87</f>
        <v>9</v>
      </c>
    </row>
  </sheetData>
  <phoneticPr fontId="12" type="noConversion"/>
  <dataValidations count="1">
    <dataValidation type="list" sqref="E3:E26" xr:uid="{00000000-0002-0000-0A00-000000000000}">
      <formula1>"0,1"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mc="http://schemas.openxmlformats.org/markup-compatibility/2006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00000000-0001-0000-0B00-000000000000}">
  <dimension ref="B1:Y295"/>
  <sheetViews>
    <sheetView showGridLines="0" workbookViewId="0">
      <pane ySplit="2" topLeftCell="A3" activePane="bottomLeft" state="frozen"/>
      <selection pane="bottomLeft"/>
    </sheetView>
  </sheetViews>
  <sheetFormatPr defaultRowHeight="16.5"/>
  <cols>
    <col min="2" max="2" width="29" customWidth="1"/>
    <col min="3" max="8" width="16" customWidth="1"/>
    <col min="9" max="9" width="36" customWidth="1"/>
    <col min="10" max="17" width="14" customWidth="1"/>
    <col min="18" max="18" width="18" customWidth="1"/>
  </cols>
  <sheetData>
    <row r="1" spans="2:9" ht="27" customHeight="1">
      <c r="B1" s="29" t="s">
        <v>536</v>
      </c>
      <c r="C1" s="29"/>
      <c r="D1" s="29"/>
      <c r="E1" s="29"/>
      <c r="F1" s="29"/>
      <c r="G1" s="29"/>
      <c r="H1" s="29"/>
      <c r="I1" s="29"/>
    </row>
    <row r="2" spans="2:9" ht="30" customHeight="1">
      <c r="B2" s="23" t="s">
        <v>4</v>
      </c>
      <c r="C2" s="23" t="s">
        <v>537</v>
      </c>
      <c r="D2" s="23" t="s">
        <v>538</v>
      </c>
      <c r="E2" s="23" t="s">
        <v>539</v>
      </c>
      <c r="F2" s="23" t="s">
        <v>540</v>
      </c>
      <c r="G2" s="23" t="s">
        <v>39</v>
      </c>
      <c r="H2" s="23" t="s">
        <v>2</v>
      </c>
    </row>
    <row r="3" spans="2:9" ht="27" customHeight="1">
      <c r="B3" s="24" t="s">
        <v>16</v>
      </c>
      <c r="C3" s="25">
        <v>0</v>
      </c>
      <c r="D3" s="25">
        <v>4</v>
      </c>
      <c r="E3" s="25">
        <v>10</v>
      </c>
      <c r="F3" s="25">
        <v>5</v>
      </c>
      <c r="G3" s="24" t="s">
        <v>63</v>
      </c>
      <c r="H3" s="24" t="s">
        <v>9</v>
      </c>
    </row>
    <row r="4" spans="2:9" ht="27" customHeight="1">
      <c r="B4" s="24" t="s">
        <v>23</v>
      </c>
      <c r="C4" s="25">
        <v>0</v>
      </c>
      <c r="D4" s="25">
        <v>20</v>
      </c>
      <c r="E4" s="25">
        <v>10</v>
      </c>
      <c r="F4" s="25">
        <v>5</v>
      </c>
      <c r="G4" s="24" t="s">
        <v>63</v>
      </c>
      <c r="H4" s="24" t="s">
        <v>9</v>
      </c>
    </row>
    <row r="5" spans="2:9" ht="27" customHeight="1">
      <c r="B5" s="24" t="s">
        <v>19</v>
      </c>
      <c r="C5" s="25">
        <v>0</v>
      </c>
      <c r="D5" s="25">
        <v>5</v>
      </c>
      <c r="E5" s="25">
        <v>45</v>
      </c>
      <c r="F5" s="25">
        <v>20</v>
      </c>
      <c r="G5" s="24" t="s">
        <v>49</v>
      </c>
      <c r="H5" s="24" t="s">
        <v>9</v>
      </c>
    </row>
    <row r="6" spans="2:9" ht="27" customHeight="1">
      <c r="B6" s="24" t="s">
        <v>128</v>
      </c>
      <c r="C6" s="25">
        <v>0</v>
      </c>
      <c r="D6" s="25">
        <v>4</v>
      </c>
      <c r="E6" s="25">
        <v>40</v>
      </c>
      <c r="F6" s="25">
        <v>16</v>
      </c>
      <c r="G6" s="24" t="s">
        <v>49</v>
      </c>
      <c r="H6" s="24" t="s">
        <v>9</v>
      </c>
    </row>
    <row r="7" spans="2:9" ht="27" customHeight="1">
      <c r="B7" s="24" t="s">
        <v>12</v>
      </c>
      <c r="C7" s="25">
        <v>0</v>
      </c>
      <c r="D7" s="25">
        <v>8</v>
      </c>
      <c r="E7" s="25">
        <v>60</v>
      </c>
      <c r="F7" s="25">
        <v>25</v>
      </c>
      <c r="G7" s="24" t="s">
        <v>49</v>
      </c>
      <c r="H7" s="24" t="s">
        <v>9</v>
      </c>
    </row>
    <row r="8" spans="2:9" ht="27" customHeight="1">
      <c r="B8" s="24" t="s">
        <v>32</v>
      </c>
      <c r="C8" s="25">
        <v>0</v>
      </c>
      <c r="D8" s="25">
        <v>8</v>
      </c>
      <c r="E8" s="25">
        <v>70</v>
      </c>
      <c r="F8" s="25">
        <v>35</v>
      </c>
      <c r="G8" s="24" t="s">
        <v>49</v>
      </c>
      <c r="H8" s="24" t="s">
        <v>9</v>
      </c>
    </row>
    <row r="9" spans="2:9" ht="27" customHeight="1">
      <c r="B9" s="24" t="s">
        <v>29</v>
      </c>
      <c r="C9" s="25">
        <v>0</v>
      </c>
      <c r="D9" s="25">
        <v>0.1</v>
      </c>
      <c r="E9" s="25">
        <v>80</v>
      </c>
      <c r="F9" s="25">
        <v>35</v>
      </c>
      <c r="G9" s="24" t="s">
        <v>63</v>
      </c>
      <c r="H9" s="24" t="s">
        <v>9</v>
      </c>
    </row>
    <row r="10" spans="2:9" ht="27" customHeight="1">
      <c r="B10" s="24" t="s">
        <v>134</v>
      </c>
      <c r="C10" s="25">
        <v>95</v>
      </c>
      <c r="D10" s="25">
        <v>5</v>
      </c>
      <c r="E10" s="25">
        <v>450</v>
      </c>
      <c r="F10" s="25">
        <v>120</v>
      </c>
      <c r="G10" s="24" t="s">
        <v>49</v>
      </c>
      <c r="H10" s="24" t="s">
        <v>9</v>
      </c>
    </row>
    <row r="11" spans="2:9" ht="27" customHeight="1">
      <c r="B11" s="24" t="s">
        <v>137</v>
      </c>
      <c r="C11" s="25">
        <v>125</v>
      </c>
      <c r="D11" s="25">
        <v>5</v>
      </c>
      <c r="E11" s="25">
        <v>550</v>
      </c>
      <c r="F11" s="25">
        <v>150</v>
      </c>
      <c r="G11" s="24" t="s">
        <v>49</v>
      </c>
      <c r="H11" s="24" t="s">
        <v>9</v>
      </c>
    </row>
    <row r="12" spans="2:9" ht="27" customHeight="1">
      <c r="B12" s="24"/>
      <c r="C12" s="24"/>
      <c r="D12" s="24"/>
      <c r="E12" s="24"/>
      <c r="F12" s="24"/>
      <c r="G12" s="24"/>
      <c r="H12" s="24"/>
    </row>
    <row r="13" spans="2:9" ht="27" customHeight="1">
      <c r="B13" s="24"/>
      <c r="C13" s="24"/>
      <c r="D13" s="24"/>
      <c r="E13" s="24"/>
      <c r="F13" s="24"/>
      <c r="G13" s="24"/>
      <c r="H13" s="24"/>
    </row>
    <row r="14" spans="2:9" ht="27" customHeight="1">
      <c r="B14" s="23" t="s">
        <v>541</v>
      </c>
      <c r="C14" s="23" t="s">
        <v>542</v>
      </c>
      <c r="D14" s="24"/>
      <c r="E14" s="24"/>
      <c r="F14" s="24"/>
      <c r="G14" s="24"/>
      <c r="H14" s="24"/>
    </row>
    <row r="15" spans="2:9" ht="27" customHeight="1">
      <c r="B15" s="24" t="s">
        <v>543</v>
      </c>
      <c r="C15" s="25">
        <v>8</v>
      </c>
      <c r="D15" s="24"/>
      <c r="E15" s="24"/>
      <c r="F15" s="24"/>
      <c r="G15" s="24"/>
      <c r="H15" s="24"/>
    </row>
    <row r="16" spans="2:9" ht="27" customHeight="1">
      <c r="B16" s="24" t="s">
        <v>544</v>
      </c>
      <c r="C16" s="25">
        <v>45</v>
      </c>
      <c r="D16" s="24"/>
      <c r="E16" s="24"/>
      <c r="F16" s="24"/>
      <c r="G16" s="24"/>
      <c r="H16" s="24"/>
    </row>
    <row r="17" spans="2:8" ht="27" customHeight="1">
      <c r="B17" s="24" t="s">
        <v>545</v>
      </c>
      <c r="C17" s="27">
        <v>0.04</v>
      </c>
      <c r="D17" s="24"/>
      <c r="E17" s="24"/>
      <c r="F17" s="24"/>
      <c r="G17" s="24"/>
      <c r="H17" s="24"/>
    </row>
    <row r="18" spans="2:8" ht="27" customHeight="1">
      <c r="B18" s="24" t="s">
        <v>546</v>
      </c>
      <c r="C18" s="27" t="n">
        <v>0.16</v>
      </c>
      <c r="D18" s="24"/>
      <c r="E18" s="24"/>
      <c r="F18" s="24"/>
      <c r="G18" s="24"/>
      <c r="H18" s="24"/>
    </row>
    <row r="19" spans="2:8" ht="27" customHeight="1">
      <c r="B19" s="24" t="s">
        <v>547</v>
      </c>
      <c r="C19" s="25">
        <v>1.6</v>
      </c>
      <c r="D19" s="24"/>
      <c r="E19" s="24"/>
      <c r="F19" s="24"/>
      <c r="G19" s="24"/>
      <c r="H19" s="24"/>
    </row>
    <row r="20" spans="2:8" ht="27" customHeight="1">
      <c r="B20" s="24" t="s">
        <v>548</v>
      </c>
      <c r="C20" s="25">
        <v>1.8</v>
      </c>
      <c r="D20" s="24"/>
      <c r="E20" s="24"/>
      <c r="F20" s="24"/>
      <c r="G20" s="24"/>
      <c r="H20" s="24"/>
    </row>
    <row r="21" spans="2:8" ht="27" customHeight="1">
      <c r="B21" s="24" t="s">
        <v>549</v>
      </c>
      <c r="C21" s="25">
        <v>3</v>
      </c>
      <c r="D21" s="24"/>
      <c r="E21" s="24"/>
      <c r="F21" s="24"/>
      <c r="G21" s="24"/>
      <c r="H21" s="24"/>
    </row>
    <row r="22" spans="2:8" ht="27" customHeight="1">
      <c r="B22" s="24" t="s">
        <v>550</v>
      </c>
      <c r="C22" s="25" t="n">
        <v>1.31</v>
      </c>
      <c r="D22" s="24"/>
      <c r="E22" s="24"/>
      <c r="F22" s="24"/>
      <c r="G22" s="24"/>
      <c r="H22" s="24"/>
    </row>
    <row r="23" spans="2:8" ht="27" customHeight="1">
      <c r="B23" s="24" t="s">
        <v>551</v>
      </c>
      <c r="C23" s="25">
        <v>55</v>
      </c>
      <c r="D23" s="24"/>
      <c r="E23" s="24"/>
      <c r="F23" s="24"/>
      <c r="G23" s="24"/>
      <c r="H23" s="24"/>
    </row>
    <row r="24" spans="2:8" ht="27" customHeight="1">
      <c r="B24" s="24" t="s">
        <v>552</v>
      </c>
      <c r="C24" s="25">
        <v>130</v>
      </c>
      <c r="D24" s="24"/>
      <c r="E24" s="24"/>
      <c r="F24" s="24"/>
      <c r="G24" s="24"/>
      <c r="H24" s="24"/>
    </row>
    <row r="25" spans="2:8" ht="27" customHeight="1">
      <c r="B25" s="24" t="s">
        <v>553</v>
      </c>
      <c r="C25" s="24"/>
      <c r="D25" s="24"/>
      <c r="E25" s="24"/>
      <c r="F25" s="24"/>
      <c r="G25" s="24"/>
      <c r="H25" s="24"/>
    </row>
    <row r="28" spans="2:8">
      <c r="B28" s="32" t="s">
        <v>554</v>
      </c>
      <c r="C28" s="32"/>
      <c r="D28" s="32"/>
    </row>
    <row r="29" spans="2:8">
      <c r="B29" s="33" t="s">
        <v>4</v>
      </c>
      <c r="C29" s="33" t="s">
        <v>542</v>
      </c>
      <c r="D29" s="33" t="s">
        <v>192</v>
      </c>
    </row>
    <row r="30" spans="2:8" ht="32.1" customHeight="1">
      <c r="B30" s="31" t="s">
        <v>543</v>
      </c>
      <c r="C30" s="34">
        <v>220</v>
      </c>
      <c r="D30" s="36" t="s">
        <v>555</v>
      </c>
    </row>
    <row r="31" spans="2:8" ht="32.1" customHeight="1">
      <c r="B31" s="31" t="s">
        <v>544</v>
      </c>
      <c r="C31" s="34" t="n">
        <v>500</v>
      </c>
      <c r="D31" s="36" t="s">
        <v>556</v>
      </c>
    </row>
    <row r="32" spans="2:8" ht="32.1" customHeight="1">
      <c r="B32" s="31" t="s">
        <v>557</v>
      </c>
      <c r="C32" s="35">
        <v>3.5000000000000003E-2</v>
      </c>
      <c r="D32" s="36" t="s">
        <v>558</v>
      </c>
    </row>
    <row r="33" spans="2:4" ht="32.1" customHeight="1">
      <c r="B33" s="31" t="s">
        <v>559</v>
      </c>
      <c r="C33" s="35">
        <v>7.4999999999999997E-2</v>
      </c>
      <c r="D33" s="36" t="s">
        <v>558</v>
      </c>
    </row>
    <row r="34" spans="2:4" ht="32.1" customHeight="1">
      <c r="B34" s="31" t="s">
        <v>547</v>
      </c>
      <c r="C34" s="34">
        <v>1.25</v>
      </c>
      <c r="D34" s="36" t="s">
        <v>560</v>
      </c>
    </row>
    <row r="35" spans="2:4" ht="32.1" customHeight="1">
      <c r="B35" s="31" t="s">
        <v>548</v>
      </c>
      <c r="C35" s="34">
        <v>1.5</v>
      </c>
      <c r="D35" s="36" t="s">
        <v>560</v>
      </c>
    </row>
    <row r="36" spans="2:4" ht="32.1" customHeight="1">
      <c r="B36" s="31" t="s">
        <v>549</v>
      </c>
      <c r="C36" s="34">
        <v>1.8</v>
      </c>
      <c r="D36" s="36" t="s">
        <v>561</v>
      </c>
    </row>
    <row r="37" spans="2:4" ht="32.1" customHeight="1">
      <c r="B37" s="31" t="s">
        <v>550</v>
      </c>
      <c r="C37" s="34" t="n">
        <v>1.85</v>
      </c>
      <c r="D37" s="36" t="s">
        <v>561</v>
      </c>
    </row>
    <row r="38" spans="2:4" ht="32.1" customHeight="1">
      <c r="B38" s="31" t="s">
        <v>562</v>
      </c>
      <c r="C38" s="34">
        <v>180</v>
      </c>
      <c r="D38" s="36" t="s">
        <v>563</v>
      </c>
    </row>
    <row r="39" spans="2:4" ht="32.1" customHeight="1">
      <c r="B39" s="31" t="s">
        <v>564</v>
      </c>
      <c r="C39" s="34">
        <v>240</v>
      </c>
      <c r="D39" s="36" t="s">
        <v>565</v>
      </c>
    </row>
    <row r="40" spans="2:4" ht="32.1" customHeight="1">
      <c r="B40" s="31" t="s">
        <v>566</v>
      </c>
      <c r="C40" s="34">
        <v>280</v>
      </c>
      <c r="D40" s="36" t="s">
        <v>567</v>
      </c>
    </row>
    <row r="41" spans="2:4" ht="32.1" customHeight="1">
      <c r="B41" s="31" t="s">
        <v>568</v>
      </c>
      <c r="C41" s="34">
        <v>240</v>
      </c>
      <c r="D41" s="36" t="s">
        <v>569</v>
      </c>
    </row>
    <row r="42" spans="2:4" ht="32.1" customHeight="1">
      <c r="B42" s="31" t="s">
        <v>570</v>
      </c>
      <c r="C42" s="34">
        <v>1.8</v>
      </c>
      <c r="D42" s="36" t="s">
        <v>571</v>
      </c>
    </row>
    <row r="43" spans="2:4" ht="32.1" customHeight="1">
      <c r="B43" s="31" t="s">
        <v>572</v>
      </c>
      <c r="C43" s="34">
        <v>4</v>
      </c>
      <c r="D43" s="36" t="s">
        <v>573</v>
      </c>
    </row>
    <row r="44" spans="2:4" ht="32.1" customHeight="1">
      <c r="B44" s="31" t="s">
        <v>574</v>
      </c>
      <c r="C44" s="34">
        <v>6</v>
      </c>
      <c r="D44" s="36" t="s">
        <v>575</v>
      </c>
    </row>
    <row r="45" spans="2:4" ht="32.1" customHeight="1">
      <c r="B45" s="31" t="s">
        <v>576</v>
      </c>
      <c r="C45" s="34">
        <v>9</v>
      </c>
      <c r="D45" s="36" t="s">
        <v>577</v>
      </c>
    </row>
    <row r="47" spans="2:4">
      <c r="B47" s="38" t="s">
        <v>578</v>
      </c>
      <c r="C47" s="38"/>
      <c r="D47" s="38"/>
    </row>
    <row r="48" spans="2:4" ht="32.1" customHeight="1">
      <c r="B48" t="s">
        <v>579</v>
      </c>
      <c r="C48" s="39">
        <v>2</v>
      </c>
      <c r="D48" s="40" t="s">
        <v>580</v>
      </c>
    </row>
    <row r="49" spans="2:4" ht="32.1" customHeight="1">
      <c r="B49" t="s">
        <v>581</v>
      </c>
      <c r="C49" s="39">
        <v>20</v>
      </c>
      <c r="D49" s="40" t="s">
        <v>582</v>
      </c>
    </row>
    <row r="50" spans="2:4" ht="32.1" customHeight="1">
      <c r="B50" t="s">
        <v>583</v>
      </c>
      <c r="C50" s="39">
        <v>10</v>
      </c>
      <c r="D50" s="40" t="s">
        <v>584</v>
      </c>
    </row>
    <row r="53" spans="2:4" ht="27.95" customHeight="1">
      <c r="B53" s="23" t="s">
        <v>585</v>
      </c>
      <c r="C53" s="23" t="s">
        <v>542</v>
      </c>
      <c r="D53" s="23" t="s">
        <v>192</v>
      </c>
    </row>
    <row r="54" spans="2:4" ht="42" customHeight="1">
      <c r="B54" s="24" t="s">
        <v>586</v>
      </c>
      <c r="C54" s="42">
        <v>30</v>
      </c>
      <c r="D54" s="44" t="s">
        <v>587</v>
      </c>
    </row>
    <row r="55" spans="2:4" ht="42" customHeight="1">
      <c r="B55" s="24" t="s">
        <v>588</v>
      </c>
      <c r="C55" s="42" t="n">
        <v>12</v>
      </c>
      <c r="D55" s="44" t="inlineStr">
        <is>
          <t>강화 후 10~15초 증가 목표. 보너스·조작 편차.</t>
        </is>
      </c>
    </row>
    <row r="56" spans="2:4" ht="42" customHeight="1">
      <c r="B56" s="24" t="s">
        <v>590</v>
      </c>
      <c r="C56" s="42" t="n">
        <v>25</v>
      </c>
      <c r="D56" s="44" t="inlineStr">
        <is>
          <t>첫 챕터 20~30판 목표. 획득 코인으로 강화 구매하며 검증.</t>
        </is>
      </c>
    </row>
    <row r="57" spans="2:4" ht="42" customHeight="1">
      <c r="B57" s="24" t="s">
        <v>592</v>
      </c>
      <c r="C57" s="42">
        <v>300</v>
      </c>
      <c r="D57" s="44" t="s">
        <v>593</v>
      </c>
    </row>
    <row r="58" spans="2:4" ht="42" customHeight="1">
      <c r="B58" s="24" t="s">
        <v>594</v>
      </c>
      <c r="C58" s="42">
        <v>300</v>
      </c>
      <c r="D58" s="44" t="s">
        <v>593</v>
      </c>
    </row>
    <row r="59" spans="2:4" ht="42" customHeight="1">
      <c r="B59" s="24" t="s">
        <v>595</v>
      </c>
      <c r="C59" s="43">
        <v>8.84</v>
      </c>
      <c r="D59" s="44" t="s">
        <v>596</v>
      </c>
    </row>
    <row r="60" spans="2:4" ht="42" customHeight="1">
      <c r="B60" s="24" t="s">
        <v>597</v>
      </c>
      <c r="C60" s="43">
        <v>7.8</v>
      </c>
      <c r="D60" s="44" t="s">
        <v>596</v>
      </c>
    </row>
    <row r="61" spans="2:4" ht="42" customHeight="1">
      <c r="B61" s="24" t="s">
        <v>598</v>
      </c>
      <c r="C61" s="42">
        <v>25</v>
      </c>
      <c r="D61" s="44" t="s">
        <v>599</v>
      </c>
    </row>
    <row r="62" spans="2:4" ht="42" customHeight="1">
      <c r="B62" s="24" t="s">
        <v>600</v>
      </c>
      <c r="C62" s="42">
        <v>50</v>
      </c>
      <c r="D62" s="44" t="s">
        <v>601</v>
      </c>
    </row>
    <row r="63" spans="2:4" ht="42" customHeight="1">
      <c r="B63" s="24" t="s">
        <v>602</v>
      </c>
      <c r="C63" s="42">
        <v>25</v>
      </c>
      <c r="D63" s="44" t="s">
        <v>603</v>
      </c>
    </row>
    <row r="64" spans="2:4" ht="42" customHeight="1">
      <c r="B64" s="24" t="s">
        <v>604</v>
      </c>
      <c r="C64" s="42">
        <v>0</v>
      </c>
      <c r="D64" s="44" t="s">
        <v>605</v>
      </c>
    </row>
    <row r="65" spans="2:18" ht="42" customHeight="1">
      <c r="B65" s="24" t="s">
        <v>606</v>
      </c>
      <c r="C65" s="42">
        <v>10</v>
      </c>
      <c r="D65" s="44" t="s">
        <v>607</v>
      </c>
    </row>
    <row r="66" spans="2:18" ht="42" customHeight="1">
      <c r="B66" s="24" t="s">
        <v>608</v>
      </c>
      <c r="C66" s="42">
        <v>5</v>
      </c>
      <c r="D66" s="44" t="s">
        <v>609</v>
      </c>
    </row>
    <row r="67" spans="2:18" ht="42" customHeight="1">
      <c r="B67" s="24" t="s">
        <v>610</v>
      </c>
      <c r="C67" s="42">
        <v>12</v>
      </c>
      <c r="D67" s="44" t="s">
        <v>611</v>
      </c>
    </row>
    <row r="68" spans="2:18" ht="42" customHeight="1">
      <c r="B68" s="24" t="s">
        <v>612</v>
      </c>
      <c r="C68" s="42">
        <v>3</v>
      </c>
      <c r="D68" s="44" t="s">
        <v>613</v>
      </c>
    </row>
    <row r="69" spans="2:18" ht="42" customHeight="1">
      <c r="B69" s="24" t="s">
        <v>614</v>
      </c>
      <c r="C69" s="42" t="n">
        <v>2</v>
      </c>
      <c r="D69" s="44" t="s">
        <v>615</v>
      </c>
    </row>
    <row r="71" spans="2:18" ht="30" customHeight="1">
      <c r="B71" s="33" t="s">
        <v>616</v>
      </c>
      <c r="C71" s="33" t="s">
        <v>542</v>
      </c>
      <c r="D71" s="33" t="s">
        <v>192</v>
      </c>
      <c r="J71" s="31" t="s">
        <v>617</v>
      </c>
      <c r="K71" s="31"/>
      <c r="L71" s="31"/>
      <c r="M71" s="31"/>
      <c r="N71" s="31"/>
      <c r="O71" s="31"/>
      <c r="P71" s="31"/>
      <c r="Q71" s="31"/>
    </row>
    <row r="72" spans="2:18" ht="30" customHeight="1">
      <c r="B72" s="31" t="s">
        <v>543</v>
      </c>
      <c r="C72" s="34">
        <v>650</v>
      </c>
      <c r="D72" s="36" t="s">
        <v>618</v>
      </c>
      <c r="J72" s="33" t="s">
        <v>78</v>
      </c>
      <c r="K72" s="33" t="s">
        <v>37</v>
      </c>
      <c r="L72" s="33" t="s">
        <v>619</v>
      </c>
      <c r="M72" s="33" t="s">
        <v>620</v>
      </c>
      <c r="N72" s="33" t="s">
        <v>621</v>
      </c>
      <c r="O72" s="33" t="s">
        <v>622</v>
      </c>
      <c r="P72" s="33" t="s">
        <v>623</v>
      </c>
      <c r="Q72" s="33" t="s">
        <v>624</v>
      </c>
      <c r="R72" s="33" t="s">
        <v>625</v>
      </c>
    </row>
    <row r="73" spans="2:18" ht="30" customHeight="1">
      <c r="B73" s="31" t="s">
        <v>544</v>
      </c>
      <c r="C73" s="34" t="n">
        <v>2000</v>
      </c>
      <c r="D73" s="36" t="s">
        <v>626</v>
      </c>
      <c r="J73" s="31">
        <v>1</v>
      </c>
      <c r="K73" s="31" t="s">
        <v>627</v>
      </c>
      <c r="L73" s="31" t="n">
        <v>25</v>
      </c>
      <c r="M73" s="31" t="n">
        <f>L73</f>
        <v>25</v>
      </c>
      <c r="N73" s="31">
        <v>12</v>
      </c>
      <c r="O73" s="31">
        <v>10</v>
      </c>
      <c r="P73" s="31">
        <v>10</v>
      </c>
      <c r="Q73" s="31">
        <v>300</v>
      </c>
      <c r="R73" s="31">
        <f>C100</f>
        <v>20</v>
      </c>
    </row>
    <row r="74" spans="2:18" ht="30" customHeight="1">
      <c r="B74" s="31" t="s">
        <v>557</v>
      </c>
      <c r="C74" s="35">
        <v>3.5000000000000003E-2</v>
      </c>
      <c r="D74" s="36" t="s">
        <v>628</v>
      </c>
      <c r="J74" s="31">
        <v>2</v>
      </c>
      <c r="K74" s="31" t="s">
        <v>629</v>
      </c>
      <c r="L74" s="31">
        <v>20</v>
      </c>
      <c r="M74" s="31" t="n">
        <f>M73+L74</f>
        <v>45</v>
      </c>
      <c r="N74" s="31">
        <v>24</v>
      </c>
      <c r="O74" s="31">
        <v>20</v>
      </c>
      <c r="P74" s="31" t="n">
        <f>C91</f>
        <v>62</v>
      </c>
      <c r="Q74" s="31">
        <v>300</v>
      </c>
      <c r="R74" s="31">
        <f>C102</f>
        <v>25</v>
      </c>
    </row>
    <row r="75" spans="2:18" ht="30" customHeight="1">
      <c r="B75" s="31" t="s">
        <v>559</v>
      </c>
      <c r="C75" s="35" t="n">
        <v>0.05</v>
      </c>
      <c r="D75" s="36" t="s">
        <v>628</v>
      </c>
      <c r="J75" s="31">
        <v>3</v>
      </c>
      <c r="K75" s="31" t="s">
        <v>630</v>
      </c>
      <c r="L75" s="31">
        <v>20</v>
      </c>
      <c r="M75" s="31" t="n">
        <f>M74+L75</f>
        <v>65</v>
      </c>
      <c r="N75" s="31">
        <v>36</v>
      </c>
      <c r="O75" s="31">
        <v>30</v>
      </c>
      <c r="P75" s="31" t="n">
        <f>C90</f>
        <v>350</v>
      </c>
      <c r="Q75" s="31">
        <v>300</v>
      </c>
      <c r="R75" s="31">
        <f>C104</f>
        <v>30</v>
      </c>
    </row>
    <row r="76" spans="2:18" ht="30" customHeight="1">
      <c r="B76" s="31" t="s">
        <v>547</v>
      </c>
      <c r="C76" s="34">
        <v>1.25</v>
      </c>
      <c r="D76" s="36" t="s">
        <v>560</v>
      </c>
      <c r="J76" s="31">
        <v>4</v>
      </c>
      <c r="K76" s="31" t="s">
        <v>631</v>
      </c>
      <c r="L76" s="31">
        <v>20</v>
      </c>
      <c r="M76" s="31" t="n">
        <f>M75+L76</f>
        <v>85</v>
      </c>
      <c r="N76" s="31">
        <v>48</v>
      </c>
      <c r="O76" s="31">
        <v>40</v>
      </c>
      <c r="P76" s="31">
        <v>700</v>
      </c>
      <c r="Q76" s="31">
        <v>300</v>
      </c>
      <c r="R76" s="31">
        <v>35</v>
      </c>
    </row>
    <row r="77" spans="2:18" ht="30" customHeight="1">
      <c r="B77" s="31" t="s">
        <v>548</v>
      </c>
      <c r="C77" s="34">
        <v>1.5</v>
      </c>
      <c r="D77" s="36" t="s">
        <v>560</v>
      </c>
      <c r="J77" s="31">
        <v>5</v>
      </c>
      <c r="K77" s="31" t="s">
        <v>632</v>
      </c>
      <c r="L77" s="31">
        <v>20</v>
      </c>
      <c r="M77" s="31" t="n">
        <f>M76+L77</f>
        <v>105</v>
      </c>
      <c r="N77" s="31">
        <v>60</v>
      </c>
      <c r="O77" s="31">
        <v>50</v>
      </c>
      <c r="P77" s="31">
        <v>1200</v>
      </c>
      <c r="Q77" s="31">
        <v>300</v>
      </c>
      <c r="R77" s="31">
        <v>40</v>
      </c>
    </row>
    <row r="78" spans="2:18" ht="30" customHeight="1">
      <c r="B78" s="31" t="s">
        <v>549</v>
      </c>
      <c r="C78" s="34">
        <v>1.8</v>
      </c>
      <c r="D78" s="36" t="s">
        <v>633</v>
      </c>
      <c r="J78" s="31"/>
      <c r="K78" s="31"/>
      <c r="L78" s="31"/>
      <c r="M78" s="31"/>
      <c r="N78" s="31"/>
      <c r="O78" s="31"/>
      <c r="P78" s="31"/>
      <c r="Q78" s="31"/>
    </row>
    <row r="79" spans="2:18" ht="30" customHeight="1">
      <c r="B79" s="31" t="s">
        <v>550</v>
      </c>
      <c r="C79" s="34">
        <v>2.6</v>
      </c>
      <c r="D79" s="36" t="s">
        <v>633</v>
      </c>
      <c r="J79" s="31" t="s">
        <v>634</v>
      </c>
      <c r="K79" s="31"/>
      <c r="L79" s="31"/>
      <c r="M79" s="31"/>
      <c r="N79" s="31"/>
      <c r="O79" s="31"/>
      <c r="P79" s="31"/>
      <c r="Q79" s="31"/>
    </row>
    <row r="80" spans="2:18" ht="32.1" customHeight="1">
      <c r="B80" s="31" t="s">
        <v>635</v>
      </c>
      <c r="C80" s="34">
        <v>500</v>
      </c>
      <c r="D80" s="36" t="s">
        <v>563</v>
      </c>
    </row>
    <row r="81" spans="2:4" ht="32.1" customHeight="1">
      <c r="B81" s="31" t="s">
        <v>636</v>
      </c>
      <c r="C81" s="34">
        <v>650</v>
      </c>
      <c r="D81" s="36" t="s">
        <v>637</v>
      </c>
    </row>
    <row r="82" spans="2:4" ht="32.1" customHeight="1">
      <c r="B82" s="31" t="s">
        <v>638</v>
      </c>
      <c r="C82" s="34">
        <v>750</v>
      </c>
      <c r="D82" s="36" t="s">
        <v>639</v>
      </c>
    </row>
    <row r="83" spans="2:4" ht="32.1" customHeight="1">
      <c r="B83" s="31" t="s">
        <v>640</v>
      </c>
      <c r="C83" s="34">
        <v>1250</v>
      </c>
      <c r="D83" s="36" t="s">
        <v>641</v>
      </c>
    </row>
    <row r="84" spans="2:4" ht="32.1" customHeight="1">
      <c r="B84" s="31" t="s">
        <v>642</v>
      </c>
      <c r="C84" s="34">
        <v>2</v>
      </c>
      <c r="D84" s="36" t="s">
        <v>643</v>
      </c>
    </row>
    <row r="85" spans="2:4" ht="32.1" customHeight="1">
      <c r="B85" s="31" t="s">
        <v>644</v>
      </c>
      <c r="C85" s="34">
        <v>5.5</v>
      </c>
      <c r="D85" s="36" t="s">
        <v>643</v>
      </c>
    </row>
    <row r="86" spans="2:4" ht="32.1" customHeight="1">
      <c r="B86" s="31" t="s">
        <v>645</v>
      </c>
      <c r="C86" s="34">
        <v>7</v>
      </c>
      <c r="D86" s="36" t="s">
        <v>643</v>
      </c>
    </row>
    <row r="87" spans="2:4" ht="32.1" customHeight="1">
      <c r="B87" s="31" t="s">
        <v>576</v>
      </c>
      <c r="C87" s="34">
        <v>9</v>
      </c>
      <c r="D87" s="36" t="s">
        <v>646</v>
      </c>
    </row>
    <row r="88" spans="2:4" ht="32.1" customHeight="1">
      <c r="B88" s="31" t="s">
        <v>647</v>
      </c>
      <c r="C88" s="34">
        <v>7.8</v>
      </c>
      <c r="D88" s="36" t="s">
        <v>648</v>
      </c>
    </row>
    <row r="89" spans="2:4" ht="32.1" customHeight="1">
      <c r="B89" s="31" t="s">
        <v>649</v>
      </c>
      <c r="C89" s="34">
        <v>300</v>
      </c>
      <c r="D89" s="36" t="s">
        <v>643</v>
      </c>
    </row>
    <row r="90" spans="2:4" ht="32.1" customHeight="1">
      <c r="B90" s="31" t="s">
        <v>650</v>
      </c>
      <c r="C90" s="34" t="n">
        <v>350</v>
      </c>
      <c r="D90" s="36" t="s">
        <v>651</v>
      </c>
    </row>
    <row r="91" spans="2:4" ht="32.1" customHeight="1">
      <c r="B91" s="31" t="s">
        <v>652</v>
      </c>
      <c r="C91" s="34" t="n">
        <v>62</v>
      </c>
      <c r="D91" s="36" t="s">
        <v>653</v>
      </c>
    </row>
    <row r="92" spans="2:4" ht="32.1" customHeight="1">
      <c r="B92" s="31" t="s">
        <v>654</v>
      </c>
      <c r="C92" s="31">
        <f>MAX(업그레이드!D3:D62)</f>
        <v>60</v>
      </c>
      <c r="D92" s="36" t="s">
        <v>655</v>
      </c>
    </row>
    <row r="93" spans="2:4" ht="32.1" customHeight="1">
      <c r="B93" s="31" t="s">
        <v>656</v>
      </c>
      <c r="C93" s="31">
        <f>MAX(업그레이드!D63:D122)</f>
        <v>60</v>
      </c>
      <c r="D93" s="36" t="s">
        <v>655</v>
      </c>
    </row>
    <row r="94" spans="2:4" ht="32.1" customHeight="1">
      <c r="B94" s="31" t="s">
        <v>657</v>
      </c>
      <c r="C94" s="45">
        <v>0.02</v>
      </c>
      <c r="D94" s="36" t="s">
        <v>658</v>
      </c>
    </row>
    <row r="95" spans="2:4" ht="32.1" customHeight="1">
      <c r="B95" s="31" t="s">
        <v>659</v>
      </c>
      <c r="C95" s="34">
        <v>15</v>
      </c>
      <c r="D95" s="36" t="s">
        <v>660</v>
      </c>
    </row>
    <row r="96" spans="2:4" ht="32.1" customHeight="1">
      <c r="B96" s="31" t="s">
        <v>661</v>
      </c>
      <c r="C96" s="34" t="n">
        <v>62</v>
      </c>
      <c r="D96" s="36" t="s">
        <v>662</v>
      </c>
    </row>
    <row r="97" spans="2:4" ht="32.1" customHeight="1">
      <c r="B97" s="31" t="s">
        <v>663</v>
      </c>
      <c r="C97" s="34" t="n">
        <v>350</v>
      </c>
      <c r="D97" s="36" t="s">
        <v>662</v>
      </c>
    </row>
    <row r="98" spans="2:4" ht="32.1" customHeight="1">
      <c r="B98" s="31" t="s">
        <v>664</v>
      </c>
      <c r="C98" s="34">
        <v>20</v>
      </c>
      <c r="D98" s="36" t="s">
        <v>665</v>
      </c>
    </row>
    <row r="99" spans="2:4" ht="32.1" customHeight="1">
      <c r="B99" s="31" t="s">
        <v>666</v>
      </c>
      <c r="C99" s="34">
        <v>0</v>
      </c>
      <c r="D99" s="36" t="s">
        <v>667</v>
      </c>
    </row>
    <row r="100" spans="2:4" ht="32.1" customHeight="1">
      <c r="B100" s="31" t="s">
        <v>668</v>
      </c>
      <c r="C100" s="34">
        <v>20</v>
      </c>
      <c r="D100" s="36" t="s">
        <v>669</v>
      </c>
    </row>
    <row r="101" spans="2:4" ht="32.1" customHeight="1">
      <c r="B101" s="31" t="s">
        <v>670</v>
      </c>
      <c r="C101" s="34">
        <v>5</v>
      </c>
      <c r="D101" s="36" t="s">
        <v>671</v>
      </c>
    </row>
    <row r="102" spans="2:4" ht="32.1" customHeight="1">
      <c r="B102" s="31" t="s">
        <v>672</v>
      </c>
      <c r="C102" s="34">
        <v>25</v>
      </c>
      <c r="D102" s="36" t="s">
        <v>673</v>
      </c>
    </row>
    <row r="103" spans="2:4" ht="32.1" customHeight="1">
      <c r="B103" s="31" t="s">
        <v>674</v>
      </c>
      <c r="C103" s="34">
        <v>5</v>
      </c>
      <c r="D103" s="36" t="s">
        <v>675</v>
      </c>
    </row>
    <row r="104" spans="2:4" ht="32.1" customHeight="1">
      <c r="B104" s="31" t="s">
        <v>676</v>
      </c>
      <c r="C104" s="34">
        <v>30</v>
      </c>
      <c r="D104" s="36" t="s">
        <v>677</v>
      </c>
    </row>
    <row r="105" spans="2:4" ht="32.1" customHeight="1">
      <c r="B105" s="31" t="s">
        <v>678</v>
      </c>
      <c r="C105" s="34">
        <v>5</v>
      </c>
      <c r="D105" s="36" t="s">
        <v>679</v>
      </c>
    </row>
    <row r="106" spans="2:4" ht="32.1" customHeight="1">
      <c r="B106" s="31" t="s">
        <v>680</v>
      </c>
      <c r="C106" s="34">
        <v>3.2</v>
      </c>
      <c r="D106" s="36" t="s">
        <v>681</v>
      </c>
    </row>
    <row r="107" spans="2:4" ht="32.1" customHeight="1">
      <c r="B107" s="31" t="s">
        <v>682</v>
      </c>
      <c r="C107" s="34">
        <v>3.2</v>
      </c>
      <c r="D107" s="36" t="s">
        <v>683</v>
      </c>
    </row>
    <row r="109" spans="2:4">
      <c r="B109" s="33" t="s">
        <v>684</v>
      </c>
      <c r="C109" s="33" t="s">
        <v>542</v>
      </c>
      <c r="D109" s="33" t="s">
        <v>192</v>
      </c>
    </row>
    <row r="110" spans="2:4" ht="44.1" customHeight="1">
      <c r="B110" s="31" t="s">
        <v>685</v>
      </c>
      <c r="C110" s="34">
        <v>2.2000000000000002</v>
      </c>
      <c r="D110" s="36" t="s">
        <v>686</v>
      </c>
    </row>
    <row r="111" spans="2:4" ht="44.1" customHeight="1">
      <c r="B111" s="31" t="s">
        <v>687</v>
      </c>
      <c r="C111" s="34">
        <v>16</v>
      </c>
      <c r="D111" s="36" t="s">
        <v>596</v>
      </c>
    </row>
    <row r="112" spans="2:4" ht="44.1" customHeight="1">
      <c r="B112" s="31" t="s">
        <v>688</v>
      </c>
      <c r="C112" s="34">
        <v>220</v>
      </c>
      <c r="D112" s="36" t="s">
        <v>689</v>
      </c>
    </row>
    <row r="113" spans="2:4" ht="44.1" customHeight="1">
      <c r="B113" s="31" t="s">
        <v>690</v>
      </c>
      <c r="C113" s="46">
        <v>0.1</v>
      </c>
      <c r="D113" s="36" t="s">
        <v>691</v>
      </c>
    </row>
    <row r="114" spans="2:4" ht="44.1" customHeight="1">
      <c r="B114" s="31" t="s">
        <v>692</v>
      </c>
      <c r="C114" s="34">
        <v>30</v>
      </c>
      <c r="D114" s="36" t="s">
        <v>693</v>
      </c>
    </row>
    <row r="115" spans="2:4" ht="44.1" customHeight="1">
      <c r="B115" s="31" t="s">
        <v>694</v>
      </c>
      <c r="C115" s="34">
        <v>520</v>
      </c>
      <c r="D115" s="36" t="s">
        <v>695</v>
      </c>
    </row>
    <row r="116" spans="2:4" ht="44.1" customHeight="1">
      <c r="B116" s="31" t="s">
        <v>696</v>
      </c>
      <c r="C116" s="34">
        <v>3.2</v>
      </c>
      <c r="D116" s="36" t="s">
        <v>697</v>
      </c>
    </row>
    <row r="117" spans="2:4" ht="44.1" customHeight="1">
      <c r="B117" s="31" t="s">
        <v>698</v>
      </c>
      <c r="C117" s="34">
        <v>1.05</v>
      </c>
      <c r="D117" s="36" t="s">
        <v>699</v>
      </c>
    </row>
    <row r="118" spans="2:4" ht="44.1" customHeight="1">
      <c r="B118" s="31" t="s">
        <v>700</v>
      </c>
      <c r="C118" s="46">
        <v>0.12</v>
      </c>
      <c r="D118" s="36" t="s">
        <v>701</v>
      </c>
    </row>
    <row r="119">
      <c r="B119" t="inlineStr">
        <is>
          <t>hwy2_length</t>
        </is>
      </c>
      <c r="C119">
        <v>2340</v>
      </c>
      <c r="D119" t="inlineStr">
        <is>
          <t>2챕터 전용 · 요청/검증 조정 값</t>
        </is>
      </c>
    </row>
    <row r="120">
      <c r="B120" t="inlineStr">
        <is>
          <t>hwy2_runSpeed</t>
        </is>
      </c>
      <c r="C120">
        <v>7.8</v>
      </c>
      <c r="D120" t="inlineStr">
        <is>
          <t>2챕터 전용 · 요청/검증 조정 값</t>
        </is>
      </c>
    </row>
    <row r="121">
      <c r="B121" t="inlineStr">
        <is>
          <t>hwy2_laneWidth</t>
        </is>
      </c>
      <c r="C121">
        <v>4.4</v>
      </c>
      <c r="D121" t="inlineStr">
        <is>
          <t>2챕터 전용 · 요청/검증 조정 값</t>
        </is>
      </c>
    </row>
    <row r="122">
      <c r="B122" t="inlineStr">
        <is>
          <t>hwy2_sharkScale</t>
        </is>
      </c>
      <c r="C122">
        <v>0.8</v>
      </c>
      <c r="D122" t="inlineStr">
        <is>
          <t>2챕터 전용 · 요청/검증 조정 값</t>
        </is>
      </c>
    </row>
    <row r="123">
      <c r="B123" t="inlineStr">
        <is>
          <t>hwy2_cameraScale</t>
        </is>
      </c>
      <c r="C123">
        <v>1.15</v>
      </c>
      <c r="D123" t="inlineStr">
        <is>
          <t>2챕터 전용 · 요청/검증 조정 값</t>
        </is>
      </c>
    </row>
    <row r="124">
      <c r="B124" t="inlineStr">
        <is>
          <t>hwy2_medianWidth</t>
        </is>
      </c>
      <c r="C124">
        <v>0.84</v>
      </c>
      <c r="D124" t="inlineStr">
        <is>
          <t>2챕터 전용 · 요청/검증 조정 값</t>
        </is>
      </c>
    </row>
    <row r="125">
      <c r="B125" t="inlineStr">
        <is>
          <t>hwy2_medianHeight</t>
        </is>
      </c>
      <c r="C125">
        <v>1</v>
      </c>
      <c r="D125" t="inlineStr">
        <is>
          <t>2챕터 전용 · 요청/검증 조정 값</t>
        </is>
      </c>
    </row>
    <row r="126">
      <c r="B126" t="inlineStr">
        <is>
          <t>hwy2_medianShoulder</t>
        </is>
      </c>
      <c r="C126">
        <v>0.6</v>
      </c>
      <c r="D126" t="inlineStr">
        <is>
          <t>2챕터 전용 · 요청/검증 조정 값</t>
        </is>
      </c>
    </row>
    <row r="127">
      <c r="B127" t="inlineStr">
        <is>
          <t>hwy2_outerShoulder</t>
        </is>
      </c>
      <c r="C127">
        <v>2</v>
      </c>
      <c r="D127" t="inlineStr">
        <is>
          <t>2챕터 전용 · 요청/검증 조정 값</t>
        </is>
      </c>
    </row>
    <row r="128">
      <c r="B128" t="inlineStr">
        <is>
          <t>hwy2_dashPaint</t>
        </is>
      </c>
      <c r="C128">
        <v>8</v>
      </c>
      <c r="D128" t="inlineStr">
        <is>
          <t>2챕터 전용 · 요청/검증 조정 값</t>
        </is>
      </c>
    </row>
    <row r="129">
      <c r="B129" t="inlineStr">
        <is>
          <t>hwy2_dashGap</t>
        </is>
      </c>
      <c r="C129">
        <v>12</v>
      </c>
      <c r="D129" t="inlineStr">
        <is>
          <t>2챕터 전용 · 요청/검증 조정 값</t>
        </is>
      </c>
    </row>
    <row r="130">
      <c r="B130" t="inlineStr">
        <is>
          <t>hwy2_paintWidth</t>
        </is>
      </c>
      <c r="C130">
        <v>0.15</v>
      </c>
      <c r="D130" t="inlineStr">
        <is>
          <t>2챕터 전용 · 요청/검증 조정 값</t>
        </is>
      </c>
    </row>
    <row r="131">
      <c r="B131" t="inlineStr">
        <is>
          <t>hwy2_meshStep</t>
        </is>
      </c>
      <c r="C131">
        <v>2</v>
      </c>
      <c r="D131" t="inlineStr">
        <is>
          <t>2챕터 전용 · 요청/검증 조정 값</t>
        </is>
      </c>
    </row>
    <row r="132">
      <c r="B132" t="inlineStr">
        <is>
          <t>hwy2_meshSegment</t>
        </is>
      </c>
      <c r="C132">
        <v>40</v>
      </c>
      <c r="D132" t="inlineStr">
        <is>
          <t>2챕터 전용 · 요청/검증 조정 값</t>
        </is>
      </c>
    </row>
    <row r="133">
      <c r="B133" t="inlineStr">
        <is>
          <t>hwy2_forkAt</t>
        </is>
      </c>
      <c r="C133">
        <v>468</v>
      </c>
      <c r="D133" t="inlineStr">
        <is>
          <t>2챕터 전용 · 요청/검증 조정 값</t>
        </is>
      </c>
    </row>
    <row r="134">
      <c r="B134" t="inlineStr">
        <is>
          <t>hwy2_mergeAt</t>
        </is>
      </c>
      <c r="C134">
        <v>1170</v>
      </c>
      <c r="D134" t="inlineStr">
        <is>
          <t>2챕터 전용 · 요청/검증 조정 값</t>
        </is>
      </c>
    </row>
    <row r="135">
      <c r="B135" t="inlineStr">
        <is>
          <t>hwy2_branchOffset</t>
        </is>
      </c>
      <c r="C135">
        <v>36</v>
      </c>
      <c r="D135" t="inlineStr">
        <is>
          <t>2챕터 전용 · 요청/검증 조정 값</t>
        </is>
      </c>
    </row>
    <row r="136">
      <c r="B136" t="inlineStr">
        <is>
          <t>hwy2_tollAt</t>
        </is>
      </c>
      <c r="C136">
        <v>1950</v>
      </c>
      <c r="D136" t="inlineStr">
        <is>
          <t>2챕터 전용 · 요청/검증 조정 값</t>
        </is>
      </c>
    </row>
    <row r="137">
      <c r="B137" t="inlineStr">
        <is>
          <t>hwy2_tollMerge</t>
        </is>
      </c>
      <c r="C137">
        <v>2320</v>
      </c>
      <c r="D137" t="inlineStr">
        <is>
          <t>2챕터 전용 · 요청/검증 조정 값</t>
        </is>
      </c>
    </row>
    <row r="138">
      <c r="B138" t="inlineStr">
        <is>
          <t>hwy2_tollBranchOffset</t>
        </is>
      </c>
      <c r="C138">
        <v>18</v>
      </c>
      <c r="D138" t="inlineStr">
        <is>
          <t>2챕터 전용 · 요청/검증 조정 값</t>
        </is>
      </c>
    </row>
    <row r="139">
      <c r="B139" t="inlineStr">
        <is>
          <t>hwy2_popupAhead</t>
        </is>
      </c>
      <c r="C139">
        <v>60</v>
      </c>
      <c r="D139" t="inlineStr">
        <is>
          <t>2챕터 전용 · 요청/검증 조정 값</t>
        </is>
      </c>
    </row>
    <row r="140">
      <c r="B140" t="inlineStr">
        <is>
          <t>hwy2_popupSeconds</t>
        </is>
      </c>
      <c r="C140">
        <v>5</v>
      </c>
      <c r="D140" t="inlineStr">
        <is>
          <t>2챕터 전용 · 요청/검증 조정 값</t>
        </is>
      </c>
    </row>
    <row r="141">
      <c r="B141" t="inlineStr">
        <is>
          <t>hwy2_popupSlow</t>
        </is>
      </c>
      <c r="C141">
        <v>0.2</v>
      </c>
      <c r="D141" t="inlineStr">
        <is>
          <t>2챕터 전용 · 요청/검증 조정 값</t>
        </is>
      </c>
    </row>
    <row r="142">
      <c r="B142" t="inlineStr">
        <is>
          <t>hwy2_popupQuiet</t>
        </is>
      </c>
      <c r="C142">
        <v>40</v>
      </c>
      <c r="D142" t="inlineStr">
        <is>
          <t>2챕터 전용 · 요청/검증 조정 값</t>
        </is>
      </c>
    </row>
    <row r="143">
      <c r="B143" t="inlineStr">
        <is>
          <t>hwy2_separation</t>
        </is>
      </c>
      <c r="C143">
        <v>23</v>
      </c>
      <c r="D143" t="inlineStr">
        <is>
          <t>2챕터 전용 · 요청/검증 조정 값</t>
        </is>
      </c>
    </row>
    <row r="144">
      <c r="B144" t="inlineStr">
        <is>
          <t>hwy2_accidentQuietSeconds</t>
        </is>
      </c>
      <c r="C144">
        <v>8</v>
      </c>
      <c r="D144" t="inlineStr">
        <is>
          <t>2챕터 전용 · 요청/검증 조정 값</t>
        </is>
      </c>
    </row>
    <row r="145">
      <c r="B145" t="inlineStr">
        <is>
          <t>hwy2_hpSedan</t>
        </is>
      </c>
      <c r="C145">
        <v>1</v>
      </c>
      <c r="D145" t="inlineStr">
        <is>
          <t>2챕터 전용 · 요청/검증 조정 값</t>
        </is>
      </c>
    </row>
    <row r="146">
      <c r="B146" t="inlineStr">
        <is>
          <t>hwy2_hpTaxi</t>
        </is>
      </c>
      <c r="C146">
        <v>1</v>
      </c>
      <c r="D146" t="inlineStr">
        <is>
          <t>2챕터 전용 · 요청/검증 조정 값</t>
        </is>
      </c>
    </row>
    <row r="147">
      <c r="B147" t="inlineStr">
        <is>
          <t>hwy2_hpOneTon</t>
        </is>
      </c>
      <c r="C147">
        <v>1.3</v>
      </c>
      <c r="D147" t="inlineStr">
        <is>
          <t>2챕터 전용 · 요청/검증 조정 값</t>
        </is>
      </c>
    </row>
    <row r="148">
      <c r="B148" t="inlineStr">
        <is>
          <t>hwy2_hpBox</t>
        </is>
      </c>
      <c r="C148">
        <v>1.6</v>
      </c>
      <c r="D148" t="inlineStr">
        <is>
          <t>2챕터 전용 · 요청/검증 조정 값</t>
        </is>
      </c>
    </row>
    <row r="149">
      <c r="B149" t="inlineStr">
        <is>
          <t>hwy2_hpTanker</t>
        </is>
      </c>
      <c r="C149">
        <v>2</v>
      </c>
      <c r="D149" t="inlineStr">
        <is>
          <t>2챕터 전용 · 요청/검증 조정 값</t>
        </is>
      </c>
    </row>
    <row r="150">
      <c r="B150" t="inlineStr">
        <is>
          <t>hwy2_hpBus</t>
        </is>
      </c>
      <c r="C150">
        <v>3</v>
      </c>
      <c r="D150" t="inlineStr">
        <is>
          <t>2챕터 전용 · 요청/검증 조정 값</t>
        </is>
      </c>
    </row>
    <row r="151">
      <c r="B151" t="inlineStr">
        <is>
          <t>hwy2_hpPolice</t>
        </is>
      </c>
      <c r="C151">
        <v>1.2</v>
      </c>
      <c r="D151" t="inlineStr">
        <is>
          <t>2챕터 전용 · 요청/검증 조정 값</t>
        </is>
      </c>
    </row>
    <row r="152">
      <c r="B152" t="inlineStr">
        <is>
          <t>hwy2_hpTow</t>
        </is>
      </c>
      <c r="C152">
        <v>1.2</v>
      </c>
      <c r="D152" t="inlineStr">
        <is>
          <t>2챕터 전용 · 요청/검증 조정 값</t>
        </is>
      </c>
    </row>
    <row r="153">
      <c r="B153" t="inlineStr">
        <is>
          <t>hwy2_hpAccident</t>
        </is>
      </c>
      <c r="C153">
        <v>2.5</v>
      </c>
      <c r="D153" t="inlineStr">
        <is>
          <t>2챕터 전용 · 요청/검증 조정 값</t>
        </is>
      </c>
    </row>
    <row r="154">
      <c r="B154" t="inlineStr">
        <is>
          <t>hwy2_targetDps</t>
        </is>
      </c>
      <c r="C154">
        <v>64</v>
      </c>
      <c r="D154" t="inlineStr">
        <is>
          <t>2챕터 전용 · 요청/검증 조정 값</t>
        </is>
      </c>
    </row>
    <row r="155">
      <c r="B155" t="inlineStr">
        <is>
          <t>hwy2_healthSeconds</t>
        </is>
      </c>
      <c r="C155">
        <v>3.8</v>
      </c>
      <c r="D155" t="inlineStr">
        <is>
          <t>2챕터 전용 · 요청/검증 조정 값</t>
        </is>
      </c>
    </row>
    <row r="156">
      <c r="B156" t="inlineStr">
        <is>
          <t>hwy2_coinBase</t>
        </is>
      </c>
      <c r="C156">
        <v>62</v>
      </c>
      <c r="D156" t="inlineStr">
        <is>
          <t>2챕터 전용 · 요청/검증 조정 값</t>
        </is>
      </c>
    </row>
    <row r="157">
      <c r="B157" t="inlineStr">
        <is>
          <t>hwy2_jamCoin</t>
        </is>
      </c>
      <c r="C157">
        <v>1.5</v>
      </c>
      <c r="D157" t="inlineStr">
        <is>
          <t>2챕터 전용 · 요청/검증 조정 값</t>
        </is>
      </c>
    </row>
    <row r="158">
      <c r="B158" t="inlineStr">
        <is>
          <t>hwy2_openCoin</t>
        </is>
      </c>
      <c r="C158">
        <v>0.8</v>
      </c>
      <c r="D158" t="inlineStr">
        <is>
          <t>2챕터 전용 · 요청/검증 조정 값</t>
        </is>
      </c>
    </row>
    <row r="159">
      <c r="B159" t="inlineStr">
        <is>
          <t>hwy2_jamMinSpeed</t>
        </is>
      </c>
      <c r="C159">
        <v>3</v>
      </c>
      <c r="D159" t="inlineStr">
        <is>
          <t>2챕터 전용 · 요청/검증 조정 값</t>
        </is>
      </c>
    </row>
    <row r="160">
      <c r="B160" t="inlineStr">
        <is>
          <t>hwy2_jamMaxSpeed</t>
        </is>
      </c>
      <c r="C160">
        <v>5</v>
      </c>
      <c r="D160" t="inlineStr">
        <is>
          <t>2챕터 전용 · 요청/검증 조정 값</t>
        </is>
      </c>
    </row>
    <row r="161">
      <c r="B161" t="inlineStr">
        <is>
          <t>hwy2_jamGapMin</t>
        </is>
      </c>
      <c r="C161">
        <v>20</v>
      </c>
      <c r="D161" t="inlineStr">
        <is>
          <t>2챕터 전용 · 요청/검증 조정 값</t>
        </is>
      </c>
    </row>
    <row r="162">
      <c r="B162" t="inlineStr">
        <is>
          <t>hwy2_jamGapMax</t>
        </is>
      </c>
      <c r="C162">
        <v>25</v>
      </c>
      <c r="D162" t="inlineStr">
        <is>
          <t>2챕터 전용 · 요청/검증 조정 값</t>
        </is>
      </c>
    </row>
    <row r="163">
      <c r="B163" t="inlineStr">
        <is>
          <t>hwy2_openMinSpeed</t>
        </is>
      </c>
      <c r="C163">
        <v>22</v>
      </c>
      <c r="D163" t="inlineStr">
        <is>
          <t>2챕터 전용 · 요청/검증 조정 값</t>
        </is>
      </c>
    </row>
    <row r="164">
      <c r="B164" t="inlineStr">
        <is>
          <t>hwy2_openMaxSpeed</t>
        </is>
      </c>
      <c r="C164">
        <v>26</v>
      </c>
      <c r="D164" t="inlineStr">
        <is>
          <t>2챕터 전용 · 요청/검증 조정 값</t>
        </is>
      </c>
    </row>
    <row r="165">
      <c r="B165" t="inlineStr">
        <is>
          <t>hwy2_openMinSeconds</t>
        </is>
      </c>
      <c r="C165">
        <v>3</v>
      </c>
      <c r="D165" t="inlineStr">
        <is>
          <t>2챕터 전용 · 요청/검증 조정 값</t>
        </is>
      </c>
    </row>
    <row r="166">
      <c r="B166" t="inlineStr">
        <is>
          <t>hwy2_openMaxSeconds</t>
        </is>
      </c>
      <c r="C166">
        <v>5</v>
      </c>
      <c r="D166" t="inlineStr">
        <is>
          <t>2챕터 전용 · 요청/검증 조정 값</t>
        </is>
      </c>
    </row>
    <row r="167">
      <c r="B167" t="inlineStr">
        <is>
          <t>hwy2_normalSpeed</t>
        </is>
      </c>
      <c r="C167">
        <v>12</v>
      </c>
      <c r="D167" t="inlineStr">
        <is>
          <t>2챕터 전용 · 요청/검증 조정 값</t>
        </is>
      </c>
    </row>
    <row r="168">
      <c r="B168" t="inlineStr">
        <is>
          <t>hwy2_swarmSpeed</t>
        </is>
      </c>
      <c r="C168">
        <v>18</v>
      </c>
      <c r="D168" t="inlineStr">
        <is>
          <t>2챕터 전용 · 요청/검증 조정 값</t>
        </is>
      </c>
    </row>
    <row r="169">
      <c r="B169" t="inlineStr">
        <is>
          <t>hwy2_swarmCount</t>
        </is>
      </c>
      <c r="C169">
        <v>12</v>
      </c>
      <c r="D169" t="inlineStr">
        <is>
          <t>2챕터 전용 · 요청/검증 조정 값</t>
        </is>
      </c>
    </row>
    <row r="170">
      <c r="B170" t="inlineStr">
        <is>
          <t>hwy2_swarmSpacing</t>
        </is>
      </c>
      <c r="C170">
        <v>24</v>
      </c>
      <c r="D170" t="inlineStr">
        <is>
          <t>2챕터 전용 · 요청/검증 조정 값</t>
        </is>
      </c>
    </row>
    <row r="171">
      <c r="B171" t="inlineStr">
        <is>
          <t>hwy2_vehicleWidth</t>
        </is>
      </c>
      <c r="C171">
        <v>3.4</v>
      </c>
      <c r="D171" t="inlineStr">
        <is>
          <t>2챕터 전용 · 요청/검증 조정 값</t>
        </is>
      </c>
    </row>
    <row r="172">
      <c r="B172" t="inlineStr">
        <is>
          <t>hwy2_truckWidth</t>
        </is>
      </c>
      <c r="C172">
        <v>3.7</v>
      </c>
      <c r="D172" t="inlineStr">
        <is>
          <t>2챕터 전용 · 요청/검증 조정 값</t>
        </is>
      </c>
    </row>
    <row r="173">
      <c r="B173" t="inlineStr">
        <is>
          <t>hwy2_busWidth</t>
        </is>
      </c>
      <c r="C173">
        <v>7.6</v>
      </c>
      <c r="D173" t="inlineStr">
        <is>
          <t>2챕터 전용 · 요청/검증 조정 값</t>
        </is>
      </c>
    </row>
    <row r="174">
      <c r="B174" t="inlineStr">
        <is>
          <t>hwy2_followGap</t>
        </is>
      </c>
      <c r="C174">
        <v>3</v>
      </c>
      <c r="D174" t="inlineStr">
        <is>
          <t>2챕터 전용 · 요청/검증 조정 값</t>
        </is>
      </c>
    </row>
    <row r="175">
      <c r="B175" t="inlineStr">
        <is>
          <t>hwy2_spawnAhead</t>
        </is>
      </c>
      <c r="C175">
        <v>82</v>
      </c>
      <c r="D175" t="inlineStr">
        <is>
          <t>2챕터 전용 · 요청/검증 조정 값</t>
        </is>
      </c>
    </row>
    <row r="176">
      <c r="B176" t="inlineStr">
        <is>
          <t>hwy2_arrivalWindow</t>
        </is>
      </c>
      <c r="C176">
        <v>1.5</v>
      </c>
      <c r="D176" t="inlineStr">
        <is>
          <t>2챕터 전용 · 요청/검증 조정 값</t>
        </is>
      </c>
    </row>
    <row r="177">
      <c r="B177" t="inlineStr">
        <is>
          <t>hwy2_playerRadius</t>
        </is>
      </c>
      <c r="C177">
        <v>0.7</v>
      </c>
      <c r="D177" t="inlineStr">
        <is>
          <t>2챕터 전용 · 요청/검증 조정 값</t>
        </is>
      </c>
    </row>
    <row r="178">
      <c r="B178" t="inlineStr">
        <is>
          <t>hwy2_fastDamage</t>
        </is>
      </c>
      <c r="C178">
        <v>0.25</v>
      </c>
      <c r="D178" t="inlineStr">
        <is>
          <t>2챕터 전용 · 요청/검증 조정 값</t>
        </is>
      </c>
    </row>
    <row r="179">
      <c r="B179" t="inlineStr">
        <is>
          <t>hwy2_trafficVisibleAhead</t>
        </is>
      </c>
      <c r="C179">
        <v>150</v>
      </c>
      <c r="D179" t="inlineStr">
        <is>
          <t>2챕터 전용 · 요청/검증 조정 값</t>
        </is>
      </c>
    </row>
    <row r="180">
      <c r="B180" t="inlineStr">
        <is>
          <t>hwy2_trafficRecycleBehind</t>
        </is>
      </c>
      <c r="C180">
        <v>24</v>
      </c>
      <c r="D180" t="inlineStr">
        <is>
          <t>2챕터 전용 · 요청/검증 조정 값</t>
        </is>
      </c>
    </row>
    <row r="181">
      <c r="B181" t="inlineStr">
        <is>
          <t>hwy2_oppositeSpeed</t>
        </is>
      </c>
      <c r="C181">
        <v>19</v>
      </c>
      <c r="D181" t="inlineStr">
        <is>
          <t>2챕터 전용 · 요청/검증 조정 값</t>
        </is>
      </c>
    </row>
    <row r="182">
      <c r="B182" t="inlineStr">
        <is>
          <t>hwy2_oppositeGap</t>
        </is>
      </c>
      <c r="C182">
        <v>28</v>
      </c>
      <c r="D182" t="inlineStr">
        <is>
          <t>2챕터 전용 · 요청/검증 조정 값</t>
        </is>
      </c>
    </row>
    <row r="183">
      <c r="B183" t="inlineStr">
        <is>
          <t>hwy2_oppositeCount</t>
        </is>
      </c>
      <c r="C183">
        <v>18</v>
      </c>
      <c r="D183" t="inlineStr">
        <is>
          <t>2챕터 전용 · 요청/검증 조정 값</t>
        </is>
      </c>
    </row>
    <row r="184">
      <c r="B184" t="inlineStr">
        <is>
          <t>hwy2_crash1</t>
        </is>
      </c>
      <c r="C184">
        <v>234</v>
      </c>
      <c r="D184" t="inlineStr">
        <is>
          <t>2챕터 전용 · 요청/검증 조정 값</t>
        </is>
      </c>
    </row>
    <row r="185">
      <c r="B185" t="inlineStr">
        <is>
          <t>hwy2_crash2</t>
        </is>
      </c>
      <c r="C185">
        <v>610</v>
      </c>
      <c r="D185" t="inlineStr">
        <is>
          <t>2챕터 전용 · 요청/검증 조정 값</t>
        </is>
      </c>
    </row>
    <row r="186">
      <c r="B186" t="inlineStr">
        <is>
          <t>hwy2_crash3</t>
        </is>
      </c>
      <c r="C186">
        <v>945</v>
      </c>
      <c r="D186" t="inlineStr">
        <is>
          <t>2챕터 전용 · 요청/검증 조정 값</t>
        </is>
      </c>
    </row>
    <row r="187">
      <c r="B187" t="inlineStr">
        <is>
          <t>hwy2_crash4</t>
        </is>
      </c>
      <c r="C187">
        <v>1248</v>
      </c>
      <c r="D187" t="inlineStr">
        <is>
          <t>2챕터 전용 · 요청/검증 조정 값</t>
        </is>
      </c>
    </row>
    <row r="188">
      <c r="B188" t="inlineStr">
        <is>
          <t>hwy2_crashLead</t>
        </is>
      </c>
      <c r="C188">
        <v>40</v>
      </c>
      <c r="D188" t="inlineStr">
        <is>
          <t>2챕터 전용 · 요청/검증 조정 값</t>
        </is>
      </c>
    </row>
    <row r="189">
      <c r="B189" t="inlineStr">
        <is>
          <t>hwy2_crashTail</t>
        </is>
      </c>
      <c r="C189">
        <v>60</v>
      </c>
      <c r="D189" t="inlineStr">
        <is>
          <t>2챕터 전용 · 요청/검증 조정 값</t>
        </is>
      </c>
    </row>
    <row r="190">
      <c r="B190" t="inlineStr">
        <is>
          <t>hwy2_crashQueueGap</t>
        </is>
      </c>
      <c r="C190">
        <v>18</v>
      </c>
      <c r="D190" t="inlineStr">
        <is>
          <t>2챕터 전용 · 요청/검증 조정 값</t>
        </is>
      </c>
    </row>
    <row r="191">
      <c r="B191" t="inlineStr">
        <is>
          <t>hwy2_swarmStart</t>
        </is>
      </c>
      <c r="C191">
        <v>1345</v>
      </c>
      <c r="D191" t="inlineStr">
        <is>
          <t>2챕터 전용 · 요청/검증 조정 값</t>
        </is>
      </c>
    </row>
    <row r="192">
      <c r="B192" t="inlineStr">
        <is>
          <t>hwy2_swarmEnd</t>
        </is>
      </c>
      <c r="C192">
        <v>1410</v>
      </c>
      <c r="D192" t="inlineStr">
        <is>
          <t>2챕터 전용 · 요청/검증 조정 값</t>
        </is>
      </c>
    </row>
    <row r="193">
      <c r="B193" t="inlineStr">
        <is>
          <t>hwy2_logStart</t>
        </is>
      </c>
      <c r="C193">
        <v>1470</v>
      </c>
      <c r="D193" t="inlineStr">
        <is>
          <t>2챕터 전용 · 요청/검증 조정 값</t>
        </is>
      </c>
    </row>
    <row r="194">
      <c r="B194" t="inlineStr">
        <is>
          <t>hwy2_logEnd</t>
        </is>
      </c>
      <c r="C194">
        <v>1545</v>
      </c>
      <c r="D194" t="inlineStr">
        <is>
          <t>2챕터 전용 · 요청/검증 조정 값</t>
        </is>
      </c>
    </row>
    <row r="195">
      <c r="B195" t="inlineStr">
        <is>
          <t>hwy2_logTruckSpeed</t>
        </is>
      </c>
      <c r="C195">
        <v>21</v>
      </c>
      <c r="D195" t="inlineStr">
        <is>
          <t>2챕터 전용 · 요청/검증 조정 값</t>
        </is>
      </c>
    </row>
    <row r="196">
      <c r="B196" t="inlineStr">
        <is>
          <t>hwy2_logReleaseSeconds</t>
        </is>
      </c>
      <c r="C196">
        <v>2</v>
      </c>
      <c r="D196" t="inlineStr">
        <is>
          <t>2챕터 전용 · 요청/검증 조정 값</t>
        </is>
      </c>
    </row>
    <row r="197">
      <c r="B197" t="inlineStr">
        <is>
          <t>hwy2_logSeconds</t>
        </is>
      </c>
      <c r="C197">
        <v>6</v>
      </c>
      <c r="D197" t="inlineStr">
        <is>
          <t>2챕터 전용 · 요청/검증 조정 값</t>
        </is>
      </c>
    </row>
    <row r="198">
      <c r="B198" t="inlineStr">
        <is>
          <t>hwy2_logSpeed</t>
        </is>
      </c>
      <c r="C198">
        <v>12</v>
      </c>
      <c r="D198" t="inlineStr">
        <is>
          <t>2챕터 전용 · 요청/검증 조정 값</t>
        </is>
      </c>
    </row>
    <row r="199">
      <c r="B199" t="inlineStr">
        <is>
          <t>hwy2_logBounceHeight</t>
        </is>
      </c>
      <c r="C199">
        <v>3.8</v>
      </c>
      <c r="D199" t="inlineStr">
        <is>
          <t>2챕터 전용 · 요청/검증 조정 값</t>
        </is>
      </c>
    </row>
    <row r="200">
      <c r="B200" t="inlineStr">
        <is>
          <t>hwy2_logRadius</t>
        </is>
      </c>
      <c r="C200">
        <v>2.4</v>
      </c>
      <c r="D200" t="inlineStr">
        <is>
          <t>2챕터 전용 · 요청/검증 조정 값</t>
        </is>
      </c>
    </row>
    <row r="201">
      <c r="B201" t="inlineStr">
        <is>
          <t>hwy2_logDamage</t>
        </is>
      </c>
      <c r="C201">
        <v>0.25</v>
      </c>
      <c r="D201" t="inlineStr">
        <is>
          <t>2챕터 전용 · 요청/검증 조정 값</t>
        </is>
      </c>
    </row>
    <row r="202">
      <c r="B202" t="inlineStr">
        <is>
          <t>hwy2_deerAt</t>
        </is>
      </c>
      <c r="C202">
        <v>1610</v>
      </c>
      <c r="D202" t="inlineStr">
        <is>
          <t>2챕터 전용 · 요청/검증 조정 값</t>
        </is>
      </c>
    </row>
    <row r="203">
      <c r="B203" t="inlineStr">
        <is>
          <t>hwy2_deerLead</t>
        </is>
      </c>
      <c r="C203">
        <v>30</v>
      </c>
      <c r="D203" t="inlineStr">
        <is>
          <t>2챕터 전용 · 요청/검증 조정 값</t>
        </is>
      </c>
    </row>
    <row r="204">
      <c r="B204" t="inlineStr">
        <is>
          <t>hwy2_deerTail</t>
        </is>
      </c>
      <c r="C204">
        <v>20</v>
      </c>
      <c r="D204" t="inlineStr">
        <is>
          <t>2챕터 전용 · 요청/검증 조정 값</t>
        </is>
      </c>
    </row>
    <row r="205">
      <c r="B205" t="inlineStr">
        <is>
          <t>hwy2_deerDamage</t>
        </is>
      </c>
      <c r="C205">
        <v>0.2</v>
      </c>
      <c r="D205" t="inlineStr">
        <is>
          <t>2챕터 전용 · 요청/검증 조정 값</t>
        </is>
      </c>
    </row>
    <row r="206">
      <c r="B206" t="inlineStr">
        <is>
          <t>hwy2_deerMinSpeed</t>
        </is>
      </c>
      <c r="C206">
        <v>3.2</v>
      </c>
      <c r="D206" t="inlineStr">
        <is>
          <t>2챕터 전용 · 요청/검증 조정 값</t>
        </is>
      </c>
    </row>
    <row r="207">
      <c r="B207" t="inlineStr">
        <is>
          <t>hwy2_deerMaxSpeed</t>
        </is>
      </c>
      <c r="C207">
        <v>5.5</v>
      </c>
      <c r="D207" t="inlineStr">
        <is>
          <t>2챕터 전용 · 요청/검증 조정 값</t>
        </is>
      </c>
    </row>
    <row r="208">
      <c r="B208" t="inlineStr">
        <is>
          <t>hwy2_deerRadius</t>
        </is>
      </c>
      <c r="C208">
        <v>1.5</v>
      </c>
      <c r="D208" t="inlineStr">
        <is>
          <t>2챕터 전용 · 요청/검증 조정 값</t>
        </is>
      </c>
    </row>
    <row r="209">
      <c r="B209" t="inlineStr">
        <is>
          <t>hwy2_deerSpin</t>
        </is>
      </c>
      <c r="C209">
        <v>0.8</v>
      </c>
      <c r="D209" t="inlineStr">
        <is>
          <t>2챕터 전용 · 요청/검증 조정 값</t>
        </is>
      </c>
    </row>
    <row r="210">
      <c r="B210" t="inlineStr">
        <is>
          <t>hwy2_holeAt</t>
        </is>
      </c>
      <c r="C210">
        <v>1690</v>
      </c>
      <c r="D210" t="inlineStr">
        <is>
          <t>2챕터 전용 · 요청/검증 조정 값</t>
        </is>
      </c>
    </row>
    <row r="211">
      <c r="B211" t="inlineStr">
        <is>
          <t>hwy2_holeLead</t>
        </is>
      </c>
      <c r="C211">
        <v>20</v>
      </c>
      <c r="D211" t="inlineStr">
        <is>
          <t>2챕터 전용 · 요청/검증 조정 값</t>
        </is>
      </c>
    </row>
    <row r="212">
      <c r="B212" t="inlineStr">
        <is>
          <t>hwy2_holeTail</t>
        </is>
      </c>
      <c r="C212">
        <v>20</v>
      </c>
      <c r="D212" t="inlineStr">
        <is>
          <t>2챕터 전용 · 요청/검증 조정 값</t>
        </is>
      </c>
    </row>
    <row r="213">
      <c r="B213" t="inlineStr">
        <is>
          <t>hwy2_holeLane</t>
        </is>
      </c>
      <c r="C213">
        <v>2</v>
      </c>
      <c r="D213" t="inlineStr">
        <is>
          <t>2챕터 전용 · 요청/검증 조정 값</t>
        </is>
      </c>
    </row>
    <row r="214">
      <c r="B214" t="inlineStr">
        <is>
          <t>hwy2_workAt</t>
        </is>
      </c>
      <c r="C214">
        <v>1790</v>
      </c>
      <c r="D214" t="inlineStr">
        <is>
          <t>2챕터 전용 · 요청/검증 조정 값</t>
        </is>
      </c>
    </row>
    <row r="215">
      <c r="B215" t="inlineStr">
        <is>
          <t>hwy2_workLead</t>
        </is>
      </c>
      <c r="C215">
        <v>30</v>
      </c>
      <c r="D215" t="inlineStr">
        <is>
          <t>2챕터 전용 · 요청/검증 조정 값</t>
        </is>
      </c>
    </row>
    <row r="216">
      <c r="B216" t="inlineStr">
        <is>
          <t>hwy2_workTail</t>
        </is>
      </c>
      <c r="C216">
        <v>50</v>
      </c>
      <c r="D216" t="inlineStr">
        <is>
          <t>2챕터 전용 · 요청/검증 조정 값</t>
        </is>
      </c>
    </row>
    <row r="217">
      <c r="B217" t="inlineStr">
        <is>
          <t>hwy2_workLane</t>
        </is>
      </c>
      <c r="C217">
        <v>2</v>
      </c>
      <c r="D217" t="inlineStr">
        <is>
          <t>2챕터 전용 · 요청/검증 조정 값</t>
        </is>
      </c>
    </row>
    <row r="218">
      <c r="B218" t="inlineStr">
        <is>
          <t>hwy2_coneInterval</t>
        </is>
      </c>
      <c r="C218">
        <v>2.4</v>
      </c>
      <c r="D218" t="inlineStr">
        <is>
          <t>2챕터 전용 · 요청/검증 조정 값</t>
        </is>
      </c>
    </row>
    <row r="219">
      <c r="B219" t="inlineStr">
        <is>
          <t>hwy2_coneDamage</t>
        </is>
      </c>
      <c r="C219">
        <v>0.08</v>
      </c>
      <c r="D219" t="inlineStr">
        <is>
          <t>2챕터 전용 · 요청/검증 조정 값</t>
        </is>
      </c>
    </row>
    <row r="220">
      <c r="B220" t="inlineStr">
        <is>
          <t>hwy2_coneFlight</t>
        </is>
      </c>
      <c r="C220">
        <v>1.1</v>
      </c>
      <c r="D220" t="inlineStr">
        <is>
          <t>2챕터 전용 · 요청/검증 조정 값</t>
        </is>
      </c>
    </row>
    <row r="221">
      <c r="B221" t="inlineStr">
        <is>
          <t>hwy2_mystery1</t>
        </is>
      </c>
      <c r="C221">
        <v>1440</v>
      </c>
      <c r="D221" t="inlineStr">
        <is>
          <t>2챕터 전용 · 요청/검증 조정 값</t>
        </is>
      </c>
    </row>
    <row r="222">
      <c r="B222" t="inlineStr">
        <is>
          <t>hwy2_mystery2</t>
        </is>
      </c>
      <c r="C222">
        <v>1735</v>
      </c>
      <c r="D222" t="inlineStr">
        <is>
          <t>2챕터 전용 · 요청/검증 조정 값</t>
        </is>
      </c>
    </row>
    <row r="223">
      <c r="B223" t="inlineStr">
        <is>
          <t>hwy2_mysteryCount</t>
        </is>
      </c>
      <c r="C223">
        <v>2</v>
      </c>
      <c r="D223" t="inlineStr">
        <is>
          <t>2챕터 전용 · 요청/검증 조정 값</t>
        </is>
      </c>
    </row>
    <row r="224">
      <c r="B224" t="inlineStr">
        <is>
          <t>hwy2_largeChance</t>
        </is>
      </c>
      <c r="C224">
        <v>20</v>
      </c>
      <c r="D224" t="inlineStr">
        <is>
          <t>2챕터 전용 · 요청/검증 조정 값</t>
        </is>
      </c>
    </row>
    <row r="225">
      <c r="B225" t="inlineStr">
        <is>
          <t>hwy2_normalChance</t>
        </is>
      </c>
      <c r="C225">
        <v>55</v>
      </c>
      <c r="D225" t="inlineStr">
        <is>
          <t>2챕터 전용 · 요청/검증 조정 값</t>
        </is>
      </c>
    </row>
    <row r="226">
      <c r="B226" t="inlineStr">
        <is>
          <t>hwy2_coinChance</t>
        </is>
      </c>
      <c r="C226">
        <v>20</v>
      </c>
      <c r="D226" t="inlineStr">
        <is>
          <t>2챕터 전용 · 요청/검증 조정 값</t>
        </is>
      </c>
    </row>
    <row r="227">
      <c r="B227" t="inlineStr">
        <is>
          <t>hwy2_missChance</t>
        </is>
      </c>
      <c r="C227">
        <v>5</v>
      </c>
      <c r="D227" t="inlineStr">
        <is>
          <t>2챕터 전용 · 요청/검증 조정 값</t>
        </is>
      </c>
    </row>
    <row r="228">
      <c r="B228" t="inlineStr">
        <is>
          <t>hwy2_largePercent</t>
        </is>
      </c>
      <c r="C228">
        <v>30</v>
      </c>
      <c r="D228" t="inlineStr">
        <is>
          <t>2챕터 전용 · 요청/검증 조정 값</t>
        </is>
      </c>
    </row>
    <row r="229">
      <c r="B229" t="inlineStr">
        <is>
          <t>hwy2_normalPercent</t>
        </is>
      </c>
      <c r="C229">
        <v>12</v>
      </c>
      <c r="D229" t="inlineStr">
        <is>
          <t>2챕터 전용 · 요청/검증 조정 값</t>
        </is>
      </c>
    </row>
    <row r="230">
      <c r="B230" t="inlineStr">
        <is>
          <t>hwy2_mysteryCoins</t>
        </is>
      </c>
      <c r="C230">
        <v>248</v>
      </c>
      <c r="D230" t="inlineStr">
        <is>
          <t>2챕터 전용 · 요청/검증 조정 값</t>
        </is>
      </c>
    </row>
    <row r="231">
      <c r="B231" t="inlineStr">
        <is>
          <t>hwy2_missDamage</t>
        </is>
      </c>
      <c r="C231">
        <v>0.05</v>
      </c>
      <c r="D231" t="inlineStr">
        <is>
          <t>2챕터 전용 · 요청/검증 조정 값</t>
        </is>
      </c>
    </row>
    <row r="232">
      <c r="B232" t="inlineStr">
        <is>
          <t>hwy2_tankerRadius</t>
        </is>
      </c>
      <c r="C232">
        <v>28</v>
      </c>
      <c r="D232" t="inlineStr">
        <is>
          <t>2챕터 전용 · 요청/검증 조정 값</t>
        </is>
      </c>
    </row>
    <row r="233">
      <c r="B233" t="inlineStr">
        <is>
          <t>hwy2_chainRadius</t>
        </is>
      </c>
      <c r="C233">
        <v>10</v>
      </c>
      <c r="D233" t="inlineStr">
        <is>
          <t>2챕터 전용 · 요청/검증 조정 값</t>
        </is>
      </c>
    </row>
    <row r="234">
      <c r="B234" t="inlineStr">
        <is>
          <t>hwy2_chainDamage</t>
        </is>
      </c>
      <c r="C234">
        <v>0.75</v>
      </c>
      <c r="D234" t="inlineStr">
        <is>
          <t>2챕터 전용 · 요청/검증 조정 값</t>
        </is>
      </c>
    </row>
    <row r="235">
      <c r="B235" t="inlineStr">
        <is>
          <t>hwy2_chainBounces</t>
        </is>
      </c>
      <c r="C235">
        <v>2</v>
      </c>
      <c r="D235" t="inlineStr">
        <is>
          <t>2챕터 전용 · 요청/검증 조정 값</t>
        </is>
      </c>
    </row>
    <row r="236">
      <c r="B236" t="inlineStr">
        <is>
          <t>hwy2_shatterMultiplier</t>
        </is>
      </c>
      <c r="C236">
        <v>2</v>
      </c>
      <c r="D236" t="inlineStr">
        <is>
          <t>2챕터 전용 · 요청/검증 조정 값</t>
        </is>
      </c>
    </row>
    <row r="237">
      <c r="B237" t="inlineStr">
        <is>
          <t>hwy2_shieldThreshold</t>
        </is>
      </c>
      <c r="C237">
        <v>0.15</v>
      </c>
      <c r="D237" t="inlineStr">
        <is>
          <t>2챕터 전용 · 요청/검증 조정 값</t>
        </is>
      </c>
    </row>
    <row r="238">
      <c r="B238" t="inlineStr">
        <is>
          <t>hwy2_magnetRadius</t>
        </is>
      </c>
      <c r="C238">
        <v>12</v>
      </c>
      <c r="D238" t="inlineStr">
        <is>
          <t>2챕터 전용 · 요청/검증 조정 값</t>
        </is>
      </c>
    </row>
    <row r="239">
      <c r="B239" t="inlineStr">
        <is>
          <t>hwy2_magnetSpeed</t>
        </is>
      </c>
      <c r="C239">
        <v>24</v>
      </c>
      <c r="D239" t="inlineStr">
        <is>
          <t>2챕터 전용 · 요청/검증 조정 값</t>
        </is>
      </c>
    </row>
    <row r="240">
      <c r="B240" t="inlineStr">
        <is>
          <t>hwy2_uniqueCarry</t>
        </is>
      </c>
      <c r="C240">
        <v>0</v>
      </c>
      <c r="D240" t="inlineStr">
        <is>
          <t>2챕터 전용 · 요청/검증 조정 값</t>
        </is>
      </c>
    </row>
    <row r="241">
      <c r="B241" t="inlineStr">
        <is>
          <t>hwy2_fxMaximum</t>
        </is>
      </c>
      <c r="C241">
        <v>3</v>
      </c>
      <c r="D241" t="inlineStr">
        <is>
          <t>2챕터 전용 · 요청/검증 조정 값</t>
        </is>
      </c>
    </row>
    <row r="242">
      <c r="B242" t="inlineStr">
        <is>
          <t>hwy2_smokeSeconds</t>
        </is>
      </c>
      <c r="C242">
        <v>0.8</v>
      </c>
      <c r="D242" t="inlineStr">
        <is>
          <t>2챕터 전용 · 요청/검증 조정 값</t>
        </is>
      </c>
    </row>
    <row r="243">
      <c r="B243" t="inlineStr">
        <is>
          <t>hwy2_clearViewAhead</t>
        </is>
      </c>
      <c r="C243">
        <v>12</v>
      </c>
      <c r="D243" t="inlineStr">
        <is>
          <t>2챕터 전용 · 요청/검증 조정 값</t>
        </is>
      </c>
    </row>
    <row r="244">
      <c r="B244" t="inlineStr">
        <is>
          <t>hwy2_debrisSeconds</t>
        </is>
      </c>
      <c r="C244">
        <v>0.8</v>
      </c>
      <c r="D244" t="inlineStr">
        <is>
          <t>2챕터 전용 · 요청/검증 조정 값</t>
        </is>
      </c>
    </row>
    <row r="245">
      <c r="B245" t="inlineStr">
        <is>
          <t>hwy2_debrisSideSpeed</t>
        </is>
      </c>
      <c r="C245">
        <v>16</v>
      </c>
      <c r="D245" t="inlineStr">
        <is>
          <t>2챕터 전용 · 요청/검증 조정 값</t>
        </is>
      </c>
    </row>
    <row r="246">
      <c r="B246" t="inlineStr">
        <is>
          <t>hwy2_debrisUpSpeed</t>
        </is>
      </c>
      <c r="C246">
        <v>12</v>
      </c>
      <c r="D246" t="inlineStr">
        <is>
          <t>2챕터 전용 · 요청/검증 조정 값</t>
        </is>
      </c>
    </row>
    <row r="247">
      <c r="B247" t="inlineStr">
        <is>
          <t>hwy2_nearMissDistance</t>
        </is>
      </c>
      <c r="C247">
        <v>3</v>
      </c>
      <c r="D247" t="inlineStr">
        <is>
          <t>2챕터 전용 · 요청/검증 조정 값</t>
        </is>
      </c>
    </row>
    <row r="248">
      <c r="B248" t="inlineStr">
        <is>
          <t>hwy2_windSeconds</t>
        </is>
      </c>
      <c r="C248">
        <v>0.35</v>
      </c>
      <c r="D248" t="inlineStr">
        <is>
          <t>2챕터 전용 · 요청/검증 조정 값</t>
        </is>
      </c>
    </row>
    <row r="249">
      <c r="B249" t="inlineStr">
        <is>
          <t>hwy2_newsSeconds</t>
        </is>
      </c>
      <c r="C249">
        <v>3</v>
      </c>
      <c r="D249" t="inlineStr">
        <is>
          <t>2챕터 전용 · 요청/검증 조정 값</t>
        </is>
      </c>
    </row>
    <row r="250">
      <c r="B250" t="inlineStr">
        <is>
          <t>hwy2_entryAttLevel</t>
        </is>
      </c>
      <c r="C250">
        <v>10</v>
      </c>
      <c r="D250" t="inlineStr">
        <is>
          <t>2챕터 전용 · 요청/검증 조정 값</t>
        </is>
      </c>
    </row>
    <row r="251">
      <c r="B251" t="inlineStr">
        <is>
          <t>hwy2_entryHpLevel</t>
        </is>
      </c>
      <c r="C251">
        <v>12</v>
      </c>
      <c r="D251" t="inlineStr">
        <is>
          <t>2챕터 전용 · 요청/검증 조정 값</t>
        </is>
      </c>
    </row>
    <row r="252">
      <c r="B252" t="inlineStr">
        <is>
          <t>hwy2_entrySpeedLevel</t>
        </is>
      </c>
      <c r="C252">
        <v>1</v>
      </c>
      <c r="D252" t="inlineStr">
        <is>
          <t>2챕터 전용 · 요청/검증 조정 값</t>
        </is>
      </c>
    </row>
    <row r="253">
      <c r="B253" t="inlineStr">
        <is>
          <t>hwy2_clearAttLevel</t>
        </is>
      </c>
      <c r="C253">
        <v>20</v>
      </c>
      <c r="D253" t="inlineStr">
        <is>
          <t>2챕터 전용 · 요청/검증 조정 값</t>
        </is>
      </c>
    </row>
    <row r="254">
      <c r="B254" t="inlineStr">
        <is>
          <t>hwy2_clearHpLevel</t>
        </is>
      </c>
      <c r="C254">
        <v>24</v>
      </c>
      <c r="D254" t="inlineStr">
        <is>
          <t>2챕터 전용 · 요청/검증 조정 값</t>
        </is>
      </c>
    </row>
    <row r="255">
      <c r="B255" t="inlineStr">
        <is>
          <t>hwy2_clearSpeedLevel</t>
        </is>
      </c>
      <c r="C255">
        <v>10</v>
      </c>
      <c r="D255" t="inlineStr">
        <is>
          <t>2챕터 전용 · 요청/검증 조정 값</t>
        </is>
      </c>
    </row>
    <row r="256">
      <c r="B256" t="inlineStr">
        <is>
          <t>hwy2_normalBonusCount</t>
        </is>
      </c>
      <c r="C256">
        <v>12</v>
      </c>
      <c r="D256" t="inlineStr">
        <is>
          <t>2챕터 전용 · 요청/검증 조정 값</t>
        </is>
      </c>
    </row>
    <row r="257">
      <c r="B257" t="inlineStr">
        <is>
          <t>hwy2_normalBonusLane</t>
        </is>
      </c>
      <c r="C257">
        <v>2.4</v>
      </c>
      <c r="D257" t="inlineStr">
        <is>
          <t>2챕터 전용 · 요청/검증 조정 값</t>
        </is>
      </c>
    </row>
    <row r="258">
      <c r="B258" t="inlineStr">
        <is>
          <t>hwy2_normalBonus1</t>
        </is>
      </c>
      <c r="C258">
        <v>85</v>
      </c>
      <c r="D258" t="inlineStr">
        <is>
          <t>2챕터 전용 · 요청/검증 조정 값</t>
        </is>
      </c>
    </row>
    <row r="259">
      <c r="B259" t="inlineStr">
        <is>
          <t>hwy2_normalBonus2</t>
        </is>
      </c>
      <c r="C259">
        <v>145</v>
      </c>
      <c r="D259" t="inlineStr">
        <is>
          <t>2챕터 전용 · 요청/검증 조정 값</t>
        </is>
      </c>
    </row>
    <row r="260">
      <c r="B260" t="inlineStr">
        <is>
          <t>hwy2_normalBonus3</t>
        </is>
      </c>
      <c r="C260">
        <v>330</v>
      </c>
      <c r="D260" t="inlineStr">
        <is>
          <t>2챕터 전용 · 요청/검증 조정 값</t>
        </is>
      </c>
    </row>
    <row r="261">
      <c r="B261" t="inlineStr">
        <is>
          <t>hwy2_normalBonus4</t>
        </is>
      </c>
      <c r="C261">
        <v>365</v>
      </c>
      <c r="D261" t="inlineStr">
        <is>
          <t>2챕터 전용 · 요청/검증 조정 값</t>
        </is>
      </c>
    </row>
    <row r="262">
      <c r="B262" t="inlineStr">
        <is>
          <t>hwy2_normalBonus5</t>
        </is>
      </c>
      <c r="C262">
        <v>520</v>
      </c>
      <c r="D262" t="inlineStr">
        <is>
          <t>2챕터 전용 · 요청/검증 조정 값</t>
        </is>
      </c>
    </row>
    <row r="263">
      <c r="B263" t="inlineStr">
        <is>
          <t>hwy2_normalBonus6</t>
        </is>
      </c>
      <c r="C263">
        <v>765</v>
      </c>
      <c r="D263" t="inlineStr">
        <is>
          <t>2챕터 전용 · 요청/검증 조정 값</t>
        </is>
      </c>
    </row>
    <row r="264">
      <c r="B264" t="inlineStr">
        <is>
          <t>hwy2_normalBonus7</t>
        </is>
      </c>
      <c r="C264">
        <v>835</v>
      </c>
      <c r="D264" t="inlineStr">
        <is>
          <t>2챕터 전용 · 요청/검증 조정 값</t>
        </is>
      </c>
    </row>
    <row r="265">
      <c r="B265" t="inlineStr">
        <is>
          <t>hwy2_normalBonus8</t>
        </is>
      </c>
      <c r="C265">
        <v>1110</v>
      </c>
      <c r="D265" t="inlineStr">
        <is>
          <t>2챕터 전용 · 요청/검증 조정 값</t>
        </is>
      </c>
    </row>
    <row r="266">
      <c r="B266" t="inlineStr">
        <is>
          <t>hwy2_normalBonus9</t>
        </is>
      </c>
      <c r="C266">
        <v>1328</v>
      </c>
      <c r="D266" t="inlineStr">
        <is>
          <t>2챕터 전용 · 요청/검증 조정 값</t>
        </is>
      </c>
    </row>
    <row r="267">
      <c r="B267" t="inlineStr">
        <is>
          <t>hwy2_normalBonus10</t>
        </is>
      </c>
      <c r="C267">
        <v>1865</v>
      </c>
      <c r="D267" t="inlineStr">
        <is>
          <t>2챕터 전용 · 요청/검증 조정 값</t>
        </is>
      </c>
    </row>
    <row r="268">
      <c r="B268" t="inlineStr">
        <is>
          <t>hwy2_normalBonus11</t>
        </is>
      </c>
      <c r="C268">
        <v>2130</v>
      </c>
      <c r="D268" t="inlineStr">
        <is>
          <t>2챕터 전용 · 요청/검증 조정 값</t>
        </is>
      </c>
    </row>
    <row r="269">
      <c r="B269" t="inlineStr">
        <is>
          <t>hwy2_normalBonus12</t>
        </is>
      </c>
      <c r="C269">
        <v>2260</v>
      </c>
      <c r="D269" t="inlineStr">
        <is>
          <t>2챕터 전용 · 요청/검증 조정 값</t>
        </is>
      </c>
    </row>
    <row r="270">
      <c r="B270" t="inlineStr">
        <is>
          <t>hwy2_sideCarWidth</t>
        </is>
      </c>
      <c r="C270">
        <v>3</v>
      </c>
      <c r="D270" t="inlineStr">
        <is>
          <t>2챕터 전용 · 요청/검증 조정 값</t>
        </is>
      </c>
    </row>
    <row r="271">
      <c r="B271" t="inlineStr">
        <is>
          <t>hwy2_logLength</t>
        </is>
      </c>
      <c r="C271">
        <v>5.1</v>
      </c>
      <c r="D271" t="inlineStr">
        <is>
          <t>2챕터 전용 · 요청/검증 조정 값</t>
        </is>
      </c>
    </row>
    <row r="272">
      <c r="B272" t="inlineStr">
        <is>
          <t>hwy2_revealSeconds</t>
        </is>
      </c>
      <c r="C272">
        <v>1.5</v>
      </c>
      <c r="D272" t="inlineStr">
        <is>
          <t>2챕터 전용 · 요청/검증 조정 값</t>
        </is>
      </c>
    </row>
    <row r="273">
      <c r="B273" t="inlineStr">
        <is>
          <t>hwy2_vehicleGroundClearance</t>
        </is>
      </c>
      <c r="C273">
        <v>0.08</v>
      </c>
      <c r="D273" t="inlineStr">
        <is>
          <t>2챕터 전용 · 요청/검증 조정 값</t>
        </is>
      </c>
    </row>
    <row r="274">
      <c r="B274" t="inlineStr">
        <is>
          <t>hwy2_entryExtraCars</t>
        </is>
      </c>
      <c r="C274">
        <v>8</v>
      </c>
      <c r="D274" t="inlineStr">
        <is>
          <t>2챕터 전용 · 요청/검증 조정 값</t>
        </is>
      </c>
    </row>
    <row r="275">
      <c r="B275" t="inlineStr">
        <is>
          <t>hwy2_entryExtraInterval</t>
        </is>
      </c>
      <c r="C275">
        <v>14</v>
      </c>
      <c r="D275" t="inlineStr">
        <is>
          <t>2챕터 전용 · 요청/검증 조정 값</t>
        </is>
      </c>
    </row>
    <row r="276">
      <c r="B276" t="inlineStr">
        <is>
          <t>hwy2_guideWidth</t>
        </is>
      </c>
      <c r="C276">
        <v>0.65</v>
      </c>
      <c r="D276" t="inlineStr">
        <is>
          <t>2챕터 전용 · 요청/검증 조정 값</t>
        </is>
      </c>
    </row>
    <row r="277">
      <c r="B277" t="inlineStr">
        <is>
          <t>hwy2_guideAhead</t>
        </is>
      </c>
      <c r="C277">
        <v>60</v>
      </c>
      <c r="D277" t="inlineStr">
        <is>
          <t>2챕터 전용 · 요청/검증 조정 값</t>
        </is>
      </c>
    </row>
    <row r="278">
      <c r="B278" t="inlineStr">
        <is>
          <t>hwy2_guideAfter</t>
        </is>
      </c>
      <c r="C278">
        <v>30</v>
      </c>
      <c r="D278" t="inlineStr">
        <is>
          <t>2챕터 전용 · 요청/검증 조정 값</t>
        </is>
      </c>
    </row>
    <row r="279">
      <c r="B279" t="inlineStr">
        <is>
          <t>hwy2_branchTransition</t>
        </is>
      </c>
      <c r="C279">
        <v>220</v>
      </c>
      <c r="D279" t="inlineStr">
        <is>
          <t>2챕터 전용 · 요청/검증 조정 값</t>
        </is>
      </c>
    </row>
    <row r="280">
      <c r="B280" t="inlineStr">
        <is>
          <t>hwy2_trafficTarget</t>
        </is>
      </c>
      <c r="C280">
        <v>351</v>
      </c>
      <c r="D280" t="inlineStr">
        <is>
          <t>2챕터 전용 · 요청/검증 조정 값</t>
        </is>
      </c>
    </row>
    <row r="281">
      <c r="B281" t="inlineStr">
        <is>
          <t>hwy2_entryWaves</t>
        </is>
      </c>
      <c r="C281">
        <v>6</v>
      </c>
      <c r="D281" t="inlineStr">
        <is>
          <t>2챕터 전용 · 요청/검증 조정 값</t>
        </is>
      </c>
    </row>
    <row r="282">
      <c r="B282" t="inlineStr">
        <is>
          <t>hwy2_jamWaves</t>
        </is>
      </c>
      <c r="C282">
        <v>61</v>
      </c>
      <c r="D282" t="inlineStr">
        <is>
          <t>2챕터 전용 · 요청/검증 조정 값</t>
        </is>
      </c>
    </row>
    <row r="283">
      <c r="B283" t="inlineStr">
        <is>
          <t>hwy2_openWaves</t>
        </is>
      </c>
      <c r="C283">
        <v>28</v>
      </c>
      <c r="D283" t="inlineStr">
        <is>
          <t>2챕터 전용 · 요청/검증 조정 값</t>
        </is>
      </c>
    </row>
    <row r="284">
      <c r="B284" t="inlineStr">
        <is>
          <t>hwy2_tollWaves</t>
        </is>
      </c>
      <c r="C284">
        <v>8</v>
      </c>
      <c r="D284" t="inlineStr">
        <is>
          <t>2챕터 전용 · 요청/검증 조정 값</t>
        </is>
      </c>
    </row>
    <row r="285">
      <c r="B285" t="inlineStr">
        <is>
          <t>hwy2_openPlayerMultiplier</t>
        </is>
      </c>
      <c r="C285">
        <v>1.5</v>
      </c>
      <c r="D285" t="inlineStr">
        <is>
          <t>2챕터 전용 · 요청/검증 조정 값</t>
        </is>
      </c>
    </row>
    <row r="286">
      <c r="B286" t="inlineStr">
        <is>
          <t>hwy2_openVehicleSpeed</t>
        </is>
      </c>
      <c r="C286">
        <v>5</v>
      </c>
      <c r="D286" t="inlineStr">
        <is>
          <t>2챕터 전용 · 요청/검증 조정 값</t>
        </is>
      </c>
    </row>
    <row r="287">
      <c r="B287" t="inlineStr">
        <is>
          <t>hwy2_speedLineCount</t>
        </is>
      </c>
      <c r="C287">
        <v>22</v>
      </c>
      <c r="D287" t="inlineStr">
        <is>
          <t>2챕터 전용 · 요청/검증 조정 값</t>
        </is>
      </c>
    </row>
    <row r="288">
      <c r="B288" t="inlineStr">
        <is>
          <t>hwy2_healthLabelDistance</t>
        </is>
      </c>
      <c r="C288">
        <v>115</v>
      </c>
      <c r="D288" t="inlineStr">
        <is>
          <t>2챕터 전용 · 요청/검증 조정 값</t>
        </is>
      </c>
    </row>
    <row r="289">
      <c r="B289" t="inlineStr">
        <is>
          <t>hwy2_healthLabelPixels</t>
        </is>
      </c>
      <c r="C289">
        <v>14</v>
      </c>
      <c r="D289" t="inlineStr">
        <is>
          <t>2챕터 전용 · 요청/검증 조정 값</t>
        </is>
      </c>
    </row>
    <row r="290">
      <c r="B290" t="inlineStr">
        <is>
          <t>hwy2_tollPickupLead</t>
        </is>
      </c>
      <c r="C290">
        <v>14</v>
      </c>
      <c r="D290" t="inlineStr">
        <is>
          <t>2챕터 전용 · 요청/검증 조정 값</t>
        </is>
      </c>
    </row>
    <row r="291">
      <c r="B291" t="inlineStr">
        <is>
          <t>hwy2_tollRoofHide</t>
        </is>
      </c>
      <c r="C291">
        <v>14</v>
      </c>
      <c r="D291" t="inlineStr">
        <is>
          <t>2챕터 전용 · 요청/검증 조정 값</t>
        </is>
      </c>
    </row>
    <row r="292">
      <c r="B292" t="inlineStr">
        <is>
          <t>hwy2_waveHealthSeconds</t>
        </is>
      </c>
      <c r="C292">
        <v>1.6</v>
      </c>
      <c r="D292" t="inlineStr">
        <is>
          <t>2챕터 전용 · 요청/검증 조정 값</t>
        </is>
      </c>
    </row>
    <row r="293">
      <c r="B293" t="inlineStr">
        <is>
          <t>hwy2_swarmHealthSeconds</t>
        </is>
      </c>
      <c r="C293">
        <v>1.2</v>
      </c>
      <c r="D293" t="inlineStr">
        <is>
          <t>2챕터 전용 · 요청/검증 조정 값</t>
        </is>
      </c>
    </row>
    <row r="294">
      <c r="B294" t="inlineStr">
        <is>
          <t>hwy2_waveWeakCycle</t>
        </is>
      </c>
      <c r="C294">
        <v>3</v>
      </c>
      <c r="D294" t="inlineStr">
        <is>
          <t>2챕터 전용 · 요청/검증 조정 값</t>
        </is>
      </c>
    </row>
    <row r="295">
      <c r="B295" t="inlineStr">
        <is>
          <t>hwy2_rushHealthSeconds</t>
        </is>
      </c>
      <c r="C295">
        <v>1.1</v>
      </c>
      <c r="D295" t="inlineStr">
        <is>
          <t>2챕터 전용 · 요청/검증 조정 값</t>
        </is>
      </c>
    </row>
  </sheetData>
  <phoneticPr fontId="1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L26"/>
  <sheetViews>
    <sheetView showGridLines="0" workbookViewId="0">
      <pane ySplit="2" topLeftCell="A3" activePane="bottomLeft" state="frozen"/>
      <selection pane="bottomLeft"/>
    </sheetView>
  </sheetViews>
  <sheetFormatPr defaultRowHeight="16.5"/>
  <cols>
    <col min="2" max="2" width="29" customWidth="1"/>
    <col min="3" max="3" width="16" customWidth="1"/>
    <col min="4" max="4" width="25" customWidth="1"/>
    <col min="5" max="6" width="16" customWidth="1"/>
    <col min="7" max="7" width="23" customWidth="1"/>
    <col min="8" max="8" width="16" customWidth="1"/>
    <col min="9" max="9" width="55" customWidth="1"/>
    <col min="10" max="12" width="21" customWidth="1"/>
  </cols>
  <sheetData>
    <row r="1" spans="2:12" ht="27" customHeight="1">
      <c r="B1" s="29" t="s">
        <v>702</v>
      </c>
      <c r="C1" s="29"/>
      <c r="D1" s="29"/>
      <c r="E1" s="29"/>
      <c r="F1" s="29"/>
      <c r="G1" s="29"/>
      <c r="H1" s="29"/>
      <c r="I1" s="29"/>
    </row>
    <row r="2" spans="2:12" ht="30" customHeight="1">
      <c r="B2" s="23" t="s">
        <v>703</v>
      </c>
      <c r="C2" s="23" t="s">
        <v>704</v>
      </c>
      <c r="D2" s="23" t="s">
        <v>37</v>
      </c>
      <c r="E2" s="23" t="s">
        <v>705</v>
      </c>
      <c r="F2" s="23" t="s">
        <v>706</v>
      </c>
      <c r="G2" s="23" t="s">
        <v>707</v>
      </c>
      <c r="H2" s="23" t="s">
        <v>708</v>
      </c>
      <c r="I2" s="23" t="s">
        <v>192</v>
      </c>
      <c r="J2" s="23" t="s">
        <v>709</v>
      </c>
      <c r="K2" s="23" t="s">
        <v>440</v>
      </c>
      <c r="L2" s="23" t="s">
        <v>710</v>
      </c>
    </row>
    <row r="3" spans="2:12" ht="27.95" customHeight="1">
      <c r="B3" s="24" t="s">
        <v>711</v>
      </c>
      <c r="C3" s="24" t="s">
        <v>712</v>
      </c>
      <c r="D3" s="24" t="s">
        <v>713</v>
      </c>
      <c r="E3" s="25" t="s">
        <v>25</v>
      </c>
      <c r="F3" s="26">
        <v>0</v>
      </c>
      <c r="G3" s="24" t="s">
        <v>711</v>
      </c>
      <c r="H3" s="24">
        <v>1</v>
      </c>
      <c r="I3" s="24" t="s">
        <v>714</v>
      </c>
      <c r="J3" s="25"/>
      <c r="K3" s="30">
        <v>0</v>
      </c>
      <c r="L3" s="25" t="s">
        <v>20</v>
      </c>
    </row>
    <row r="4" spans="2:12" ht="27.95" customHeight="1">
      <c r="B4" s="24" t="s">
        <v>715</v>
      </c>
      <c r="C4" s="24" t="s">
        <v>712</v>
      </c>
      <c r="D4" s="24" t="s">
        <v>716</v>
      </c>
      <c r="E4" s="25" t="s">
        <v>25</v>
      </c>
      <c r="F4" s="26">
        <v>250</v>
      </c>
      <c r="G4" s="24" t="s">
        <v>715</v>
      </c>
      <c r="H4" s="24">
        <v>0</v>
      </c>
      <c r="I4" s="24" t="s">
        <v>717</v>
      </c>
      <c r="J4" s="25" t="s">
        <v>23</v>
      </c>
      <c r="K4" s="30">
        <v>20</v>
      </c>
      <c r="L4" s="25" t="s">
        <v>20</v>
      </c>
    </row>
    <row r="5" spans="2:12" ht="27.95" customHeight="1">
      <c r="B5" s="24" t="s">
        <v>718</v>
      </c>
      <c r="C5" s="24" t="s">
        <v>712</v>
      </c>
      <c r="D5" s="24" t="s">
        <v>719</v>
      </c>
      <c r="E5" s="25" t="s">
        <v>25</v>
      </c>
      <c r="F5" s="26">
        <v>350</v>
      </c>
      <c r="G5" s="24" t="s">
        <v>718</v>
      </c>
      <c r="H5" s="24">
        <v>0</v>
      </c>
      <c r="I5" s="24" t="s">
        <v>720</v>
      </c>
      <c r="J5" s="25" t="s">
        <v>19</v>
      </c>
      <c r="K5" s="30">
        <v>20</v>
      </c>
      <c r="L5" s="25" t="s">
        <v>20</v>
      </c>
    </row>
    <row r="6" spans="2:12" ht="27.95" customHeight="1">
      <c r="B6" s="24" t="s">
        <v>721</v>
      </c>
      <c r="C6" s="24" t="s">
        <v>712</v>
      </c>
      <c r="D6" s="24" t="s">
        <v>722</v>
      </c>
      <c r="E6" s="25" t="s">
        <v>25</v>
      </c>
      <c r="F6" s="26">
        <v>450</v>
      </c>
      <c r="G6" s="24" t="s">
        <v>721</v>
      </c>
      <c r="H6" s="24">
        <v>0</v>
      </c>
      <c r="I6" s="24" t="s">
        <v>723</v>
      </c>
      <c r="J6" s="25" t="s">
        <v>23</v>
      </c>
      <c r="K6" s="30">
        <v>32</v>
      </c>
      <c r="L6" s="25" t="s">
        <v>20</v>
      </c>
    </row>
    <row r="7" spans="2:12" ht="27.95" customHeight="1">
      <c r="B7" s="24" t="s">
        <v>724</v>
      </c>
      <c r="C7" s="24" t="s">
        <v>712</v>
      </c>
      <c r="D7" s="24" t="s">
        <v>725</v>
      </c>
      <c r="E7" s="25" t="s">
        <v>25</v>
      </c>
      <c r="F7" s="26">
        <v>700</v>
      </c>
      <c r="G7" s="24" t="s">
        <v>724</v>
      </c>
      <c r="H7" s="24">
        <v>0</v>
      </c>
      <c r="I7" s="24" t="s">
        <v>726</v>
      </c>
      <c r="J7" s="25" t="s">
        <v>23</v>
      </c>
      <c r="K7" s="30">
        <v>48</v>
      </c>
      <c r="L7" s="25" t="s">
        <v>20</v>
      </c>
    </row>
    <row r="8" spans="2:12" ht="27.95" customHeight="1">
      <c r="B8" s="24" t="s">
        <v>727</v>
      </c>
      <c r="C8" s="24" t="s">
        <v>712</v>
      </c>
      <c r="D8" s="24" t="s">
        <v>728</v>
      </c>
      <c r="E8" s="25" t="s">
        <v>25</v>
      </c>
      <c r="F8" s="26">
        <v>600</v>
      </c>
      <c r="G8" s="24" t="s">
        <v>727</v>
      </c>
      <c r="H8" s="24">
        <v>0</v>
      </c>
      <c r="I8" s="24" t="s">
        <v>729</v>
      </c>
      <c r="J8" s="25" t="s">
        <v>16</v>
      </c>
      <c r="K8" s="30">
        <v>32</v>
      </c>
      <c r="L8" s="25" t="s">
        <v>20</v>
      </c>
    </row>
    <row r="9" spans="2:12" ht="27.95" customHeight="1">
      <c r="B9" s="24" t="s">
        <v>730</v>
      </c>
      <c r="C9" s="24" t="s">
        <v>712</v>
      </c>
      <c r="D9" s="24" t="s">
        <v>731</v>
      </c>
      <c r="E9" s="25" t="s">
        <v>25</v>
      </c>
      <c r="F9" s="26">
        <v>900</v>
      </c>
      <c r="G9" s="24" t="s">
        <v>730</v>
      </c>
      <c r="H9" s="24">
        <v>0</v>
      </c>
      <c r="I9" s="24" t="s">
        <v>732</v>
      </c>
      <c r="J9" s="25" t="s">
        <v>12</v>
      </c>
      <c r="K9" s="30">
        <v>48</v>
      </c>
      <c r="L9" s="25" t="s">
        <v>20</v>
      </c>
    </row>
    <row r="10" spans="2:12" ht="27.95" customHeight="1">
      <c r="B10" s="24" t="s">
        <v>733</v>
      </c>
      <c r="C10" s="24" t="s">
        <v>712</v>
      </c>
      <c r="D10" s="24" t="s">
        <v>734</v>
      </c>
      <c r="E10" s="25" t="s">
        <v>25</v>
      </c>
      <c r="F10" s="26">
        <v>650</v>
      </c>
      <c r="G10" s="24" t="s">
        <v>733</v>
      </c>
      <c r="H10" s="24">
        <v>0</v>
      </c>
      <c r="I10" s="24" t="s">
        <v>735</v>
      </c>
      <c r="J10" s="25" t="s">
        <v>29</v>
      </c>
      <c r="K10" s="30">
        <v>0.6</v>
      </c>
      <c r="L10" s="25" t="s">
        <v>13</v>
      </c>
    </row>
    <row r="11" spans="2:12" ht="27.95" customHeight="1">
      <c r="B11" s="24" t="s">
        <v>736</v>
      </c>
      <c r="C11" s="24" t="s">
        <v>737</v>
      </c>
      <c r="D11" s="24" t="s">
        <v>738</v>
      </c>
      <c r="E11" s="25" t="s">
        <v>25</v>
      </c>
      <c r="F11" s="26">
        <v>0</v>
      </c>
      <c r="G11" s="24" t="s">
        <v>736</v>
      </c>
      <c r="H11" s="24">
        <v>1</v>
      </c>
      <c r="I11" s="24" t="s">
        <v>739</v>
      </c>
      <c r="J11" s="25"/>
      <c r="K11" s="30">
        <v>0</v>
      </c>
      <c r="L11" s="25" t="s">
        <v>20</v>
      </c>
    </row>
    <row r="12" spans="2:12" ht="27.95" customHeight="1">
      <c r="B12" s="24" t="s">
        <v>740</v>
      </c>
      <c r="C12" s="24" t="s">
        <v>737</v>
      </c>
      <c r="D12" s="24" t="s">
        <v>741</v>
      </c>
      <c r="E12" s="25" t="s">
        <v>25</v>
      </c>
      <c r="F12" s="26">
        <v>200</v>
      </c>
      <c r="G12" s="24" t="s">
        <v>740</v>
      </c>
      <c r="H12" s="24">
        <v>0</v>
      </c>
      <c r="I12" s="24" t="s">
        <v>742</v>
      </c>
      <c r="J12" s="25" t="s">
        <v>16</v>
      </c>
      <c r="K12" s="30">
        <v>16</v>
      </c>
      <c r="L12" s="25" t="s">
        <v>20</v>
      </c>
    </row>
    <row r="13" spans="2:12" ht="27.95" customHeight="1">
      <c r="B13" s="24" t="s">
        <v>743</v>
      </c>
      <c r="C13" s="24" t="s">
        <v>737</v>
      </c>
      <c r="D13" s="24" t="s">
        <v>744</v>
      </c>
      <c r="E13" s="25" t="s">
        <v>25</v>
      </c>
      <c r="F13" s="26">
        <v>300</v>
      </c>
      <c r="G13" s="24" t="s">
        <v>743</v>
      </c>
      <c r="H13" s="24">
        <v>0</v>
      </c>
      <c r="I13" s="24" t="s">
        <v>745</v>
      </c>
      <c r="J13" s="25" t="s">
        <v>19</v>
      </c>
      <c r="K13" s="30">
        <v>16</v>
      </c>
      <c r="L13" s="25" t="s">
        <v>20</v>
      </c>
    </row>
    <row r="14" spans="2:12" ht="27.95" customHeight="1">
      <c r="B14" s="24" t="s">
        <v>746</v>
      </c>
      <c r="C14" s="24" t="s">
        <v>737</v>
      </c>
      <c r="D14" s="24" t="s">
        <v>747</v>
      </c>
      <c r="E14" s="25" t="s">
        <v>25</v>
      </c>
      <c r="F14" s="26">
        <v>400</v>
      </c>
      <c r="G14" s="24" t="s">
        <v>746</v>
      </c>
      <c r="H14" s="24">
        <v>0</v>
      </c>
      <c r="I14" s="24" t="s">
        <v>748</v>
      </c>
      <c r="J14" s="25" t="s">
        <v>32</v>
      </c>
      <c r="K14" s="30">
        <v>24</v>
      </c>
      <c r="L14" s="25" t="s">
        <v>20</v>
      </c>
    </row>
    <row r="15" spans="2:12" ht="27.95" customHeight="1">
      <c r="B15" s="24" t="s">
        <v>749</v>
      </c>
      <c r="C15" s="24" t="s">
        <v>737</v>
      </c>
      <c r="D15" s="24" t="s">
        <v>750</v>
      </c>
      <c r="E15" s="25" t="s">
        <v>25</v>
      </c>
      <c r="F15" s="25">
        <v>600</v>
      </c>
      <c r="G15" s="24" t="s">
        <v>749</v>
      </c>
      <c r="H15" s="24">
        <v>0</v>
      </c>
      <c r="I15" s="24" t="s">
        <v>751</v>
      </c>
      <c r="J15" s="25" t="s">
        <v>16</v>
      </c>
      <c r="K15" s="30">
        <v>32</v>
      </c>
      <c r="L15" s="25" t="s">
        <v>20</v>
      </c>
    </row>
    <row r="16" spans="2:12" ht="27.95" customHeight="1">
      <c r="B16" s="24" t="s">
        <v>752</v>
      </c>
      <c r="C16" s="24" t="s">
        <v>737</v>
      </c>
      <c r="D16" s="24" t="s">
        <v>753</v>
      </c>
      <c r="E16" s="25" t="s">
        <v>25</v>
      </c>
      <c r="F16" s="25">
        <v>750</v>
      </c>
      <c r="G16" s="24" t="s">
        <v>752</v>
      </c>
      <c r="H16" s="24">
        <v>0</v>
      </c>
      <c r="I16" s="24" t="s">
        <v>754</v>
      </c>
      <c r="J16" s="25" t="s">
        <v>19</v>
      </c>
      <c r="K16" s="30">
        <v>32</v>
      </c>
      <c r="L16" s="25" t="s">
        <v>20</v>
      </c>
    </row>
    <row r="17" spans="2:12" ht="27.95" customHeight="1">
      <c r="B17" s="24" t="s">
        <v>755</v>
      </c>
      <c r="C17" s="24" t="s">
        <v>737</v>
      </c>
      <c r="D17" s="24" t="s">
        <v>756</v>
      </c>
      <c r="E17" s="25" t="s">
        <v>25</v>
      </c>
      <c r="F17" s="25">
        <v>900</v>
      </c>
      <c r="G17" s="24" t="s">
        <v>755</v>
      </c>
      <c r="H17" s="24">
        <v>0</v>
      </c>
      <c r="I17" s="24" t="s">
        <v>757</v>
      </c>
      <c r="J17" s="25" t="s">
        <v>128</v>
      </c>
      <c r="K17" s="30">
        <v>40</v>
      </c>
      <c r="L17" s="25" t="s">
        <v>20</v>
      </c>
    </row>
    <row r="18" spans="2:12" ht="27.95" customHeight="1">
      <c r="B18" s="24" t="s">
        <v>758</v>
      </c>
      <c r="C18" s="24" t="s">
        <v>737</v>
      </c>
      <c r="D18" s="24" t="s">
        <v>759</v>
      </c>
      <c r="E18" s="25" t="s">
        <v>25</v>
      </c>
      <c r="F18" s="25">
        <v>650</v>
      </c>
      <c r="G18" s="24" t="s">
        <v>758</v>
      </c>
      <c r="H18" s="24">
        <v>0</v>
      </c>
      <c r="I18" s="24" t="s">
        <v>760</v>
      </c>
      <c r="J18" s="25" t="s">
        <v>32</v>
      </c>
      <c r="K18" s="30">
        <v>40</v>
      </c>
      <c r="L18" s="25" t="s">
        <v>20</v>
      </c>
    </row>
    <row r="19" spans="2:12" ht="27.95" customHeight="1">
      <c r="B19" s="24" t="s">
        <v>761</v>
      </c>
      <c r="C19" s="24" t="s">
        <v>762</v>
      </c>
      <c r="D19" s="24" t="s">
        <v>763</v>
      </c>
      <c r="E19" s="25" t="s">
        <v>25</v>
      </c>
      <c r="F19" s="25">
        <v>0</v>
      </c>
      <c r="G19" s="24" t="s">
        <v>761</v>
      </c>
      <c r="H19" s="24">
        <v>1</v>
      </c>
      <c r="I19" s="24" t="s">
        <v>764</v>
      </c>
      <c r="J19" s="25"/>
      <c r="K19" s="30">
        <v>0</v>
      </c>
      <c r="L19" s="25" t="s">
        <v>20</v>
      </c>
    </row>
    <row r="20" spans="2:12" ht="27.95" customHeight="1">
      <c r="B20" s="24" t="s">
        <v>765</v>
      </c>
      <c r="C20" s="24" t="s">
        <v>762</v>
      </c>
      <c r="D20" s="24" t="s">
        <v>766</v>
      </c>
      <c r="E20" s="25" t="s">
        <v>25</v>
      </c>
      <c r="F20" s="25">
        <v>250</v>
      </c>
      <c r="G20" s="24" t="s">
        <v>765</v>
      </c>
      <c r="H20" s="24">
        <v>0</v>
      </c>
      <c r="I20" s="24" t="s">
        <v>767</v>
      </c>
      <c r="J20" s="25" t="s">
        <v>32</v>
      </c>
      <c r="K20" s="30">
        <v>16</v>
      </c>
      <c r="L20" s="25" t="s">
        <v>20</v>
      </c>
    </row>
    <row r="21" spans="2:12" ht="27.95" customHeight="1">
      <c r="B21" s="24" t="s">
        <v>768</v>
      </c>
      <c r="C21" s="24" t="s">
        <v>762</v>
      </c>
      <c r="D21" s="24" t="s">
        <v>769</v>
      </c>
      <c r="E21" s="25" t="s">
        <v>25</v>
      </c>
      <c r="F21" s="25">
        <v>350</v>
      </c>
      <c r="G21" s="24" t="s">
        <v>768</v>
      </c>
      <c r="H21" s="24">
        <v>0</v>
      </c>
      <c r="I21" s="24" t="s">
        <v>770</v>
      </c>
      <c r="J21" s="25" t="s">
        <v>23</v>
      </c>
      <c r="K21" s="30">
        <v>20</v>
      </c>
      <c r="L21" s="25" t="s">
        <v>20</v>
      </c>
    </row>
    <row r="22" spans="2:12" ht="27.95" customHeight="1">
      <c r="B22" s="24" t="s">
        <v>771</v>
      </c>
      <c r="C22" s="24" t="s">
        <v>762</v>
      </c>
      <c r="D22" s="24" t="s">
        <v>772</v>
      </c>
      <c r="E22" s="25" t="s">
        <v>25</v>
      </c>
      <c r="F22" s="25">
        <v>500</v>
      </c>
      <c r="G22" s="24" t="s">
        <v>771</v>
      </c>
      <c r="H22" s="24">
        <v>0</v>
      </c>
      <c r="I22" s="24" t="s">
        <v>773</v>
      </c>
      <c r="J22" s="25" t="s">
        <v>12</v>
      </c>
      <c r="K22" s="30">
        <v>32</v>
      </c>
      <c r="L22" s="25" t="s">
        <v>20</v>
      </c>
    </row>
    <row r="23" spans="2:12" ht="27.95" customHeight="1">
      <c r="B23" s="24" t="s">
        <v>774</v>
      </c>
      <c r="C23" s="24" t="s">
        <v>762</v>
      </c>
      <c r="D23" s="24" t="s">
        <v>775</v>
      </c>
      <c r="E23" s="25" t="s">
        <v>25</v>
      </c>
      <c r="F23" s="25">
        <v>650</v>
      </c>
      <c r="G23" s="24" t="s">
        <v>774</v>
      </c>
      <c r="H23" s="24">
        <v>0</v>
      </c>
      <c r="I23" s="24" t="s">
        <v>776</v>
      </c>
      <c r="J23" s="25" t="s">
        <v>16</v>
      </c>
      <c r="K23" s="30">
        <v>24</v>
      </c>
      <c r="L23" s="25" t="s">
        <v>20</v>
      </c>
    </row>
    <row r="24" spans="2:12" ht="27.95" customHeight="1">
      <c r="B24" s="24" t="s">
        <v>777</v>
      </c>
      <c r="C24" s="24" t="s">
        <v>762</v>
      </c>
      <c r="D24" s="24" t="s">
        <v>778</v>
      </c>
      <c r="E24" s="25" t="s">
        <v>25</v>
      </c>
      <c r="F24" s="25">
        <v>850</v>
      </c>
      <c r="G24" s="24" t="s">
        <v>777</v>
      </c>
      <c r="H24" s="24">
        <v>0</v>
      </c>
      <c r="I24" s="24" t="s">
        <v>779</v>
      </c>
      <c r="J24" s="25" t="s">
        <v>23</v>
      </c>
      <c r="K24" s="30">
        <v>40</v>
      </c>
      <c r="L24" s="25" t="s">
        <v>20</v>
      </c>
    </row>
    <row r="25" spans="2:12" ht="27.95" customHeight="1">
      <c r="B25" s="24" t="s">
        <v>780</v>
      </c>
      <c r="C25" s="24" t="s">
        <v>762</v>
      </c>
      <c r="D25" s="24" t="s">
        <v>781</v>
      </c>
      <c r="E25" s="25" t="s">
        <v>25</v>
      </c>
      <c r="F25" s="25">
        <v>750</v>
      </c>
      <c r="G25" s="24" t="s">
        <v>780</v>
      </c>
      <c r="H25" s="24">
        <v>0</v>
      </c>
      <c r="I25" s="24" t="s">
        <v>782</v>
      </c>
      <c r="J25" s="25" t="s">
        <v>128</v>
      </c>
      <c r="K25" s="30">
        <v>32</v>
      </c>
      <c r="L25" s="25" t="s">
        <v>20</v>
      </c>
    </row>
    <row r="26" spans="2:12" ht="27.95" customHeight="1">
      <c r="B26" s="24" t="s">
        <v>783</v>
      </c>
      <c r="C26" s="24" t="s">
        <v>762</v>
      </c>
      <c r="D26" s="24" t="s">
        <v>784</v>
      </c>
      <c r="E26" s="25" t="s">
        <v>25</v>
      </c>
      <c r="F26" s="25">
        <v>1000</v>
      </c>
      <c r="G26" s="24" t="s">
        <v>783</v>
      </c>
      <c r="H26" s="24">
        <v>0</v>
      </c>
      <c r="I26" s="24" t="s">
        <v>785</v>
      </c>
      <c r="J26" s="25" t="s">
        <v>12</v>
      </c>
      <c r="K26" s="30">
        <v>48</v>
      </c>
      <c r="L26" s="25" t="s">
        <v>20</v>
      </c>
    </row>
  </sheetData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13</vt:i4>
      </vt:variant>
    </vt:vector>
  </HeadingPairs>
  <TitlesOfParts>
    <vt:vector size="13" baseType="lpstr">
      <vt:lpstr>업그레이드</vt:lpstr>
      <vt:lpstr>스킨</vt:lpstr>
      <vt:lpstr>보너스</vt:lpstr>
      <vt:lpstr>몬스터</vt:lpstr>
      <vt:lpstr>패턴</vt:lpstr>
      <vt:lpstr>패턴목록</vt:lpstr>
      <vt:lpstr>환경 변수</vt:lpstr>
      <vt:lpstr>몬스터 성장</vt:lpstr>
      <vt:lpstr>적 배치</vt:lpstr>
      <vt:lpstr>보너스 배치</vt:lpstr>
      <vt:lpstr>기믹 배치</vt:lpstr>
      <vt:lpstr>밸런스 조정</vt:lpstr>
      <vt:lpstr>커스터마이징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ljh</cp:lastModifiedBy>
  <dcterms:modified xsi:type="dcterms:W3CDTF">2026-09-20T16:22:37Z</dcterms:modified>
</cp:coreProperties>
</file>