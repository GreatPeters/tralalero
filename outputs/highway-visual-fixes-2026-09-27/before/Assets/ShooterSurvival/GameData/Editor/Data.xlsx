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<sst xmlns="http://schemas.openxmlformats.org/spreadsheetml/2006/main" count="5031" uniqueCount="786">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</sst>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1:Y187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  <row r="35">
      <c r="B35" t="inlineStr">
        <is>
          <t>hwy2_length</t>
        </is>
      </c>
      <c r="C35" t="inlineStr">
        <is>
          <t>float</t>
        </is>
      </c>
      <c r="D35">
        <f>'밸런스 조정'!C119</f>
        <v>2340</v>
      </c>
      <c r="E35">
        <v>0</v>
      </c>
      <c r="F35">
        <v>0</v>
      </c>
    </row>
    <row r="36">
      <c r="B36" t="inlineStr">
        <is>
          <t>hwy2_runSpeed</t>
        </is>
      </c>
      <c r="C36" t="inlineStr">
        <is>
          <t>float</t>
        </is>
      </c>
      <c r="D36">
        <f>'밸런스 조정'!C120</f>
        <v>7.8</v>
      </c>
      <c r="E36">
        <v>0</v>
      </c>
      <c r="F36">
        <v>0</v>
      </c>
    </row>
    <row r="37">
      <c r="B37" t="inlineStr">
        <is>
          <t>hwy2_laneWidth</t>
        </is>
      </c>
      <c r="C37" t="inlineStr">
        <is>
          <t>float</t>
        </is>
      </c>
      <c r="D37">
        <f>'밸런스 조정'!C121</f>
        <v>4.4</v>
      </c>
      <c r="E37">
        <v>0</v>
      </c>
      <c r="F37">
        <v>0</v>
      </c>
    </row>
    <row r="38">
      <c r="B38" t="inlineStr">
        <is>
          <t>hwy2_sharkScale</t>
        </is>
      </c>
      <c r="C38" t="inlineStr">
        <is>
          <t>float</t>
        </is>
      </c>
      <c r="D38">
        <f>'밸런스 조정'!C122</f>
        <v>0.8</v>
      </c>
      <c r="E38">
        <v>0</v>
      </c>
      <c r="F38">
        <v>0</v>
      </c>
    </row>
    <row r="39">
      <c r="B39" t="inlineStr">
        <is>
          <t>hwy2_cameraScale</t>
        </is>
      </c>
      <c r="C39" t="inlineStr">
        <is>
          <t>float</t>
        </is>
      </c>
      <c r="D39">
        <f>'밸런스 조정'!C123</f>
        <v>1.15</v>
      </c>
      <c r="E39">
        <v>0</v>
      </c>
      <c r="F39">
        <v>0</v>
      </c>
    </row>
    <row r="40">
      <c r="B40" t="inlineStr">
        <is>
          <t>hwy2_medianWidth</t>
        </is>
      </c>
      <c r="C40" t="inlineStr">
        <is>
          <t>float</t>
        </is>
      </c>
      <c r="D40">
        <f>'밸런스 조정'!C124</f>
        <v>0.84</v>
      </c>
      <c r="E40">
        <v>0</v>
      </c>
      <c r="F40">
        <v>0</v>
      </c>
    </row>
    <row r="41">
      <c r="B41" t="inlineStr">
        <is>
          <t>hwy2_medianHeight</t>
        </is>
      </c>
      <c r="C41" t="inlineStr">
        <is>
          <t>float</t>
        </is>
      </c>
      <c r="D41">
        <f>'밸런스 조정'!C125</f>
        <v>1</v>
      </c>
      <c r="E41">
        <v>0</v>
      </c>
      <c r="F41">
        <v>0</v>
      </c>
    </row>
    <row r="42">
      <c r="B42" t="inlineStr">
        <is>
          <t>hwy2_medianShoulder</t>
        </is>
      </c>
      <c r="C42" t="inlineStr">
        <is>
          <t>float</t>
        </is>
      </c>
      <c r="D42">
        <f>'밸런스 조정'!C126</f>
        <v>0.6</v>
      </c>
      <c r="E42">
        <v>0</v>
      </c>
      <c r="F42">
        <v>0</v>
      </c>
    </row>
    <row r="43">
      <c r="B43" t="inlineStr">
        <is>
          <t>hwy2_outerShoulder</t>
        </is>
      </c>
      <c r="C43" t="inlineStr">
        <is>
          <t>float</t>
        </is>
      </c>
      <c r="D43">
        <f>'밸런스 조정'!C127</f>
        <v>2</v>
      </c>
      <c r="E43">
        <v>0</v>
      </c>
      <c r="F43">
        <v>0</v>
      </c>
    </row>
    <row r="44">
      <c r="B44" t="inlineStr">
        <is>
          <t>hwy2_dashPaint</t>
        </is>
      </c>
      <c r="C44" t="inlineStr">
        <is>
          <t>float</t>
        </is>
      </c>
      <c r="D44">
        <f>'밸런스 조정'!C128</f>
        <v>8</v>
      </c>
      <c r="E44">
        <v>0</v>
      </c>
      <c r="F44">
        <v>0</v>
      </c>
    </row>
    <row r="45">
      <c r="B45" t="inlineStr">
        <is>
          <t>hwy2_dashGap</t>
        </is>
      </c>
      <c r="C45" t="inlineStr">
        <is>
          <t>float</t>
        </is>
      </c>
      <c r="D45">
        <f>'밸런스 조정'!C129</f>
        <v>12</v>
      </c>
      <c r="E45">
        <v>0</v>
      </c>
      <c r="F45">
        <v>0</v>
      </c>
    </row>
    <row r="46">
      <c r="B46" t="inlineStr">
        <is>
          <t>hwy2_paintWidth</t>
        </is>
      </c>
      <c r="C46" t="inlineStr">
        <is>
          <t>float</t>
        </is>
      </c>
      <c r="D46">
        <f>'밸런스 조정'!C130</f>
        <v>0.15</v>
      </c>
      <c r="E46">
        <v>0</v>
      </c>
      <c r="F46">
        <v>0</v>
      </c>
    </row>
    <row r="47">
      <c r="B47" t="inlineStr">
        <is>
          <t>hwy2_meshStep</t>
        </is>
      </c>
      <c r="C47" t="inlineStr">
        <is>
          <t>float</t>
        </is>
      </c>
      <c r="D47">
        <f>'밸런스 조정'!C131</f>
        <v>2</v>
      </c>
      <c r="E47">
        <v>0</v>
      </c>
      <c r="F47">
        <v>0</v>
      </c>
    </row>
    <row r="48">
      <c r="B48" t="inlineStr">
        <is>
          <t>hwy2_meshSegment</t>
        </is>
      </c>
      <c r="C48" t="inlineStr">
        <is>
          <t>float</t>
        </is>
      </c>
      <c r="D48">
        <f>'밸런스 조정'!C132</f>
        <v>40</v>
      </c>
      <c r="E48">
        <v>0</v>
      </c>
      <c r="F48">
        <v>0</v>
      </c>
    </row>
    <row r="49">
      <c r="B49" t="inlineStr">
        <is>
          <t>hwy2_forkAt</t>
        </is>
      </c>
      <c r="C49" t="inlineStr">
        <is>
          <t>float</t>
        </is>
      </c>
      <c r="D49">
        <f>'밸런스 조정'!C133</f>
        <v>468</v>
      </c>
      <c r="E49">
        <v>0</v>
      </c>
      <c r="F49">
        <v>0</v>
      </c>
    </row>
    <row r="50">
      <c r="B50" t="inlineStr">
        <is>
          <t>hwy2_mergeAt</t>
        </is>
      </c>
      <c r="C50" t="inlineStr">
        <is>
          <t>float</t>
        </is>
      </c>
      <c r="D50">
        <f>'밸런스 조정'!C134</f>
        <v>1170</v>
      </c>
      <c r="E50">
        <v>0</v>
      </c>
      <c r="F50">
        <v>0</v>
      </c>
    </row>
    <row r="51">
      <c r="B51" t="inlineStr">
        <is>
          <t>hwy2_branchOffset</t>
        </is>
      </c>
      <c r="C51" t="inlineStr">
        <is>
          <t>float</t>
        </is>
      </c>
      <c r="D51">
        <f>'밸런스 조정'!C135</f>
        <v>36</v>
      </c>
      <c r="E51">
        <v>0</v>
      </c>
      <c r="F51">
        <v>0</v>
      </c>
    </row>
    <row r="52">
      <c r="B52" t="inlineStr">
        <is>
          <t>hwy2_tollAt</t>
        </is>
      </c>
      <c r="C52" t="inlineStr">
        <is>
          <t>float</t>
        </is>
      </c>
      <c r="D52">
        <f>'밸런스 조정'!C136</f>
        <v>1950</v>
      </c>
      <c r="E52">
        <v>0</v>
      </c>
      <c r="F52">
        <v>0</v>
      </c>
    </row>
    <row r="53">
      <c r="B53" t="inlineStr">
        <is>
          <t>hwy2_tollMerge</t>
        </is>
      </c>
      <c r="C53" t="inlineStr">
        <is>
          <t>float</t>
        </is>
      </c>
      <c r="D53">
        <f>'밸런스 조정'!C137</f>
        <v>2320</v>
      </c>
      <c r="E53">
        <v>0</v>
      </c>
      <c r="F53">
        <v>0</v>
      </c>
    </row>
    <row r="54">
      <c r="B54" t="inlineStr">
        <is>
          <t>hwy2_tollBranchOffset</t>
        </is>
      </c>
      <c r="C54" t="inlineStr">
        <is>
          <t>float</t>
        </is>
      </c>
      <c r="D54">
        <f>'밸런스 조정'!C138</f>
        <v>18</v>
      </c>
      <c r="E54">
        <v>0</v>
      </c>
      <c r="F54">
        <v>0</v>
      </c>
    </row>
    <row r="55">
      <c r="B55" t="inlineStr">
        <is>
          <t>hwy2_popupAhead</t>
        </is>
      </c>
      <c r="C55" t="inlineStr">
        <is>
          <t>float</t>
        </is>
      </c>
      <c r="D55">
        <f>'밸런스 조정'!C139</f>
        <v>60</v>
      </c>
      <c r="E55">
        <v>0</v>
      </c>
      <c r="F55">
        <v>0</v>
      </c>
    </row>
    <row r="56">
      <c r="B56" t="inlineStr">
        <is>
          <t>hwy2_popupSeconds</t>
        </is>
      </c>
      <c r="C56" t="inlineStr">
        <is>
          <t>float</t>
        </is>
      </c>
      <c r="D56">
        <f>'밸런스 조정'!C140</f>
        <v>5</v>
      </c>
      <c r="E56">
        <v>0</v>
      </c>
      <c r="F56">
        <v>0</v>
      </c>
    </row>
    <row r="57">
      <c r="B57" t="inlineStr">
        <is>
          <t>hwy2_popupSlow</t>
        </is>
      </c>
      <c r="C57" t="inlineStr">
        <is>
          <t>float</t>
        </is>
      </c>
      <c r="D57">
        <f>'밸런스 조정'!C141</f>
        <v>0.2</v>
      </c>
      <c r="E57">
        <v>0</v>
      </c>
      <c r="F57">
        <v>0</v>
      </c>
    </row>
    <row r="58">
      <c r="B58" t="inlineStr">
        <is>
          <t>hwy2_popupQuiet</t>
        </is>
      </c>
      <c r="C58" t="inlineStr">
        <is>
          <t>float</t>
        </is>
      </c>
      <c r="D58">
        <f>'밸런스 조정'!C142</f>
        <v>40</v>
      </c>
      <c r="E58">
        <v>0</v>
      </c>
      <c r="F58">
        <v>0</v>
      </c>
    </row>
    <row r="59">
      <c r="B59" t="inlineStr">
        <is>
          <t>hwy2_separation</t>
        </is>
      </c>
      <c r="C59" t="inlineStr">
        <is>
          <t>float</t>
        </is>
      </c>
      <c r="D59">
        <f>'밸런스 조정'!C143</f>
        <v>23</v>
      </c>
      <c r="E59">
        <v>0</v>
      </c>
      <c r="F59">
        <v>0</v>
      </c>
    </row>
    <row r="60">
      <c r="B60" t="inlineStr">
        <is>
          <t>hwy2_accidentQuietSeconds</t>
        </is>
      </c>
      <c r="C60" t="inlineStr">
        <is>
          <t>float</t>
        </is>
      </c>
      <c r="D60">
        <f>'밸런스 조정'!C144</f>
        <v>8</v>
      </c>
      <c r="E60">
        <v>0</v>
      </c>
      <c r="F60">
        <v>0</v>
      </c>
    </row>
    <row r="61">
      <c r="B61" t="inlineStr">
        <is>
          <t>hwy2_hpSedan</t>
        </is>
      </c>
      <c r="C61" t="inlineStr">
        <is>
          <t>float</t>
        </is>
      </c>
      <c r="D61">
        <f>'밸런스 조정'!C145</f>
        <v>1</v>
      </c>
      <c r="E61">
        <v>0</v>
      </c>
      <c r="F61">
        <v>0</v>
      </c>
    </row>
    <row r="62">
      <c r="B62" t="inlineStr">
        <is>
          <t>hwy2_hpTaxi</t>
        </is>
      </c>
      <c r="C62" t="inlineStr">
        <is>
          <t>float</t>
        </is>
      </c>
      <c r="D62">
        <f>'밸런스 조정'!C146</f>
        <v>1</v>
      </c>
      <c r="E62">
        <v>0</v>
      </c>
      <c r="F62">
        <v>0</v>
      </c>
    </row>
    <row r="63">
      <c r="B63" t="inlineStr">
        <is>
          <t>hwy2_hpOneTon</t>
        </is>
      </c>
      <c r="C63" t="inlineStr">
        <is>
          <t>float</t>
        </is>
      </c>
      <c r="D63">
        <f>'밸런스 조정'!C147</f>
        <v>1.3</v>
      </c>
      <c r="E63">
        <v>0</v>
      </c>
      <c r="F63">
        <v>0</v>
      </c>
    </row>
    <row r="64">
      <c r="B64" t="inlineStr">
        <is>
          <t>hwy2_hpBox</t>
        </is>
      </c>
      <c r="C64" t="inlineStr">
        <is>
          <t>float</t>
        </is>
      </c>
      <c r="D64">
        <f>'밸런스 조정'!C148</f>
        <v>1.6</v>
      </c>
      <c r="E64">
        <v>0</v>
      </c>
      <c r="F64">
        <v>0</v>
      </c>
    </row>
    <row r="65">
      <c r="B65" t="inlineStr">
        <is>
          <t>hwy2_hpTanker</t>
        </is>
      </c>
      <c r="C65" t="inlineStr">
        <is>
          <t>float</t>
        </is>
      </c>
      <c r="D65">
        <f>'밸런스 조정'!C149</f>
        <v>2</v>
      </c>
      <c r="E65">
        <v>0</v>
      </c>
      <c r="F65">
        <v>0</v>
      </c>
    </row>
    <row r="66">
      <c r="B66" t="inlineStr">
        <is>
          <t>hwy2_hpBus</t>
        </is>
      </c>
      <c r="C66" t="inlineStr">
        <is>
          <t>float</t>
        </is>
      </c>
      <c r="D66">
        <f>'밸런스 조정'!C150</f>
        <v>3</v>
      </c>
      <c r="E66">
        <v>0</v>
      </c>
      <c r="F66">
        <v>0</v>
      </c>
    </row>
    <row r="67">
      <c r="B67" t="inlineStr">
        <is>
          <t>hwy2_hpPolice</t>
        </is>
      </c>
      <c r="C67" t="inlineStr">
        <is>
          <t>float</t>
        </is>
      </c>
      <c r="D67">
        <f>'밸런스 조정'!C151</f>
        <v>1.2</v>
      </c>
      <c r="E67">
        <v>0</v>
      </c>
      <c r="F67">
        <v>0</v>
      </c>
    </row>
    <row r="68">
      <c r="B68" t="inlineStr">
        <is>
          <t>hwy2_hpTow</t>
        </is>
      </c>
      <c r="C68" t="inlineStr">
        <is>
          <t>float</t>
        </is>
      </c>
      <c r="D68">
        <f>'밸런스 조정'!C152</f>
        <v>1.2</v>
      </c>
      <c r="E68">
        <v>0</v>
      </c>
      <c r="F68">
        <v>0</v>
      </c>
    </row>
    <row r="69">
      <c r="B69" t="inlineStr">
        <is>
          <t>hwy2_hpAccident</t>
        </is>
      </c>
      <c r="C69" t="inlineStr">
        <is>
          <t>float</t>
        </is>
      </c>
      <c r="D69">
        <f>'밸런스 조정'!C153</f>
        <v>2.5</v>
      </c>
      <c r="E69">
        <v>0</v>
      </c>
      <c r="F69">
        <v>0</v>
      </c>
    </row>
    <row r="70">
      <c r="B70" t="inlineStr">
        <is>
          <t>hwy2_targetDps</t>
        </is>
      </c>
      <c r="C70" t="inlineStr">
        <is>
          <t>float</t>
        </is>
      </c>
      <c r="D70">
        <f>'밸런스 조정'!C154</f>
        <v>64</v>
      </c>
      <c r="E70">
        <v>0</v>
      </c>
      <c r="F70">
        <v>0</v>
      </c>
    </row>
    <row r="71">
      <c r="B71" t="inlineStr">
        <is>
          <t>hwy2_healthSeconds</t>
        </is>
      </c>
      <c r="C71" t="inlineStr">
        <is>
          <t>float</t>
        </is>
      </c>
      <c r="D71">
        <f>'밸런스 조정'!C155</f>
        <v>3.8</v>
      </c>
      <c r="E71">
        <v>0</v>
      </c>
      <c r="F71">
        <v>0</v>
      </c>
    </row>
    <row r="72">
      <c r="B72" t="inlineStr">
        <is>
          <t>hwy2_coinBase</t>
        </is>
      </c>
      <c r="C72" t="inlineStr">
        <is>
          <t>float</t>
        </is>
      </c>
      <c r="D72">
        <f>'밸런스 조정'!C156</f>
        <v>62</v>
      </c>
      <c r="E72">
        <v>0</v>
      </c>
      <c r="F72">
        <v>0</v>
      </c>
    </row>
    <row r="73">
      <c r="B73" t="inlineStr">
        <is>
          <t>hwy2_jamCoin</t>
        </is>
      </c>
      <c r="C73" t="inlineStr">
        <is>
          <t>float</t>
        </is>
      </c>
      <c r="D73">
        <f>'밸런스 조정'!C157</f>
        <v>1.5</v>
      </c>
      <c r="E73">
        <v>0</v>
      </c>
      <c r="F73">
        <v>0</v>
      </c>
    </row>
    <row r="74">
      <c r="B74" t="inlineStr">
        <is>
          <t>hwy2_openCoin</t>
        </is>
      </c>
      <c r="C74" t="inlineStr">
        <is>
          <t>float</t>
        </is>
      </c>
      <c r="D74">
        <f>'밸런스 조정'!C158</f>
        <v>0.8</v>
      </c>
      <c r="E74">
        <v>0</v>
      </c>
      <c r="F74">
        <v>0</v>
      </c>
    </row>
    <row r="75">
      <c r="B75" t="inlineStr">
        <is>
          <t>hwy2_jamMinSpeed</t>
        </is>
      </c>
      <c r="C75" t="inlineStr">
        <is>
          <t>float</t>
        </is>
      </c>
      <c r="D75">
        <f>'밸런스 조정'!C159</f>
        <v>3</v>
      </c>
      <c r="E75">
        <v>0</v>
      </c>
      <c r="F75">
        <v>0</v>
      </c>
    </row>
    <row r="76">
      <c r="B76" t="inlineStr">
        <is>
          <t>hwy2_jamMaxSpeed</t>
        </is>
      </c>
      <c r="C76" t="inlineStr">
        <is>
          <t>float</t>
        </is>
      </c>
      <c r="D76">
        <f>'밸런스 조정'!C160</f>
        <v>5</v>
      </c>
      <c r="E76">
        <v>0</v>
      </c>
      <c r="F76">
        <v>0</v>
      </c>
    </row>
    <row r="77">
      <c r="B77" t="inlineStr">
        <is>
          <t>hwy2_jamGapMin</t>
        </is>
      </c>
      <c r="C77" t="inlineStr">
        <is>
          <t>float</t>
        </is>
      </c>
      <c r="D77">
        <f>'밸런스 조정'!C161</f>
        <v>20</v>
      </c>
      <c r="E77">
        <v>0</v>
      </c>
      <c r="F77">
        <v>0</v>
      </c>
    </row>
    <row r="78">
      <c r="B78" t="inlineStr">
        <is>
          <t>hwy2_jamGapMax</t>
        </is>
      </c>
      <c r="C78" t="inlineStr">
        <is>
          <t>float</t>
        </is>
      </c>
      <c r="D78">
        <f>'밸런스 조정'!C162</f>
        <v>25</v>
      </c>
      <c r="E78">
        <v>0</v>
      </c>
      <c r="F78">
        <v>0</v>
      </c>
    </row>
    <row r="79">
      <c r="B79" t="inlineStr">
        <is>
          <t>hwy2_openMinSpeed</t>
        </is>
      </c>
      <c r="C79" t="inlineStr">
        <is>
          <t>float</t>
        </is>
      </c>
      <c r="D79">
        <f>'밸런스 조정'!C163</f>
        <v>22</v>
      </c>
      <c r="E79">
        <v>0</v>
      </c>
      <c r="F79">
        <v>0</v>
      </c>
    </row>
    <row r="80">
      <c r="B80" t="inlineStr">
        <is>
          <t>hwy2_openMaxSpeed</t>
        </is>
      </c>
      <c r="C80" t="inlineStr">
        <is>
          <t>float</t>
        </is>
      </c>
      <c r="D80">
        <f>'밸런스 조정'!C164</f>
        <v>26</v>
      </c>
      <c r="E80">
        <v>0</v>
      </c>
      <c r="F80">
        <v>0</v>
      </c>
    </row>
    <row r="81">
      <c r="B81" t="inlineStr">
        <is>
          <t>hwy2_openMinSeconds</t>
        </is>
      </c>
      <c r="C81" t="inlineStr">
        <is>
          <t>float</t>
        </is>
      </c>
      <c r="D81">
        <f>'밸런스 조정'!C165</f>
        <v>3</v>
      </c>
      <c r="E81">
        <v>0</v>
      </c>
      <c r="F81">
        <v>0</v>
      </c>
    </row>
    <row r="82">
      <c r="B82" t="inlineStr">
        <is>
          <t>hwy2_openMaxSeconds</t>
        </is>
      </c>
      <c r="C82" t="inlineStr">
        <is>
          <t>float</t>
        </is>
      </c>
      <c r="D82">
        <f>'밸런스 조정'!C166</f>
        <v>5</v>
      </c>
      <c r="E82">
        <v>0</v>
      </c>
      <c r="F82">
        <v>0</v>
      </c>
    </row>
    <row r="83">
      <c r="B83" t="inlineStr">
        <is>
          <t>hwy2_normalSpeed</t>
        </is>
      </c>
      <c r="C83" t="inlineStr">
        <is>
          <t>float</t>
        </is>
      </c>
      <c r="D83">
        <f>'밸런스 조정'!C167</f>
        <v>12</v>
      </c>
      <c r="E83">
        <v>0</v>
      </c>
      <c r="F83">
        <v>0</v>
      </c>
    </row>
    <row r="84">
      <c r="B84" t="inlineStr">
        <is>
          <t>hwy2_swarmSpeed</t>
        </is>
      </c>
      <c r="C84" t="inlineStr">
        <is>
          <t>float</t>
        </is>
      </c>
      <c r="D84">
        <f>'밸런스 조정'!C168</f>
        <v>18</v>
      </c>
      <c r="E84">
        <v>0</v>
      </c>
      <c r="F84">
        <v>0</v>
      </c>
    </row>
    <row r="85">
      <c r="B85" t="inlineStr">
        <is>
          <t>hwy2_swarmCount</t>
        </is>
      </c>
      <c r="C85" t="inlineStr">
        <is>
          <t>float</t>
        </is>
      </c>
      <c r="D85">
        <f>'밸런스 조정'!C169</f>
        <v>8</v>
      </c>
      <c r="E85">
        <v>0</v>
      </c>
      <c r="F85">
        <v>0</v>
      </c>
    </row>
    <row r="86">
      <c r="B86" t="inlineStr">
        <is>
          <t>hwy2_swarmSpacing</t>
        </is>
      </c>
      <c r="C86" t="inlineStr">
        <is>
          <t>float</t>
        </is>
      </c>
      <c r="D86">
        <f>'밸런스 조정'!C170</f>
        <v>14</v>
      </c>
      <c r="E86">
        <v>0</v>
      </c>
      <c r="F86">
        <v>0</v>
      </c>
    </row>
    <row r="87">
      <c r="B87" t="inlineStr">
        <is>
          <t>hwy2_vehicleWidth</t>
        </is>
      </c>
      <c r="C87" t="inlineStr">
        <is>
          <t>float</t>
        </is>
      </c>
      <c r="D87">
        <f>'밸런스 조정'!C171</f>
        <v>3.4</v>
      </c>
      <c r="E87">
        <v>0</v>
      </c>
      <c r="F87">
        <v>0</v>
      </c>
    </row>
    <row r="88">
      <c r="B88" t="inlineStr">
        <is>
          <t>hwy2_truckWidth</t>
        </is>
      </c>
      <c r="C88" t="inlineStr">
        <is>
          <t>float</t>
        </is>
      </c>
      <c r="D88">
        <f>'밸런스 조정'!C172</f>
        <v>3.7</v>
      </c>
      <c r="E88">
        <v>0</v>
      </c>
      <c r="F88">
        <v>0</v>
      </c>
    </row>
    <row r="89">
      <c r="B89" t="inlineStr">
        <is>
          <t>hwy2_busWidth</t>
        </is>
      </c>
      <c r="C89" t="inlineStr">
        <is>
          <t>float</t>
        </is>
      </c>
      <c r="D89">
        <f>'밸런스 조정'!C173</f>
        <v>7.6</v>
      </c>
      <c r="E89">
        <v>0</v>
      </c>
      <c r="F89">
        <v>0</v>
      </c>
    </row>
    <row r="90">
      <c r="B90" t="inlineStr">
        <is>
          <t>hwy2_followGap</t>
        </is>
      </c>
      <c r="C90" t="inlineStr">
        <is>
          <t>float</t>
        </is>
      </c>
      <c r="D90">
        <f>'밸런스 조정'!C174</f>
        <v>3</v>
      </c>
      <c r="E90">
        <v>0</v>
      </c>
      <c r="F90">
        <v>0</v>
      </c>
    </row>
    <row r="91">
      <c r="B91" t="inlineStr">
        <is>
          <t>hwy2_spawnAhead</t>
        </is>
      </c>
      <c r="C91" t="inlineStr">
        <is>
          <t>float</t>
        </is>
      </c>
      <c r="D91">
        <f>'밸런스 조정'!C175</f>
        <v>82</v>
      </c>
      <c r="E91">
        <v>0</v>
      </c>
      <c r="F91">
        <v>0</v>
      </c>
    </row>
    <row r="92">
      <c r="B92" t="inlineStr">
        <is>
          <t>hwy2_arrivalWindow</t>
        </is>
      </c>
      <c r="C92" t="inlineStr">
        <is>
          <t>float</t>
        </is>
      </c>
      <c r="D92">
        <f>'밸런스 조정'!C176</f>
        <v>1.5</v>
      </c>
      <c r="E92">
        <v>0</v>
      </c>
      <c r="F92">
        <v>0</v>
      </c>
    </row>
    <row r="93">
      <c r="B93" t="inlineStr">
        <is>
          <t>hwy2_playerRadius</t>
        </is>
      </c>
      <c r="C93" t="inlineStr">
        <is>
          <t>float</t>
        </is>
      </c>
      <c r="D93">
        <f>'밸런스 조정'!C177</f>
        <v>0.7</v>
      </c>
      <c r="E93">
        <v>0</v>
      </c>
      <c r="F93">
        <v>0</v>
      </c>
    </row>
    <row r="94">
      <c r="B94" t="inlineStr">
        <is>
          <t>hwy2_fastDamage</t>
        </is>
      </c>
      <c r="C94" t="inlineStr">
        <is>
          <t>float</t>
        </is>
      </c>
      <c r="D94">
        <f>'밸런스 조정'!C178</f>
        <v>0.25</v>
      </c>
      <c r="E94">
        <v>0</v>
      </c>
      <c r="F94">
        <v>0</v>
      </c>
    </row>
    <row r="95">
      <c r="B95" t="inlineStr">
        <is>
          <t>hwy2_trafficVisibleAhead</t>
        </is>
      </c>
      <c r="C95" t="inlineStr">
        <is>
          <t>float</t>
        </is>
      </c>
      <c r="D95">
        <f>'밸런스 조정'!C179</f>
        <v>150</v>
      </c>
      <c r="E95">
        <v>0</v>
      </c>
      <c r="F95">
        <v>0</v>
      </c>
    </row>
    <row r="96">
      <c r="B96" t="inlineStr">
        <is>
          <t>hwy2_trafficRecycleBehind</t>
        </is>
      </c>
      <c r="C96" t="inlineStr">
        <is>
          <t>float</t>
        </is>
      </c>
      <c r="D96">
        <f>'밸런스 조정'!C180</f>
        <v>24</v>
      </c>
      <c r="E96">
        <v>0</v>
      </c>
      <c r="F96">
        <v>0</v>
      </c>
    </row>
    <row r="97">
      <c r="B97" t="inlineStr">
        <is>
          <t>hwy2_oppositeSpeed</t>
        </is>
      </c>
      <c r="C97" t="inlineStr">
        <is>
          <t>float</t>
        </is>
      </c>
      <c r="D97">
        <f>'밸런스 조정'!C181</f>
        <v>19</v>
      </c>
      <c r="E97">
        <v>0</v>
      </c>
      <c r="F97">
        <v>0</v>
      </c>
    </row>
    <row r="98">
      <c r="B98" t="inlineStr">
        <is>
          <t>hwy2_oppositeGap</t>
        </is>
      </c>
      <c r="C98" t="inlineStr">
        <is>
          <t>float</t>
        </is>
      </c>
      <c r="D98">
        <f>'밸런스 조정'!C182</f>
        <v>28</v>
      </c>
      <c r="E98">
        <v>0</v>
      </c>
      <c r="F98">
        <v>0</v>
      </c>
    </row>
    <row r="99">
      <c r="B99" t="inlineStr">
        <is>
          <t>hwy2_oppositeCount</t>
        </is>
      </c>
      <c r="C99" t="inlineStr">
        <is>
          <t>float</t>
        </is>
      </c>
      <c r="D99">
        <f>'밸런스 조정'!C183</f>
        <v>18</v>
      </c>
      <c r="E99">
        <v>0</v>
      </c>
      <c r="F99">
        <v>0</v>
      </c>
    </row>
    <row r="100">
      <c r="B100" t="inlineStr">
        <is>
          <t>hwy2_crash1</t>
        </is>
      </c>
      <c r="C100" t="inlineStr">
        <is>
          <t>float</t>
        </is>
      </c>
      <c r="D100">
        <f>'밸런스 조정'!C184</f>
        <v>234</v>
      </c>
      <c r="E100">
        <v>0</v>
      </c>
      <c r="F100">
        <v>0</v>
      </c>
    </row>
    <row r="101">
      <c r="B101" t="inlineStr">
        <is>
          <t>hwy2_crash2</t>
        </is>
      </c>
      <c r="C101" t="inlineStr">
        <is>
          <t>float</t>
        </is>
      </c>
      <c r="D101">
        <f>'밸런스 조정'!C185</f>
        <v>610</v>
      </c>
      <c r="E101">
        <v>0</v>
      </c>
      <c r="F101">
        <v>0</v>
      </c>
    </row>
    <row r="102">
      <c r="B102" t="inlineStr">
        <is>
          <t>hwy2_crash3</t>
        </is>
      </c>
      <c r="C102" t="inlineStr">
        <is>
          <t>float</t>
        </is>
      </c>
      <c r="D102">
        <f>'밸런스 조정'!C186</f>
        <v>945</v>
      </c>
      <c r="E102">
        <v>0</v>
      </c>
      <c r="F102">
        <v>0</v>
      </c>
    </row>
    <row r="103">
      <c r="B103" t="inlineStr">
        <is>
          <t>hwy2_crash4</t>
        </is>
      </c>
      <c r="C103" t="inlineStr">
        <is>
          <t>float</t>
        </is>
      </c>
      <c r="D103">
        <f>'밸런스 조정'!C187</f>
        <v>1248</v>
      </c>
      <c r="E103">
        <v>0</v>
      </c>
      <c r="F103">
        <v>0</v>
      </c>
    </row>
    <row r="104">
      <c r="B104" t="inlineStr">
        <is>
          <t>hwy2_crashLead</t>
        </is>
      </c>
      <c r="C104" t="inlineStr">
        <is>
          <t>float</t>
        </is>
      </c>
      <c r="D104">
        <f>'밸런스 조정'!C188</f>
        <v>40</v>
      </c>
      <c r="E104">
        <v>0</v>
      </c>
      <c r="F104">
        <v>0</v>
      </c>
    </row>
    <row r="105">
      <c r="B105" t="inlineStr">
        <is>
          <t>hwy2_crashTail</t>
        </is>
      </c>
      <c r="C105" t="inlineStr">
        <is>
          <t>float</t>
        </is>
      </c>
      <c r="D105">
        <f>'밸런스 조정'!C189</f>
        <v>60</v>
      </c>
      <c r="E105">
        <v>0</v>
      </c>
      <c r="F105">
        <v>0</v>
      </c>
    </row>
    <row r="106">
      <c r="B106" t="inlineStr">
        <is>
          <t>hwy2_crashQueueGap</t>
        </is>
      </c>
      <c r="C106" t="inlineStr">
        <is>
          <t>float</t>
        </is>
      </c>
      <c r="D106">
        <f>'밸런스 조정'!C190</f>
        <v>18</v>
      </c>
      <c r="E106">
        <v>0</v>
      </c>
      <c r="F106">
        <v>0</v>
      </c>
    </row>
    <row r="107">
      <c r="B107" t="inlineStr">
        <is>
          <t>hwy2_swarmStart</t>
        </is>
      </c>
      <c r="C107" t="inlineStr">
        <is>
          <t>float</t>
        </is>
      </c>
      <c r="D107">
        <f>'밸런스 조정'!C191</f>
        <v>1345</v>
      </c>
      <c r="E107">
        <v>0</v>
      </c>
      <c r="F107">
        <v>0</v>
      </c>
    </row>
    <row r="108">
      <c r="B108" t="inlineStr">
        <is>
          <t>hwy2_swarmEnd</t>
        </is>
      </c>
      <c r="C108" t="inlineStr">
        <is>
          <t>float</t>
        </is>
      </c>
      <c r="D108">
        <f>'밸런스 조정'!C192</f>
        <v>1410</v>
      </c>
      <c r="E108">
        <v>0</v>
      </c>
      <c r="F108">
        <v>0</v>
      </c>
    </row>
    <row r="109">
      <c r="B109" t="inlineStr">
        <is>
          <t>hwy2_logStart</t>
        </is>
      </c>
      <c r="C109" t="inlineStr">
        <is>
          <t>float</t>
        </is>
      </c>
      <c r="D109">
        <f>'밸런스 조정'!C193</f>
        <v>1470</v>
      </c>
      <c r="E109">
        <v>0</v>
      </c>
      <c r="F109">
        <v>0</v>
      </c>
    </row>
    <row r="110">
      <c r="B110" t="inlineStr">
        <is>
          <t>hwy2_logEnd</t>
        </is>
      </c>
      <c r="C110" t="inlineStr">
        <is>
          <t>float</t>
        </is>
      </c>
      <c r="D110">
        <f>'밸런스 조정'!C194</f>
        <v>1545</v>
      </c>
      <c r="E110">
        <v>0</v>
      </c>
      <c r="F110">
        <v>0</v>
      </c>
    </row>
    <row r="111">
      <c r="B111" t="inlineStr">
        <is>
          <t>hwy2_logTruckSpeed</t>
        </is>
      </c>
      <c r="C111" t="inlineStr">
        <is>
          <t>float</t>
        </is>
      </c>
      <c r="D111">
        <f>'밸런스 조정'!C195</f>
        <v>21</v>
      </c>
      <c r="E111">
        <v>0</v>
      </c>
      <c r="F111">
        <v>0</v>
      </c>
    </row>
    <row r="112">
      <c r="B112" t="inlineStr">
        <is>
          <t>hwy2_logReleaseSeconds</t>
        </is>
      </c>
      <c r="C112" t="inlineStr">
        <is>
          <t>float</t>
        </is>
      </c>
      <c r="D112">
        <f>'밸런스 조정'!C196</f>
        <v>2</v>
      </c>
      <c r="E112">
        <v>0</v>
      </c>
      <c r="F112">
        <v>0</v>
      </c>
    </row>
    <row r="113">
      <c r="B113" t="inlineStr">
        <is>
          <t>hwy2_logSeconds</t>
        </is>
      </c>
      <c r="C113" t="inlineStr">
        <is>
          <t>float</t>
        </is>
      </c>
      <c r="D113">
        <f>'밸런스 조정'!C197</f>
        <v>6</v>
      </c>
      <c r="E113">
        <v>0</v>
      </c>
      <c r="F113">
        <v>0</v>
      </c>
    </row>
    <row r="114">
      <c r="B114" t="inlineStr">
        <is>
          <t>hwy2_logLength</t>
        </is>
      </c>
      <c r="C114" t="inlineStr">
        <is>
          <t>float</t>
        </is>
      </c>
      <c r="D114">
        <f>'밸런스 조정'!C271</f>
        <v>3.4</v>
      </c>
      <c r="E114">
        <v>0</v>
      </c>
      <c r="F114">
        <v>0</v>
      </c>
    </row>
    <row r="115">
      <c r="B115" t="inlineStr">
        <is>
          <t>hwy2_logSpeed</t>
        </is>
      </c>
      <c r="C115" t="inlineStr">
        <is>
          <t>float</t>
        </is>
      </c>
      <c r="D115">
        <f>'밸런스 조정'!C198</f>
        <v>12</v>
      </c>
      <c r="E115">
        <v>0</v>
      </c>
      <c r="F115">
        <v>0</v>
      </c>
    </row>
    <row r="116">
      <c r="B116" t="inlineStr">
        <is>
          <t>hwy2_logBounceHeight</t>
        </is>
      </c>
      <c r="C116" t="inlineStr">
        <is>
          <t>float</t>
        </is>
      </c>
      <c r="D116">
        <f>'밸런스 조정'!C199</f>
        <v>3.8</v>
      </c>
      <c r="E116">
        <v>0</v>
      </c>
      <c r="F116">
        <v>0</v>
      </c>
    </row>
    <row r="117">
      <c r="B117" t="inlineStr">
        <is>
          <t>hwy2_logRadius</t>
        </is>
      </c>
      <c r="C117" t="inlineStr">
        <is>
          <t>float</t>
        </is>
      </c>
      <c r="D117">
        <f>'밸런스 조정'!C200</f>
        <v>1.6</v>
      </c>
      <c r="E117">
        <v>0</v>
      </c>
      <c r="F117">
        <v>0</v>
      </c>
    </row>
    <row r="118">
      <c r="B118" t="inlineStr">
        <is>
          <t>hwy2_logDamage</t>
        </is>
      </c>
      <c r="C118" t="inlineStr">
        <is>
          <t>float</t>
        </is>
      </c>
      <c r="D118">
        <f>'밸런스 조정'!C201</f>
        <v>0.25</v>
      </c>
      <c r="E118">
        <v>0</v>
      </c>
      <c r="F118">
        <v>0</v>
      </c>
    </row>
    <row r="119">
      <c r="B119" t="inlineStr">
        <is>
          <t>hwy2_deerAt</t>
        </is>
      </c>
      <c r="C119" t="inlineStr">
        <is>
          <t>float</t>
        </is>
      </c>
      <c r="D119">
        <f>'밸런스 조정'!C202</f>
        <v>1610</v>
      </c>
      <c r="E119">
        <v>0</v>
      </c>
      <c r="F119">
        <v>0</v>
      </c>
    </row>
    <row r="120">
      <c r="B120" t="inlineStr">
        <is>
          <t>hwy2_deerLead</t>
        </is>
      </c>
      <c r="C120" t="inlineStr">
        <is>
          <t>float</t>
        </is>
      </c>
      <c r="D120">
        <f>'밸런스 조정'!C203</f>
        <v>30</v>
      </c>
      <c r="E120">
        <v>0</v>
      </c>
      <c r="F120">
        <v>0</v>
      </c>
    </row>
    <row r="121">
      <c r="B121" t="inlineStr">
        <is>
          <t>hwy2_deerTail</t>
        </is>
      </c>
      <c r="C121" t="inlineStr">
        <is>
          <t>float</t>
        </is>
      </c>
      <c r="D121">
        <f>'밸런스 조정'!C204</f>
        <v>20</v>
      </c>
      <c r="E121">
        <v>0</v>
      </c>
      <c r="F121">
        <v>0</v>
      </c>
    </row>
    <row r="122">
      <c r="B122" t="inlineStr">
        <is>
          <t>hwy2_deerDamage</t>
        </is>
      </c>
      <c r="C122" t="inlineStr">
        <is>
          <t>float</t>
        </is>
      </c>
      <c r="D122">
        <f>'밸런스 조정'!C205</f>
        <v>0.2</v>
      </c>
      <c r="E122">
        <v>0</v>
      </c>
      <c r="F122">
        <v>0</v>
      </c>
    </row>
    <row r="123">
      <c r="B123" t="inlineStr">
        <is>
          <t>hwy2_deerMinSpeed</t>
        </is>
      </c>
      <c r="C123" t="inlineStr">
        <is>
          <t>float</t>
        </is>
      </c>
      <c r="D123">
        <f>'밸런스 조정'!C206</f>
        <v>3.2</v>
      </c>
      <c r="E123">
        <v>0</v>
      </c>
      <c r="F123">
        <v>0</v>
      </c>
    </row>
    <row r="124">
      <c r="B124" t="inlineStr">
        <is>
          <t>hwy2_deerMaxSpeed</t>
        </is>
      </c>
      <c r="C124" t="inlineStr">
        <is>
          <t>float</t>
        </is>
      </c>
      <c r="D124">
        <f>'밸런스 조정'!C207</f>
        <v>5.5</v>
      </c>
      <c r="E124">
        <v>0</v>
      </c>
      <c r="F124">
        <v>0</v>
      </c>
    </row>
    <row r="125">
      <c r="B125" t="inlineStr">
        <is>
          <t>hwy2_deerRadius</t>
        </is>
      </c>
      <c r="C125" t="inlineStr">
        <is>
          <t>float</t>
        </is>
      </c>
      <c r="D125">
        <f>'밸런스 조정'!C208</f>
        <v>1.5</v>
      </c>
      <c r="E125">
        <v>0</v>
      </c>
      <c r="F125">
        <v>0</v>
      </c>
    </row>
    <row r="126">
      <c r="B126" t="inlineStr">
        <is>
          <t>hwy2_deerSpin</t>
        </is>
      </c>
      <c r="C126" t="inlineStr">
        <is>
          <t>float</t>
        </is>
      </c>
      <c r="D126">
        <f>'밸런스 조정'!C209</f>
        <v>0.8</v>
      </c>
      <c r="E126">
        <v>0</v>
      </c>
      <c r="F126">
        <v>0</v>
      </c>
    </row>
    <row r="127">
      <c r="B127" t="inlineStr">
        <is>
          <t>hwy2_holeAt</t>
        </is>
      </c>
      <c r="C127" t="inlineStr">
        <is>
          <t>float</t>
        </is>
      </c>
      <c r="D127">
        <f>'밸런스 조정'!C210</f>
        <v>1690</v>
      </c>
      <c r="E127">
        <v>0</v>
      </c>
      <c r="F127">
        <v>0</v>
      </c>
    </row>
    <row r="128">
      <c r="B128" t="inlineStr">
        <is>
          <t>hwy2_holeLead</t>
        </is>
      </c>
      <c r="C128" t="inlineStr">
        <is>
          <t>float</t>
        </is>
      </c>
      <c r="D128">
        <f>'밸런스 조정'!C211</f>
        <v>20</v>
      </c>
      <c r="E128">
        <v>0</v>
      </c>
      <c r="F128">
        <v>0</v>
      </c>
    </row>
    <row r="129">
      <c r="B129" t="inlineStr">
        <is>
          <t>hwy2_holeTail</t>
        </is>
      </c>
      <c r="C129" t="inlineStr">
        <is>
          <t>float</t>
        </is>
      </c>
      <c r="D129">
        <f>'밸런스 조정'!C212</f>
        <v>20</v>
      </c>
      <c r="E129">
        <v>0</v>
      </c>
      <c r="F129">
        <v>0</v>
      </c>
    </row>
    <row r="130">
      <c r="B130" t="inlineStr">
        <is>
          <t>hwy2_holeLane</t>
        </is>
      </c>
      <c r="C130" t="inlineStr">
        <is>
          <t>float</t>
        </is>
      </c>
      <c r="D130">
        <f>'밸런스 조정'!C213</f>
        <v>2</v>
      </c>
      <c r="E130">
        <v>0</v>
      </c>
      <c r="F130">
        <v>0</v>
      </c>
    </row>
    <row r="131">
      <c r="B131" t="inlineStr">
        <is>
          <t>hwy2_workAt</t>
        </is>
      </c>
      <c r="C131" t="inlineStr">
        <is>
          <t>float</t>
        </is>
      </c>
      <c r="D131">
        <f>'밸런스 조정'!C214</f>
        <v>1790</v>
      </c>
      <c r="E131">
        <v>0</v>
      </c>
      <c r="F131">
        <v>0</v>
      </c>
    </row>
    <row r="132">
      <c r="B132" t="inlineStr">
        <is>
          <t>hwy2_workLead</t>
        </is>
      </c>
      <c r="C132" t="inlineStr">
        <is>
          <t>float</t>
        </is>
      </c>
      <c r="D132">
        <f>'밸런스 조정'!C215</f>
        <v>30</v>
      </c>
      <c r="E132">
        <v>0</v>
      </c>
      <c r="F132">
        <v>0</v>
      </c>
    </row>
    <row r="133">
      <c r="B133" t="inlineStr">
        <is>
          <t>hwy2_workTail</t>
        </is>
      </c>
      <c r="C133" t="inlineStr">
        <is>
          <t>float</t>
        </is>
      </c>
      <c r="D133">
        <f>'밸런스 조정'!C216</f>
        <v>50</v>
      </c>
      <c r="E133">
        <v>0</v>
      </c>
      <c r="F133">
        <v>0</v>
      </c>
    </row>
    <row r="134">
      <c r="B134" t="inlineStr">
        <is>
          <t>hwy2_workLane</t>
        </is>
      </c>
      <c r="C134" t="inlineStr">
        <is>
          <t>float</t>
        </is>
      </c>
      <c r="D134">
        <f>'밸런스 조정'!C217</f>
        <v>2</v>
      </c>
      <c r="E134">
        <v>0</v>
      </c>
      <c r="F134">
        <v>0</v>
      </c>
    </row>
    <row r="135">
      <c r="B135" t="inlineStr">
        <is>
          <t>hwy2_coneInterval</t>
        </is>
      </c>
      <c r="C135" t="inlineStr">
        <is>
          <t>float</t>
        </is>
      </c>
      <c r="D135">
        <f>'밸런스 조정'!C218</f>
        <v>2.4</v>
      </c>
      <c r="E135">
        <v>0</v>
      </c>
      <c r="F135">
        <v>0</v>
      </c>
    </row>
    <row r="136">
      <c r="B136" t="inlineStr">
        <is>
          <t>hwy2_coneDamage</t>
        </is>
      </c>
      <c r="C136" t="inlineStr">
        <is>
          <t>float</t>
        </is>
      </c>
      <c r="D136">
        <f>'밸런스 조정'!C219</f>
        <v>0.08</v>
      </c>
      <c r="E136">
        <v>0</v>
      </c>
      <c r="F136">
        <v>0</v>
      </c>
    </row>
    <row r="137">
      <c r="B137" t="inlineStr">
        <is>
          <t>hwy2_coneFlight</t>
        </is>
      </c>
      <c r="C137" t="inlineStr">
        <is>
          <t>float</t>
        </is>
      </c>
      <c r="D137">
        <f>'밸런스 조정'!C220</f>
        <v>1.1</v>
      </c>
      <c r="E137">
        <v>0</v>
      </c>
      <c r="F137">
        <v>0</v>
      </c>
    </row>
    <row r="138">
      <c r="B138" t="inlineStr">
        <is>
          <t>hwy2_mystery1</t>
        </is>
      </c>
      <c r="C138" t="inlineStr">
        <is>
          <t>float</t>
        </is>
      </c>
      <c r="D138">
        <f>'밸런스 조정'!C221</f>
        <v>1440</v>
      </c>
      <c r="E138">
        <v>0</v>
      </c>
      <c r="F138">
        <v>0</v>
      </c>
    </row>
    <row r="139">
      <c r="B139" t="inlineStr">
        <is>
          <t>hwy2_mystery2</t>
        </is>
      </c>
      <c r="C139" t="inlineStr">
        <is>
          <t>float</t>
        </is>
      </c>
      <c r="D139">
        <f>'밸런스 조정'!C222</f>
        <v>1735</v>
      </c>
      <c r="E139">
        <v>0</v>
      </c>
      <c r="F139">
        <v>0</v>
      </c>
    </row>
    <row r="140">
      <c r="B140" t="inlineStr">
        <is>
          <t>hwy2_mysteryCount</t>
        </is>
      </c>
      <c r="C140" t="inlineStr">
        <is>
          <t>float</t>
        </is>
      </c>
      <c r="D140">
        <f>'밸런스 조정'!C223</f>
        <v>2</v>
      </c>
      <c r="E140">
        <v>0</v>
      </c>
      <c r="F140">
        <v>0</v>
      </c>
    </row>
    <row r="141">
      <c r="B141" t="inlineStr">
        <is>
          <t>hwy2_largeChance</t>
        </is>
      </c>
      <c r="C141" t="inlineStr">
        <is>
          <t>float</t>
        </is>
      </c>
      <c r="D141">
        <f>'밸런스 조정'!C224</f>
        <v>20</v>
      </c>
      <c r="E141">
        <v>0</v>
      </c>
      <c r="F141">
        <v>0</v>
      </c>
    </row>
    <row r="142">
      <c r="B142" t="inlineStr">
        <is>
          <t>hwy2_normalChance</t>
        </is>
      </c>
      <c r="C142" t="inlineStr">
        <is>
          <t>float</t>
        </is>
      </c>
      <c r="D142">
        <f>'밸런스 조정'!C225</f>
        <v>55</v>
      </c>
      <c r="E142">
        <v>0</v>
      </c>
      <c r="F142">
        <v>0</v>
      </c>
    </row>
    <row r="143">
      <c r="B143" t="inlineStr">
        <is>
          <t>hwy2_coinChance</t>
        </is>
      </c>
      <c r="C143" t="inlineStr">
        <is>
          <t>float</t>
        </is>
      </c>
      <c r="D143">
        <f>'밸런스 조정'!C226</f>
        <v>20</v>
      </c>
      <c r="E143">
        <v>0</v>
      </c>
      <c r="F143">
        <v>0</v>
      </c>
    </row>
    <row r="144">
      <c r="B144" t="inlineStr">
        <is>
          <t>hwy2_missChance</t>
        </is>
      </c>
      <c r="C144" t="inlineStr">
        <is>
          <t>float</t>
        </is>
      </c>
      <c r="D144">
        <f>'밸런스 조정'!C227</f>
        <v>5</v>
      </c>
      <c r="E144">
        <v>0</v>
      </c>
      <c r="F144">
        <v>0</v>
      </c>
    </row>
    <row r="145">
      <c r="B145" t="inlineStr">
        <is>
          <t>hwy2_largePercent</t>
        </is>
      </c>
      <c r="C145" t="inlineStr">
        <is>
          <t>float</t>
        </is>
      </c>
      <c r="D145">
        <f>'밸런스 조정'!C228</f>
        <v>30</v>
      </c>
      <c r="E145">
        <v>0</v>
      </c>
      <c r="F145">
        <v>0</v>
      </c>
    </row>
    <row r="146">
      <c r="B146" t="inlineStr">
        <is>
          <t>hwy2_normalPercent</t>
        </is>
      </c>
      <c r="C146" t="inlineStr">
        <is>
          <t>float</t>
        </is>
      </c>
      <c r="D146">
        <f>'밸런스 조정'!C229</f>
        <v>12</v>
      </c>
      <c r="E146">
        <v>0</v>
      </c>
      <c r="F146">
        <v>0</v>
      </c>
    </row>
    <row r="147">
      <c r="B147" t="inlineStr">
        <is>
          <t>hwy2_mysteryCoins</t>
        </is>
      </c>
      <c r="C147" t="inlineStr">
        <is>
          <t>float</t>
        </is>
      </c>
      <c r="D147">
        <f>'밸런스 조정'!C230</f>
        <v>248</v>
      </c>
      <c r="E147">
        <v>0</v>
      </c>
      <c r="F147">
        <v>0</v>
      </c>
    </row>
    <row r="148">
      <c r="B148" t="inlineStr">
        <is>
          <t>hwy2_missDamage</t>
        </is>
      </c>
      <c r="C148" t="inlineStr">
        <is>
          <t>float</t>
        </is>
      </c>
      <c r="D148">
        <f>'밸런스 조정'!C231</f>
        <v>0.05</v>
      </c>
      <c r="E148">
        <v>0</v>
      </c>
      <c r="F148">
        <v>0</v>
      </c>
    </row>
    <row r="149">
      <c r="B149" t="inlineStr">
        <is>
          <t>hwy2_tankerRadius</t>
        </is>
      </c>
      <c r="C149" t="inlineStr">
        <is>
          <t>float</t>
        </is>
      </c>
      <c r="D149">
        <f>'밸런스 조정'!C232</f>
        <v>28</v>
      </c>
      <c r="E149">
        <v>0</v>
      </c>
      <c r="F149">
        <v>0</v>
      </c>
    </row>
    <row r="150">
      <c r="B150" t="inlineStr">
        <is>
          <t>hwy2_chainRadius</t>
        </is>
      </c>
      <c r="C150" t="inlineStr">
        <is>
          <t>float</t>
        </is>
      </c>
      <c r="D150">
        <f>'밸런스 조정'!C233</f>
        <v>10</v>
      </c>
      <c r="E150">
        <v>0</v>
      </c>
      <c r="F150">
        <v>0</v>
      </c>
    </row>
    <row r="151">
      <c r="B151" t="inlineStr">
        <is>
          <t>hwy2_chainDamage</t>
        </is>
      </c>
      <c r="C151" t="inlineStr">
        <is>
          <t>float</t>
        </is>
      </c>
      <c r="D151">
        <f>'밸런스 조정'!C234</f>
        <v>0.75</v>
      </c>
      <c r="E151">
        <v>0</v>
      </c>
      <c r="F151">
        <v>0</v>
      </c>
    </row>
    <row r="152">
      <c r="B152" t="inlineStr">
        <is>
          <t>hwy2_chainBounces</t>
        </is>
      </c>
      <c r="C152" t="inlineStr">
        <is>
          <t>float</t>
        </is>
      </c>
      <c r="D152">
        <f>'밸런스 조정'!C235</f>
        <v>2</v>
      </c>
      <c r="E152">
        <v>0</v>
      </c>
      <c r="F152">
        <v>0</v>
      </c>
    </row>
    <row r="153">
      <c r="B153" t="inlineStr">
        <is>
          <t>hwy2_shatterMultiplier</t>
        </is>
      </c>
      <c r="C153" t="inlineStr">
        <is>
          <t>float</t>
        </is>
      </c>
      <c r="D153">
        <f>'밸런스 조정'!C236</f>
        <v>2</v>
      </c>
      <c r="E153">
        <v>0</v>
      </c>
      <c r="F153">
        <v>0</v>
      </c>
    </row>
    <row r="154">
      <c r="B154" t="inlineStr">
        <is>
          <t>hwy2_shieldThreshold</t>
        </is>
      </c>
      <c r="C154" t="inlineStr">
        <is>
          <t>float</t>
        </is>
      </c>
      <c r="D154">
        <f>'밸런스 조정'!C237</f>
        <v>0.15</v>
      </c>
      <c r="E154">
        <v>0</v>
      </c>
      <c r="F154">
        <v>0</v>
      </c>
    </row>
    <row r="155">
      <c r="B155" t="inlineStr">
        <is>
          <t>hwy2_magnetRadius</t>
        </is>
      </c>
      <c r="C155" t="inlineStr">
        <is>
          <t>float</t>
        </is>
      </c>
      <c r="D155">
        <f>'밸런스 조정'!C238</f>
        <v>12</v>
      </c>
      <c r="E155">
        <v>0</v>
      </c>
      <c r="F155">
        <v>0</v>
      </c>
    </row>
    <row r="156">
      <c r="B156" t="inlineStr">
        <is>
          <t>hwy2_magnetSpeed</t>
        </is>
      </c>
      <c r="C156" t="inlineStr">
        <is>
          <t>float</t>
        </is>
      </c>
      <c r="D156">
        <f>'밸런스 조정'!C239</f>
        <v>24</v>
      </c>
      <c r="E156">
        <v>0</v>
      </c>
      <c r="F156">
        <v>0</v>
      </c>
    </row>
    <row r="157">
      <c r="B157" t="inlineStr">
        <is>
          <t>hwy2_uniqueCarry</t>
        </is>
      </c>
      <c r="C157" t="inlineStr">
        <is>
          <t>float</t>
        </is>
      </c>
      <c r="D157">
        <f>'밸런스 조정'!C240</f>
        <v>0</v>
      </c>
      <c r="E157">
        <v>0</v>
      </c>
      <c r="F157">
        <v>0</v>
      </c>
    </row>
    <row r="158">
      <c r="B158" t="inlineStr">
        <is>
          <t>hwy2_fxMaximum</t>
        </is>
      </c>
      <c r="C158" t="inlineStr">
        <is>
          <t>float</t>
        </is>
      </c>
      <c r="D158">
        <f>'밸런스 조정'!C241</f>
        <v>3</v>
      </c>
      <c r="E158">
        <v>0</v>
      </c>
      <c r="F158">
        <v>0</v>
      </c>
    </row>
    <row r="159">
      <c r="B159" t="inlineStr">
        <is>
          <t>hwy2_smokeSeconds</t>
        </is>
      </c>
      <c r="C159" t="inlineStr">
        <is>
          <t>float</t>
        </is>
      </c>
      <c r="D159">
        <f>'밸런스 조정'!C242</f>
        <v>0.8</v>
      </c>
      <c r="E159">
        <v>0</v>
      </c>
      <c r="F159">
        <v>0</v>
      </c>
    </row>
    <row r="160">
      <c r="B160" t="inlineStr">
        <is>
          <t>hwy2_clearViewAhead</t>
        </is>
      </c>
      <c r="C160" t="inlineStr">
        <is>
          <t>float</t>
        </is>
      </c>
      <c r="D160">
        <f>'밸런스 조정'!C243</f>
        <v>12</v>
      </c>
      <c r="E160">
        <v>0</v>
      </c>
      <c r="F160">
        <v>0</v>
      </c>
    </row>
    <row r="161">
      <c r="B161" t="inlineStr">
        <is>
          <t>hwy2_debrisSeconds</t>
        </is>
      </c>
      <c r="C161" t="inlineStr">
        <is>
          <t>float</t>
        </is>
      </c>
      <c r="D161">
        <f>'밸런스 조정'!C244</f>
        <v>0.8</v>
      </c>
      <c r="E161">
        <v>0</v>
      </c>
      <c r="F161">
        <v>0</v>
      </c>
    </row>
    <row r="162">
      <c r="B162" t="inlineStr">
        <is>
          <t>hwy2_debrisSideSpeed</t>
        </is>
      </c>
      <c r="C162" t="inlineStr">
        <is>
          <t>float</t>
        </is>
      </c>
      <c r="D162">
        <f>'밸런스 조정'!C245</f>
        <v>16</v>
      </c>
      <c r="E162">
        <v>0</v>
      </c>
      <c r="F162">
        <v>0</v>
      </c>
    </row>
    <row r="163">
      <c r="B163" t="inlineStr">
        <is>
          <t>hwy2_debrisUpSpeed</t>
        </is>
      </c>
      <c r="C163" t="inlineStr">
        <is>
          <t>float</t>
        </is>
      </c>
      <c r="D163">
        <f>'밸런스 조정'!C246</f>
        <v>12</v>
      </c>
      <c r="E163">
        <v>0</v>
      </c>
      <c r="F163">
        <v>0</v>
      </c>
    </row>
    <row r="164">
      <c r="B164" t="inlineStr">
        <is>
          <t>hwy2_nearMissDistance</t>
        </is>
      </c>
      <c r="C164" t="inlineStr">
        <is>
          <t>float</t>
        </is>
      </c>
      <c r="D164">
        <f>'밸런스 조정'!C247</f>
        <v>3</v>
      </c>
      <c r="E164">
        <v>0</v>
      </c>
      <c r="F164">
        <v>0</v>
      </c>
    </row>
    <row r="165">
      <c r="B165" t="inlineStr">
        <is>
          <t>hwy2_windSeconds</t>
        </is>
      </c>
      <c r="C165" t="inlineStr">
        <is>
          <t>float</t>
        </is>
      </c>
      <c r="D165">
        <f>'밸런스 조정'!C248</f>
        <v>0.35</v>
      </c>
      <c r="E165">
        <v>0</v>
      </c>
      <c r="F165">
        <v>0</v>
      </c>
    </row>
    <row r="166">
      <c r="B166" t="inlineStr">
        <is>
          <t>hwy2_newsSeconds</t>
        </is>
      </c>
      <c r="C166" t="inlineStr">
        <is>
          <t>float</t>
        </is>
      </c>
      <c r="D166">
        <f>'밸런스 조정'!C249</f>
        <v>3</v>
      </c>
      <c r="E166">
        <v>0</v>
      </c>
      <c r="F166">
        <v>0</v>
      </c>
    </row>
    <row r="167">
      <c r="B167" t="inlineStr">
        <is>
          <t>hwy2_entryAttLevel</t>
        </is>
      </c>
      <c r="C167" t="inlineStr">
        <is>
          <t>float</t>
        </is>
      </c>
      <c r="D167">
        <f>'밸런스 조정'!C250</f>
        <v>10</v>
      </c>
      <c r="E167">
        <v>0</v>
      </c>
      <c r="F167">
        <v>0</v>
      </c>
    </row>
    <row r="168">
      <c r="B168" t="inlineStr">
        <is>
          <t>hwy2_entryHpLevel</t>
        </is>
      </c>
      <c r="C168" t="inlineStr">
        <is>
          <t>float</t>
        </is>
      </c>
      <c r="D168">
        <f>'밸런스 조정'!C251</f>
        <v>12</v>
      </c>
      <c r="E168">
        <v>0</v>
      </c>
      <c r="F168">
        <v>0</v>
      </c>
    </row>
    <row r="169">
      <c r="B169" t="inlineStr">
        <is>
          <t>hwy2_entrySpeedLevel</t>
        </is>
      </c>
      <c r="C169" t="inlineStr">
        <is>
          <t>float</t>
        </is>
      </c>
      <c r="D169">
        <f>'밸런스 조정'!C252</f>
        <v>1</v>
      </c>
      <c r="E169">
        <v>0</v>
      </c>
      <c r="F169">
        <v>0</v>
      </c>
    </row>
    <row r="170">
      <c r="B170" t="inlineStr">
        <is>
          <t>hwy2_clearAttLevel</t>
        </is>
      </c>
      <c r="C170" t="inlineStr">
        <is>
          <t>float</t>
        </is>
      </c>
      <c r="D170">
        <f>'밸런스 조정'!C253</f>
        <v>20</v>
      </c>
      <c r="E170">
        <v>0</v>
      </c>
      <c r="F170">
        <v>0</v>
      </c>
    </row>
    <row r="171">
      <c r="B171" t="inlineStr">
        <is>
          <t>hwy2_clearHpLevel</t>
        </is>
      </c>
      <c r="C171" t="inlineStr">
        <is>
          <t>float</t>
        </is>
      </c>
      <c r="D171">
        <f>'밸런스 조정'!C254</f>
        <v>24</v>
      </c>
      <c r="E171">
        <v>0</v>
      </c>
      <c r="F171">
        <v>0</v>
      </c>
    </row>
    <row r="172">
      <c r="B172" t="inlineStr">
        <is>
          <t>hwy2_clearSpeedLevel</t>
        </is>
      </c>
      <c r="C172" t="inlineStr">
        <is>
          <t>float</t>
        </is>
      </c>
      <c r="D172">
        <f>'밸런스 조정'!C255</f>
        <v>10</v>
      </c>
      <c r="E172">
        <v>0</v>
      </c>
      <c r="F172">
        <v>0</v>
      </c>
    </row>
    <row r="173">
      <c r="B173" t="inlineStr">
        <is>
          <t>hwy2_normalBonusCount</t>
        </is>
      </c>
      <c r="C173" t="inlineStr">
        <is>
          <t>float</t>
        </is>
      </c>
      <c r="D173">
        <f>'밸런스 조정'!C256</f>
        <v>12</v>
      </c>
      <c r="E173">
        <v>0</v>
      </c>
      <c r="F173">
        <v>0</v>
      </c>
    </row>
    <row r="174">
      <c r="B174" t="inlineStr">
        <is>
          <t>hwy2_normalBonusLane</t>
        </is>
      </c>
      <c r="C174" t="inlineStr">
        <is>
          <t>float</t>
        </is>
      </c>
      <c r="D174">
        <f>'밸런스 조정'!C257</f>
        <v>2.4</v>
      </c>
      <c r="E174">
        <v>0</v>
      </c>
      <c r="F174">
        <v>0</v>
      </c>
    </row>
    <row r="175">
      <c r="B175" t="inlineStr">
        <is>
          <t>hwy2_normalBonus1</t>
        </is>
      </c>
      <c r="C175" t="inlineStr">
        <is>
          <t>float</t>
        </is>
      </c>
      <c r="D175">
        <f>'밸런스 조정'!C258</f>
        <v>85</v>
      </c>
      <c r="E175">
        <v>0</v>
      </c>
      <c r="F175">
        <v>0</v>
      </c>
    </row>
    <row r="176">
      <c r="B176" t="inlineStr">
        <is>
          <t>hwy2_normalBonus2</t>
        </is>
      </c>
      <c r="C176" t="inlineStr">
        <is>
          <t>float</t>
        </is>
      </c>
      <c r="D176">
        <f>'밸런스 조정'!C259</f>
        <v>145</v>
      </c>
      <c r="E176">
        <v>0</v>
      </c>
      <c r="F176">
        <v>0</v>
      </c>
    </row>
    <row r="177">
      <c r="B177" t="inlineStr">
        <is>
          <t>hwy2_normalBonus3</t>
        </is>
      </c>
      <c r="C177" t="inlineStr">
        <is>
          <t>float</t>
        </is>
      </c>
      <c r="D177">
        <f>'밸런스 조정'!C260</f>
        <v>330</v>
      </c>
      <c r="E177">
        <v>0</v>
      </c>
      <c r="F177">
        <v>0</v>
      </c>
    </row>
    <row r="178">
      <c r="B178" t="inlineStr">
        <is>
          <t>hwy2_normalBonus4</t>
        </is>
      </c>
      <c r="C178" t="inlineStr">
        <is>
          <t>float</t>
        </is>
      </c>
      <c r="D178">
        <f>'밸런스 조정'!C261</f>
        <v>365</v>
      </c>
      <c r="E178">
        <v>0</v>
      </c>
      <c r="F178">
        <v>0</v>
      </c>
    </row>
    <row r="179">
      <c r="B179" t="inlineStr">
        <is>
          <t>hwy2_normalBonus5</t>
        </is>
      </c>
      <c r="C179" t="inlineStr">
        <is>
          <t>float</t>
        </is>
      </c>
      <c r="D179">
        <f>'밸런스 조정'!C262</f>
        <v>520</v>
      </c>
      <c r="E179">
        <v>0</v>
      </c>
      <c r="F179">
        <v>0</v>
      </c>
    </row>
    <row r="180">
      <c r="B180" t="inlineStr">
        <is>
          <t>hwy2_normalBonus6</t>
        </is>
      </c>
      <c r="C180" t="inlineStr">
        <is>
          <t>float</t>
        </is>
      </c>
      <c r="D180">
        <f>'밸런스 조정'!C263</f>
        <v>765</v>
      </c>
      <c r="E180">
        <v>0</v>
      </c>
      <c r="F180">
        <v>0</v>
      </c>
    </row>
    <row r="181">
      <c r="B181" t="inlineStr">
        <is>
          <t>hwy2_normalBonus7</t>
        </is>
      </c>
      <c r="C181" t="inlineStr">
        <is>
          <t>float</t>
        </is>
      </c>
      <c r="D181">
        <f>'밸런스 조정'!C264</f>
        <v>835</v>
      </c>
      <c r="E181">
        <v>0</v>
      </c>
      <c r="F181">
        <v>0</v>
      </c>
    </row>
    <row r="182">
      <c r="B182" t="inlineStr">
        <is>
          <t>hwy2_normalBonus8</t>
        </is>
      </c>
      <c r="C182" t="inlineStr">
        <is>
          <t>float</t>
        </is>
      </c>
      <c r="D182">
        <f>'밸런스 조정'!C265</f>
        <v>1110</v>
      </c>
      <c r="E182">
        <v>0</v>
      </c>
      <c r="F182">
        <v>0</v>
      </c>
    </row>
    <row r="183">
      <c r="B183" t="inlineStr">
        <is>
          <t>hwy2_normalBonus9</t>
        </is>
      </c>
      <c r="C183" t="inlineStr">
        <is>
          <t>float</t>
        </is>
      </c>
      <c r="D183">
        <f>'밸런스 조정'!C266</f>
        <v>1328</v>
      </c>
      <c r="E183">
        <v>0</v>
      </c>
      <c r="F183">
        <v>0</v>
      </c>
    </row>
    <row r="184">
      <c r="B184" t="inlineStr">
        <is>
          <t>hwy2_normalBonus10</t>
        </is>
      </c>
      <c r="C184" t="inlineStr">
        <is>
          <t>float</t>
        </is>
      </c>
      <c r="D184">
        <f>'밸런스 조정'!C267</f>
        <v>1865</v>
      </c>
      <c r="E184">
        <v>0</v>
      </c>
      <c r="F184">
        <v>0</v>
      </c>
    </row>
    <row r="185">
      <c r="B185" t="inlineStr">
        <is>
          <t>hwy2_normalBonus11</t>
        </is>
      </c>
      <c r="C185" t="inlineStr">
        <is>
          <t>float</t>
        </is>
      </c>
      <c r="D185">
        <f>'밸런스 조정'!C268</f>
        <v>2130</v>
      </c>
      <c r="E185">
        <v>0</v>
      </c>
      <c r="F185">
        <v>0</v>
      </c>
    </row>
    <row r="186">
      <c r="B186" t="inlineStr">
        <is>
          <t>hwy2_normalBonus12</t>
        </is>
      </c>
      <c r="C186" t="inlineStr">
        <is>
          <t>float</t>
        </is>
      </c>
      <c r="D186">
        <f>'밸런스 조정'!C269</f>
        <v>2260</v>
      </c>
      <c r="E186">
        <v>0</v>
      </c>
      <c r="F186">
        <v>0</v>
      </c>
    </row>
    <row r="187">
      <c r="B187" t="inlineStr">
        <is>
          <t>hwy2_sideCarWidth</t>
        </is>
      </c>
      <c r="C187" t="inlineStr">
        <is>
          <t>float</t>
        </is>
      </c>
      <c r="D187">
        <f>'밸런스 조정'!C270</f>
        <v>3</v>
      </c>
      <c r="E187">
        <v>0</v>
      </c>
      <c r="F187">
        <v>0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Y351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  <c r="S2" t="inlineStr">
        <is>
          <t>차종</t>
        </is>
      </c>
      <c r="T2" t="inlineStr">
        <is>
          <t>차량경로</t>
        </is>
      </c>
      <c r="U2" t="inlineStr">
        <is>
          <t>차량거리</t>
        </is>
      </c>
      <c r="V2" t="inlineStr">
        <is>
          <t>차로번호</t>
        </is>
      </c>
      <c r="W2" t="inlineStr">
        <is>
          <t>등장거리</t>
        </is>
      </c>
      <c r="X2" t="inlineStr">
        <is>
          <t>사건ID</t>
        </is>
      </c>
      <c r="Y2" t="inlineStr">
        <is>
          <t>사고앞줄</t>
        </is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103" spans="2:18">
      <c r="B103">
        <v>111</v>
      </c>
      <c r="C103" t="s">
        <v>307</v>
      </c>
      <c r="D103" t="s">
        <v>319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조정'!$C$74)^5*IF(M113="Boss",'밸런스 조정'!$C$78,IF(M113="Elite",'밸런스 조정'!$C$76,1)),0)</f>
        <v>772</v>
      </c>
      <c r="O103" t="n">
        <f>ROUND('밸런스 조정'!$C$73*(1+'밸런스 조정'!$C$75)^5*IF(M113="Boss",'밸런스 조정'!$C$79,IF(M113="Elite",'밸런스 조정'!$C$77,1)),0)</f>
        <v>2553</v>
      </c>
      <c r="P103" t="n">
        <f>'밸런스 조정'!$C$75</f>
        <v>0.05</v>
      </c>
      <c r="Q103">
        <f>'밸런스 조정'!$C$64</f>
        <v>0</v>
      </c>
      <c r="R103" t="n">
        <f>'밸런스 조정'!$C$90*IF(M113="Boss",5,IF(M113="Elite",2,1))</f>
        <v>350</v>
      </c>
    </row>
    <row r="104" spans="2:18">
      <c r="B104">
        <v>112</v>
      </c>
      <c r="C104" t="s">
        <v>307</v>
      </c>
      <c r="D104" t="s">
        <v>320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조정'!$C$74)^5*IF(M114="Boss",'밸런스 조정'!$C$78,IF(M114="Elite",'밸런스 조정'!$C$76,1)),0)</f>
        <v>772</v>
      </c>
      <c r="O104" t="n">
        <f>ROUND(O113*(1+P114),0)</f>
        <v>2936</v>
      </c>
      <c r="P104">
        <v>0.15</v>
      </c>
      <c r="Q104">
        <f>'밸런스 조정'!$C$64</f>
        <v>0</v>
      </c>
      <c r="R104" t="n">
        <f>'밸런스 조정'!$C$90*IF(M114="Boss",5,IF(M114="Elite",2,1))</f>
        <v>350</v>
      </c>
    </row>
    <row r="105" spans="2:18">
      <c r="B105">
        <v>113</v>
      </c>
      <c r="C105" t="s">
        <v>307</v>
      </c>
      <c r="D105" t="s">
        <v>321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조정'!$C$74)^6*IF(M115="Boss",'밸런스 조정'!$C$78,IF(M115="Elite",'밸런스 조정'!$C$76,1)),0)</f>
        <v>799</v>
      </c>
      <c r="O105" t="n">
        <f>ROUND('밸런스 조정'!$C$73*(1+'밸런스 조정'!$C$75)^6*IF(M115="Boss",'밸런스 조정'!$C$79,IF(M115="Elite",'밸런스 조정'!$C$77,1)),0)</f>
        <v>2680</v>
      </c>
      <c r="P105" t="n">
        <f>'밸런스 조정'!$C$75</f>
        <v>0.05</v>
      </c>
      <c r="Q105">
        <f>'밸런스 조정'!$C$64</f>
        <v>0</v>
      </c>
      <c r="R105" t="n">
        <f>'밸런스 조정'!$C$90*IF(M115="Boss",5,IF(M115="Elite",2,1))</f>
        <v>350</v>
      </c>
    </row>
    <row r="106" spans="2:18">
      <c r="B106">
        <v>114</v>
      </c>
      <c r="C106" t="s">
        <v>307</v>
      </c>
      <c r="D106" t="s">
        <v>322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조정'!$C$74)^6*IF(M116="Boss",'밸런스 조정'!$C$78,IF(M116="Elite",'밸런스 조정'!$C$76,1)),0)</f>
        <v>799</v>
      </c>
      <c r="O106" t="n">
        <f>ROUND(O115*(1+P116),0)</f>
        <v>3082</v>
      </c>
      <c r="P106">
        <v>0.15</v>
      </c>
      <c r="Q106">
        <f>'밸런스 조정'!$C$64</f>
        <v>0</v>
      </c>
      <c r="R106" t="n">
        <f>'밸런스 조정'!$C$90*IF(M116="Boss",5,IF(M116="Elite",2,1))</f>
        <v>350</v>
      </c>
    </row>
    <row r="107" spans="2:18">
      <c r="B107">
        <v>115</v>
      </c>
      <c r="C107" t="s">
        <v>307</v>
      </c>
      <c r="D107" t="s">
        <v>323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조정'!$C$74)^7*IF(M117="Boss",'밸런스 조정'!$C$78,IF(M117="Elite",'밸런스 조정'!$C$76,1)),0))*0.45</f>
        <v>372.15000000000003</v>
      </c>
      <c r="O107" t="n">
        <f>ROUND('밸런스 조정'!$C$73*(1+'밸런스 조정'!$C$75)^7*IF(M117="Boss",'밸런스 조정'!$C$79,IF(M117="Elite",'밸런스 조정'!$C$77,1)),0)</f>
        <v>2814</v>
      </c>
      <c r="P107" t="n">
        <f>'밸런스 조정'!$C$75</f>
        <v>0.05</v>
      </c>
      <c r="Q107">
        <f>'밸런스 조정'!$C$64</f>
        <v>0</v>
      </c>
      <c r="R107" t="n">
        <f>'밸런스 조정'!$C$90*IF(M117="Boss",5,IF(M117="Elite",2,1))</f>
        <v>350</v>
      </c>
    </row>
    <row r="108" spans="2:18">
      <c r="B108">
        <v>116</v>
      </c>
      <c r="C108" t="s">
        <v>307</v>
      </c>
      <c r="D108" t="s">
        <v>324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조정'!$C$74)^7*IF(M118="Boss",'밸런스 조정'!$C$78,IF(M118="Elite",'밸런스 조정'!$C$76,1)),0))*0.45</f>
        <v>372.15000000000003</v>
      </c>
      <c r="O108" t="n">
        <f>ROUND(O117*(1+P118),0)</f>
        <v>3236</v>
      </c>
      <c r="P108">
        <v>0.15</v>
      </c>
      <c r="Q108">
        <f>'밸런스 조정'!$C$64</f>
        <v>0</v>
      </c>
      <c r="R108" t="n">
        <f>'밸런스 조정'!$C$90*IF(M118="Boss",5,IF(M118="Elite",2,1))</f>
        <v>350</v>
      </c>
    </row>
    <row r="109" spans="2:18">
      <c r="B109">
        <v>117</v>
      </c>
      <c r="C109" t="s">
        <v>307</v>
      </c>
      <c r="D109" t="s">
        <v>325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조정'!$C$74)^8*IF(M119="Boss",'밸런스 조정'!$C$78,IF(M119="Elite",'밸런스 조정'!$C$76,1)),0))*0.45</f>
        <v>385.2</v>
      </c>
      <c r="O109" t="n">
        <f>ROUND('밸런스 조정'!$C$73*(1+'밸런스 조정'!$C$75)^8*IF(M119="Boss",'밸런스 조정'!$C$79,IF(M119="Elite",'밸런스 조정'!$C$77,1)),0)</f>
        <v>2955</v>
      </c>
      <c r="P109" t="n">
        <f>'밸런스 조정'!$C$75</f>
        <v>0.05</v>
      </c>
      <c r="Q109">
        <f>'밸런스 조정'!$C$64</f>
        <v>0</v>
      </c>
      <c r="R109" t="n">
        <f>'밸런스 조정'!$C$90*IF(M119="Boss",5,IF(M119="Elite",2,1))</f>
        <v>350</v>
      </c>
    </row>
    <row r="110" spans="2:18">
      <c r="B110">
        <v>118</v>
      </c>
      <c r="C110" t="s">
        <v>307</v>
      </c>
      <c r="D110" t="s">
        <v>326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조정'!$C$74)^8*IF(M120="Boss",'밸런스 조정'!$C$78,IF(M120="Elite",'밸런스 조정'!$C$76,1)),0))*0.45</f>
        <v>385.2</v>
      </c>
      <c r="O110" t="n">
        <f>ROUND(O119*(1+P120),0)</f>
        <v>3398</v>
      </c>
      <c r="P110">
        <v>0.15</v>
      </c>
      <c r="Q110">
        <f>'밸런스 조정'!$C$64</f>
        <v>0</v>
      </c>
      <c r="R110" t="n">
        <f>'밸런스 조정'!$C$90*IF(M120="Boss",5,IF(M120="Elite",2,1))</f>
        <v>350</v>
      </c>
    </row>
    <row r="111" spans="2:18">
      <c r="B111">
        <v>119</v>
      </c>
      <c r="C111" t="s">
        <v>307</v>
      </c>
      <c r="D111" t="s">
        <v>327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조정'!$C$74)^9*IF(M121="Boss",'밸런스 조정'!$C$78,IF(M121="Elite",'밸런스 조정'!$C$76,1)),0))*0.45</f>
        <v>498.15000000000003</v>
      </c>
      <c r="O111" t="n">
        <f>ROUND('밸런스 조정'!$C$73*(1+'밸런스 조정'!$C$75)^9*IF(M121="Boss",'밸런스 조정'!$C$79,IF(M121="Elite",'밸런스 조정'!$C$77,1)),0)</f>
        <v>4654</v>
      </c>
      <c r="P111" t="n">
        <f>'밸런스 조정'!$C$75</f>
        <v>0.05</v>
      </c>
      <c r="Q111">
        <f>'밸런스 조정'!$C$64</f>
        <v>0</v>
      </c>
      <c r="R111" t="n">
        <f>'밸런스 조정'!$C$90*IF(M121="Boss",5,IF(M121="Elite",2,1))</f>
        <v>700</v>
      </c>
    </row>
    <row r="112" spans="2:18">
      <c r="B112">
        <v>120</v>
      </c>
      <c r="C112" t="s">
        <v>307</v>
      </c>
      <c r="D112" t="s">
        <v>328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조정'!$C$74)^9*IF(M122="Boss",'밸런스 조정'!$C$78,IF(M122="Elite",'밸런스 조정'!$C$76,1)),0))*0.45</f>
        <v>498.15000000000003</v>
      </c>
      <c r="O112" t="n">
        <f>ROUND(O121*(1+P122),0)</f>
        <v>5352</v>
      </c>
      <c r="P112">
        <v>0.15</v>
      </c>
      <c r="Q112">
        <f>'밸런스 조정'!$C$64</f>
        <v>0</v>
      </c>
      <c r="R112" t="n">
        <f>'밸런스 조정'!$C$90*IF(M122="Boss",5,IF(M122="Elite",2,1))</f>
        <v>700</v>
      </c>
    </row>
    <row r="113" spans="2:18">
      <c r="B113">
        <v>121</v>
      </c>
      <c r="C113" t="s">
        <v>307</v>
      </c>
      <c r="D113" t="s">
        <v>329</v>
      </c>
      <c r="E113">
        <v>0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조정'!$C$74)^10*IF(M123="Boss",'밸런스 조정'!$C$78,IF(M123="Elite",'밸런스 조정'!$C$76,1)),0)</f>
        <v>917</v>
      </c>
      <c r="O113" t="n">
        <f>ROUND('밸런스 조정'!$C$73*(1+'밸런스 조정'!$C$75)^10*IF(M123="Boss",'밸런스 조정'!$C$79,IF(M123="Elite",'밸런스 조정'!$C$77,1)),0)</f>
        <v>3258</v>
      </c>
      <c r="P113" t="n">
        <f>'밸런스 조정'!$C$75</f>
        <v>0.05</v>
      </c>
      <c r="Q113">
        <f>'밸런스 조정'!$C$64</f>
        <v>0</v>
      </c>
      <c r="R113" t="n">
        <f>'밸런스 조정'!$C$90*IF(M123="Boss",5,IF(M123="Elite",2,1))</f>
        <v>350</v>
      </c>
    </row>
    <row r="114" spans="2:18">
      <c r="B114">
        <v>122</v>
      </c>
      <c r="C114" t="s">
        <v>307</v>
      </c>
      <c r="D114" t="s">
        <v>330</v>
      </c>
      <c r="E114">
        <v>0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조정'!$C$74)^10*IF(M124="Boss",'밸런스 조정'!$C$78,IF(M124="Elite",'밸런스 조정'!$C$76,1)),0)</f>
        <v>917</v>
      </c>
      <c r="O114" t="n">
        <f>ROUND(O123*(1+P124),0)</f>
        <v>3747</v>
      </c>
      <c r="P114">
        <v>0.15</v>
      </c>
      <c r="Q114">
        <f>'밸런스 조정'!$C$64</f>
        <v>0</v>
      </c>
      <c r="R114" t="n">
        <f>'밸런스 조정'!$C$90*IF(M124="Boss",5,IF(M124="Elite",2,1))</f>
        <v>350</v>
      </c>
    </row>
    <row r="115" spans="2:18">
      <c r="B115">
        <v>123</v>
      </c>
      <c r="C115" t="s">
        <v>307</v>
      </c>
      <c r="D115" t="s">
        <v>331</v>
      </c>
      <c r="E115">
        <v>0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조정'!$C$74)^11*IF(M125="Boss",'밸런스 조정'!$C$78,IF(M125="Elite",'밸런스 조정'!$C$76,1)),0)</f>
        <v>949</v>
      </c>
      <c r="O115" t="n">
        <f>ROUND('밸런스 조정'!$C$73*(1+'밸런스 조정'!$C$75)^11*IF(M125="Boss",'밸런스 조정'!$C$79,IF(M125="Elite",'밸런스 조정'!$C$77,1)),0)</f>
        <v>3421</v>
      </c>
      <c r="P115" t="n">
        <f>'밸런스 조정'!$C$75</f>
        <v>0.05</v>
      </c>
      <c r="Q115">
        <f>'밸런스 조정'!$C$64</f>
        <v>0</v>
      </c>
      <c r="R115" t="n">
        <f>'밸런스 조정'!$C$90*IF(M125="Boss",5,IF(M125="Elite",2,1))</f>
        <v>350</v>
      </c>
    </row>
    <row r="116" spans="2:18">
      <c r="B116">
        <v>124</v>
      </c>
      <c r="C116" t="s">
        <v>307</v>
      </c>
      <c r="D116" t="s">
        <v>332</v>
      </c>
      <c r="E116">
        <v>0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조정'!$C$74)^11*IF(M126="Boss",'밸런스 조정'!$C$78,IF(M126="Elite",'밸런스 조정'!$C$76,1)),0)</f>
        <v>949</v>
      </c>
      <c r="O116" t="n">
        <f>ROUND(O125*(1+P126),0)</f>
        <v>3934</v>
      </c>
      <c r="P116">
        <v>0.15</v>
      </c>
      <c r="Q116">
        <f>'밸런스 조정'!$C$64</f>
        <v>0</v>
      </c>
      <c r="R116" t="n">
        <f>'밸런스 조정'!$C$90*IF(M126="Boss",5,IF(M126="Elite",2,1))</f>
        <v>350</v>
      </c>
    </row>
    <row r="117" spans="2:18">
      <c r="B117">
        <v>125</v>
      </c>
      <c r="C117" t="s">
        <v>307</v>
      </c>
      <c r="D117" t="s">
        <v>333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조정'!$C$74)^12*IF(M127="Boss",'밸런스 조정'!$C$78,IF(M127="Elite",'밸런스 조정'!$C$76,1)),0))*0.45</f>
        <v>441.90000000000003</v>
      </c>
      <c r="O117" t="n">
        <f>ROUND('밸런스 조정'!$C$73*(1+'밸런스 조정'!$C$75)^12*IF(M127="Boss",'밸런스 조정'!$C$79,IF(M127="Elite",'밸런스 조정'!$C$77,1)),0)</f>
        <v>3592</v>
      </c>
      <c r="P117" t="n">
        <f>'밸런스 조정'!$C$75</f>
        <v>0.05</v>
      </c>
      <c r="Q117">
        <f>'밸런스 조정'!$C$64</f>
        <v>0</v>
      </c>
      <c r="R117" t="n">
        <f>'밸런스 조정'!$C$90*IF(M127="Boss",5,IF(M127="Elite",2,1))</f>
        <v>350</v>
      </c>
    </row>
    <row r="118" spans="2:18">
      <c r="B118">
        <v>126</v>
      </c>
      <c r="C118" t="s">
        <v>307</v>
      </c>
      <c r="D118" t="s">
        <v>334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조정'!$C$74)^12*IF(M128="Boss",'밸런스 조정'!$C$78,IF(M128="Elite",'밸런스 조정'!$C$76,1)),0))*0.45</f>
        <v>441.90000000000003</v>
      </c>
      <c r="O118" t="n">
        <f>ROUND(O127*(1+P128),0)</f>
        <v>4131</v>
      </c>
      <c r="P118">
        <v>0.15</v>
      </c>
      <c r="Q118">
        <f>'밸런스 조정'!$C$64</f>
        <v>0</v>
      </c>
      <c r="R118" t="n">
        <f>'밸런스 조정'!$C$90*IF(M128="Boss",5,IF(M128="Elite",2,1))</f>
        <v>350</v>
      </c>
    </row>
    <row r="119" spans="2:18">
      <c r="B119">
        <v>127</v>
      </c>
      <c r="C119" t="s">
        <v>307</v>
      </c>
      <c r="D119" t="s">
        <v>335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조정'!$C$74)^13*IF(M129="Boss",'밸런스 조정'!$C$78,IF(M129="Elite",'밸런스 조정'!$C$76,1)),0))*0.45</f>
        <v>457.65000000000003</v>
      </c>
      <c r="O119" t="n">
        <f>ROUND('밸런스 조정'!$C$73*(1+'밸런스 조정'!$C$75)^13*IF(M129="Boss",'밸런스 조정'!$C$79,IF(M129="Elite",'밸런스 조정'!$C$77,1)),0)</f>
        <v>3771</v>
      </c>
      <c r="P119" t="n">
        <f>'밸런스 조정'!$C$75</f>
        <v>0.05</v>
      </c>
      <c r="Q119">
        <f>'밸런스 조정'!$C$64</f>
        <v>0</v>
      </c>
      <c r="R119" t="n">
        <f>'밸런스 조정'!$C$90*IF(M129="Boss",5,IF(M129="Elite",2,1))</f>
        <v>350</v>
      </c>
    </row>
    <row r="120" spans="2:18">
      <c r="B120">
        <v>128</v>
      </c>
      <c r="C120" t="s">
        <v>307</v>
      </c>
      <c r="D120" t="s">
        <v>336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조정'!$C$74)^13*IF(M130="Boss",'밸런스 조정'!$C$78,IF(M130="Elite",'밸런스 조정'!$C$76,1)),0))*0.45</f>
        <v>457.65000000000003</v>
      </c>
      <c r="O120" t="n">
        <f>ROUND(O129*(1+P130),0)</f>
        <v>4337</v>
      </c>
      <c r="P120">
        <v>0.15</v>
      </c>
      <c r="Q120">
        <f>'밸런스 조정'!$C$64</f>
        <v>0</v>
      </c>
      <c r="R120" t="n">
        <f>'밸런스 조정'!$C$90*IF(M130="Boss",5,IF(M130="Elite",2,1))</f>
        <v>350</v>
      </c>
    </row>
    <row r="121" spans="2:18">
      <c r="B121">
        <v>129</v>
      </c>
      <c r="C121" t="s">
        <v>307</v>
      </c>
      <c r="D121" t="s">
        <v>337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조정'!$C$74)^14*IF(M131="Boss",'밸런스 조정'!$C$78,IF(M131="Elite",'밸런스 조정'!$C$76,1)),0))*0.45</f>
        <v>591.75</v>
      </c>
      <c r="O121" t="n">
        <f>ROUND('밸런스 조정'!$C$73*(1+'밸런스 조정'!$C$75)^14*IF(M131="Boss",'밸런스 조정'!$C$79,IF(M131="Elite",'밸런스 조정'!$C$77,1)),0)</f>
        <v>5940</v>
      </c>
      <c r="P121" t="n">
        <f>'밸런스 조정'!$C$75</f>
        <v>0.05</v>
      </c>
      <c r="Q121">
        <f>'밸런스 조정'!$C$64</f>
        <v>0</v>
      </c>
      <c r="R121" t="n">
        <f>'밸런스 조정'!$C$90*IF(M131="Boss",5,IF(M131="Elite",2,1))</f>
        <v>700</v>
      </c>
    </row>
    <row r="122" spans="2:18">
      <c r="B122">
        <v>130</v>
      </c>
      <c r="C122" t="s">
        <v>307</v>
      </c>
      <c r="D122" t="s">
        <v>338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조정'!$C$74)^14*IF(M132="Boss",'밸런스 조정'!$C$78,IF(M132="Elite",'밸런스 조정'!$C$76,1)),0))*0.45</f>
        <v>591.75</v>
      </c>
      <c r="O122" t="n">
        <f>ROUND(O131*(1+P132),0)</f>
        <v>6831</v>
      </c>
      <c r="P122">
        <v>0.15</v>
      </c>
      <c r="Q122">
        <f>'밸런스 조정'!$C$64</f>
        <v>0</v>
      </c>
      <c r="R122" t="n">
        <f>'밸런스 조정'!$C$90*IF(M132="Boss",5,IF(M132="Elite",2,1))</f>
        <v>700</v>
      </c>
    </row>
    <row r="123" spans="2:18">
      <c r="B123">
        <v>131</v>
      </c>
      <c r="C123" t="s">
        <v>307</v>
      </c>
      <c r="D123" t="s">
        <v>339</v>
      </c>
      <c r="E123">
        <v>1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조정'!$C$74)^15*IF(M133="Boss",'밸런스 조정'!$C$78,IF(M133="Elite",'밸런스 조정'!$C$76,1)),0)</f>
        <v>1089</v>
      </c>
      <c r="O123" t="n">
        <f>ROUND('밸런스 조정'!$C$73*(1+'밸런스 조정'!$C$75)^15*IF(M133="Boss",'밸런스 조정'!$C$79,IF(M133="Elite",'밸런스 조정'!$C$77,1)),0)</f>
        <v>4158</v>
      </c>
      <c r="P123" t="n">
        <f>'밸런스 조정'!$C$75</f>
        <v>0.05</v>
      </c>
      <c r="Q123">
        <f>'밸런스 조정'!$C$64</f>
        <v>0</v>
      </c>
      <c r="R123" t="n">
        <f>'밸런스 조정'!$C$90*IF(M133="Boss",5,IF(M133="Elite",2,1))</f>
        <v>350</v>
      </c>
    </row>
    <row r="124" spans="2:18">
      <c r="B124">
        <v>132</v>
      </c>
      <c r="C124" t="s">
        <v>307</v>
      </c>
      <c r="D124" t="s">
        <v>340</v>
      </c>
      <c r="E124">
        <v>1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조정'!$C$74)^15*IF(M134="Boss",'밸런스 조정'!$C$78,IF(M134="Elite",'밸런스 조정'!$C$76,1)),0)</f>
        <v>1089</v>
      </c>
      <c r="O124" t="n">
        <f>ROUND(O133*(1+P134),0)</f>
        <v>4782</v>
      </c>
      <c r="P124">
        <v>0.15</v>
      </c>
      <c r="Q124">
        <f>'밸런스 조정'!$C$64</f>
        <v>0</v>
      </c>
      <c r="R124" t="n">
        <f>'밸런스 조정'!$C$90*IF(M134="Boss",5,IF(M134="Elite",2,1))</f>
        <v>350</v>
      </c>
    </row>
    <row r="125" spans="2:18">
      <c r="B125">
        <v>133</v>
      </c>
      <c r="C125" t="s">
        <v>307</v>
      </c>
      <c r="D125" t="s">
        <v>341</v>
      </c>
      <c r="E125">
        <v>1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조정'!$C$74)^16*IF(M135="Boss",'밸런스 조정'!$C$78,IF(M135="Elite",'밸런스 조정'!$C$76,1)),0)</f>
        <v>1127</v>
      </c>
      <c r="O125" t="n">
        <f>ROUND('밸런스 조정'!$C$73*(1+'밸런스 조정'!$C$75)^16*IF(M135="Boss",'밸런스 조정'!$C$79,IF(M135="Elite",'밸런스 조정'!$C$77,1)),0)</f>
        <v>4366</v>
      </c>
      <c r="P125" t="n">
        <f>'밸런스 조정'!$C$75</f>
        <v>0.05</v>
      </c>
      <c r="Q125">
        <f>'밸런스 조정'!$C$64</f>
        <v>0</v>
      </c>
      <c r="R125" t="n">
        <f>'밸런스 조정'!$C$90*IF(M135="Boss",5,IF(M135="Elite",2,1))</f>
        <v>350</v>
      </c>
    </row>
    <row r="126" spans="2:18">
      <c r="B126">
        <v>134</v>
      </c>
      <c r="C126" t="s">
        <v>307</v>
      </c>
      <c r="D126" t="s">
        <v>342</v>
      </c>
      <c r="E126">
        <v>1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조정'!$C$74)^16*IF(M136="Boss",'밸런스 조정'!$C$78,IF(M136="Elite",'밸런스 조정'!$C$76,1)),0)</f>
        <v>1127</v>
      </c>
      <c r="O126" t="n">
        <f>ROUND(O135*(1+P136),0)</f>
        <v>5021</v>
      </c>
      <c r="P126">
        <v>0.15</v>
      </c>
      <c r="Q126">
        <f>'밸런스 조정'!$C$64</f>
        <v>0</v>
      </c>
      <c r="R126" t="n">
        <f>'밸런스 조정'!$C$90*IF(M136="Boss",5,IF(M136="Elite",2,1))</f>
        <v>350</v>
      </c>
    </row>
    <row r="127">
      <c r="B127">
        <v>135</v>
      </c>
      <c r="C127" t="inlineStr">
        <is>
          <t>HighWay</t>
        </is>
      </c>
      <c r="D127" t="inlineStr">
        <is>
          <t>HWY2_001_Sedan</t>
        </is>
      </c>
      <c r="E127">
        <v>1</v>
      </c>
      <c r="F127" t="inlineStr">
        <is>
          <t>공격 반복</t>
        </is>
      </c>
      <c r="G127">
        <v>12</v>
      </c>
      <c r="H127">
        <v>0</v>
      </c>
      <c r="I127">
        <v>150</v>
      </c>
      <c r="J127">
        <v>0</v>
      </c>
      <c r="K127">
        <v>0</v>
      </c>
      <c r="L127" t="inlineStr">
        <is>
          <t>차량 적 · 원본 전투/성장/코인 시스템</t>
        </is>
      </c>
      <c r="M127" t="inlineStr">
        <is>
          <t>Normal</t>
        </is>
      </c>
      <c r="N127">
        <v>0</v>
      </c>
      <c r="O127">
        <f>'밸런스 조정'!C154*'밸런스 조정'!C155*'밸런스 조정'!C145*(1+('몬스터 성장'!G6/'몬스터 성장'!F6-1)*(U127/'밸런스 조정'!C119)^'몬스터 성장'!H6)</f>
        <v>248.765938199</v>
      </c>
      <c r="P127">
        <v>0</v>
      </c>
      <c r="Q127">
        <v>0</v>
      </c>
      <c r="R127">
        <v>62</v>
      </c>
      <c r="S127" t="inlineStr">
        <is>
          <t>Sedan</t>
        </is>
      </c>
      <c r="T127" t="inlineStr">
        <is>
          <t>Common</t>
        </is>
      </c>
      <c r="U127">
        <v>118</v>
      </c>
      <c r="V127">
        <v>0</v>
      </c>
      <c r="W127">
        <v>36</v>
      </c>
      <c r="X127">
        <v>0</v>
      </c>
      <c r="Y127">
        <v>0</v>
      </c>
    </row>
    <row r="128">
      <c r="B128">
        <v>136</v>
      </c>
      <c r="C128" t="inlineStr">
        <is>
          <t>HighWay</t>
        </is>
      </c>
      <c r="D128" t="inlineStr">
        <is>
          <t>HWY2_002_Taxi</t>
        </is>
      </c>
      <c r="E128">
        <v>1</v>
      </c>
      <c r="F128" t="inlineStr">
        <is>
          <t>공격 반복</t>
        </is>
      </c>
      <c r="G128">
        <v>12</v>
      </c>
      <c r="H128">
        <v>0</v>
      </c>
      <c r="I128">
        <v>150</v>
      </c>
      <c r="J128">
        <v>0</v>
      </c>
      <c r="K128">
        <v>0</v>
      </c>
      <c r="L128" t="inlineStr">
        <is>
          <t>차량 적 · 원본 전투/성장/코인 시스템</t>
        </is>
      </c>
      <c r="M128" t="inlineStr">
        <is>
          <t>Normal</t>
        </is>
      </c>
      <c r="N128">
        <v>0</v>
      </c>
      <c r="O128">
        <f>'밸런스 조정'!C154*'밸런스 조정'!C155*'밸런스 조정'!C146*(1+('몬스터 성장'!G6/'몬스터 성장'!F6-1)*(U128/'밸런스 조정'!C119)^'몬스터 성장'!H6)</f>
        <v>255.025819855</v>
      </c>
      <c r="P128">
        <v>0</v>
      </c>
      <c r="Q128">
        <v>0</v>
      </c>
      <c r="R128">
        <v>62</v>
      </c>
      <c r="S128" t="inlineStr">
        <is>
          <t>Taxi</t>
        </is>
      </c>
      <c r="T128" t="inlineStr">
        <is>
          <t>Common</t>
        </is>
      </c>
      <c r="U128">
        <v>172</v>
      </c>
      <c r="V128">
        <v>1</v>
      </c>
      <c r="W128">
        <v>90</v>
      </c>
      <c r="X128">
        <v>0</v>
      </c>
      <c r="Y128">
        <v>0</v>
      </c>
    </row>
    <row r="129">
      <c r="B129">
        <v>137</v>
      </c>
      <c r="C129" t="inlineStr">
        <is>
          <t>HighWay</t>
        </is>
      </c>
      <c r="D129" t="inlineStr">
        <is>
          <t>HWY2_003_OneTon</t>
        </is>
      </c>
      <c r="E129">
        <v>1</v>
      </c>
      <c r="F129" t="inlineStr">
        <is>
          <t>공격 반복</t>
        </is>
      </c>
      <c r="G129">
        <v>12</v>
      </c>
      <c r="H129">
        <v>0</v>
      </c>
      <c r="I129">
        <v>150</v>
      </c>
      <c r="J129">
        <v>0</v>
      </c>
      <c r="K129">
        <v>0</v>
      </c>
      <c r="L129" t="inlineStr">
        <is>
          <t>차량 적 · 원본 전투/성장/코인 시스템</t>
        </is>
      </c>
      <c r="M129" t="inlineStr">
        <is>
          <t>Normal</t>
        </is>
      </c>
      <c r="N129">
        <v>0</v>
      </c>
      <c r="O129">
        <f>'밸런스 조정'!C154*'밸런스 조정'!C155*'밸런스 조정'!C147*(1+('몬스터 성장'!G6/'몬스터 성장'!F6-1)*(U129/'밸런스 조정'!C119)^'몬스터 성장'!H6)</f>
        <v>338.426830769</v>
      </c>
      <c r="P129">
        <v>0</v>
      </c>
      <c r="Q129">
        <v>0</v>
      </c>
      <c r="R129">
        <v>62</v>
      </c>
      <c r="S129" t="inlineStr">
        <is>
          <t>OneTon</t>
        </is>
      </c>
      <c r="T129" t="inlineStr">
        <is>
          <t>Common</t>
        </is>
      </c>
      <c r="U129">
        <v>207</v>
      </c>
      <c r="V129">
        <v>2</v>
      </c>
      <c r="W129">
        <v>125</v>
      </c>
      <c r="X129">
        <v>0</v>
      </c>
      <c r="Y129">
        <v>0</v>
      </c>
    </row>
    <row r="130">
      <c r="B130">
        <v>138</v>
      </c>
      <c r="C130" t="inlineStr">
        <is>
          <t>HighWay</t>
        </is>
      </c>
      <c r="D130" t="inlineStr">
        <is>
          <t>HWY2_004_Box</t>
        </is>
      </c>
      <c r="E130">
        <v>1</v>
      </c>
      <c r="F130" t="inlineStr">
        <is>
          <t>공격 반복</t>
        </is>
      </c>
      <c r="G130">
        <v>12</v>
      </c>
      <c r="H130">
        <v>0</v>
      </c>
      <c r="I130">
        <v>150</v>
      </c>
      <c r="J130">
        <v>0</v>
      </c>
      <c r="K130">
        <v>0</v>
      </c>
      <c r="L130" t="inlineStr">
        <is>
          <t>차량 적 · 원본 전투/성장/코인 시스템</t>
        </is>
      </c>
      <c r="M130" t="inlineStr">
        <is>
          <t>Normal</t>
        </is>
      </c>
      <c r="N130">
        <v>0</v>
      </c>
      <c r="O130">
        <f>'밸런스 조정'!C154*'밸런스 조정'!C155*'밸런스 조정'!C148*(1+('몬스터 성장'!G6/'몬스터 성장'!F6-1)*(U130/'밸런스 조정'!C119)^'몬스터 성장'!H6)</f>
        <v>492.478560947</v>
      </c>
      <c r="P130">
        <v>0</v>
      </c>
      <c r="Q130">
        <v>0</v>
      </c>
      <c r="R130">
        <v>62</v>
      </c>
      <c r="S130" t="inlineStr">
        <is>
          <t>Box</t>
        </is>
      </c>
      <c r="T130" t="inlineStr">
        <is>
          <t>Common</t>
        </is>
      </c>
      <c r="U130">
        <v>402</v>
      </c>
      <c r="V130">
        <v>0</v>
      </c>
      <c r="W130">
        <v>320</v>
      </c>
      <c r="X130">
        <v>0</v>
      </c>
      <c r="Y130">
        <v>0</v>
      </c>
    </row>
    <row r="131">
      <c r="B131">
        <v>139</v>
      </c>
      <c r="C131" t="inlineStr">
        <is>
          <t>HighWay</t>
        </is>
      </c>
      <c r="D131" t="inlineStr">
        <is>
          <t>HWY2_005_Accident</t>
        </is>
      </c>
      <c r="E131">
        <v>1</v>
      </c>
      <c r="F131" t="inlineStr">
        <is>
          <t>공격 반복</t>
        </is>
      </c>
      <c r="G131">
        <v>0</v>
      </c>
      <c r="H131">
        <v>0</v>
      </c>
      <c r="I131">
        <v>150</v>
      </c>
      <c r="J131">
        <v>0</v>
      </c>
      <c r="K131">
        <v>0</v>
      </c>
      <c r="L131" t="inlineStr">
        <is>
          <t>차량 적 · 원본 전투/성장/코인 시스템</t>
        </is>
      </c>
      <c r="M131" t="inlineStr">
        <is>
          <t>Normal</t>
        </is>
      </c>
      <c r="N131">
        <v>0</v>
      </c>
      <c r="O131">
        <f>'밸런스 조정'!C154*'밸런스 조정'!C155*'밸런스 조정'!C153*1</f>
        <v>608</v>
      </c>
      <c r="P131">
        <v>0</v>
      </c>
      <c r="Q131">
        <v>0</v>
      </c>
      <c r="R131">
        <v>62</v>
      </c>
      <c r="S131" t="inlineStr">
        <is>
          <t>Accident</t>
        </is>
      </c>
      <c r="T131" t="inlineStr">
        <is>
          <t>Common</t>
        </is>
      </c>
      <c r="U131">
        <v>234</v>
      </c>
      <c r="V131">
        <v>1.5</v>
      </c>
      <c r="W131">
        <v>84</v>
      </c>
      <c r="X131">
        <v>1</v>
      </c>
      <c r="Y131">
        <v>1</v>
      </c>
    </row>
    <row r="132">
      <c r="B132">
        <v>140</v>
      </c>
      <c r="C132" t="inlineStr">
        <is>
          <t>HighWay</t>
        </is>
      </c>
      <c r="D132" t="inlineStr">
        <is>
          <t>HWY2_006_Taxi</t>
        </is>
      </c>
      <c r="E132">
        <v>1</v>
      </c>
      <c r="F132" t="inlineStr">
        <is>
          <t>공격 반복</t>
        </is>
      </c>
      <c r="G132">
        <v>0</v>
      </c>
      <c r="H132">
        <v>0</v>
      </c>
      <c r="I132">
        <v>150</v>
      </c>
      <c r="J132">
        <v>0</v>
      </c>
      <c r="K132">
        <v>0</v>
      </c>
      <c r="L132" t="inlineStr">
        <is>
          <t>차량 적 · 원본 전투/성장/코인 시스템</t>
        </is>
      </c>
      <c r="M132" t="inlineStr">
        <is>
          <t>Normal</t>
        </is>
      </c>
      <c r="N132">
        <v>0</v>
      </c>
      <c r="O132">
        <f>'밸런스 조정'!C154*'밸런스 조정'!C155*'밸런스 조정'!C146*1</f>
        <v>243.2</v>
      </c>
      <c r="P132">
        <v>0</v>
      </c>
      <c r="Q132">
        <v>0</v>
      </c>
      <c r="R132">
        <v>62</v>
      </c>
      <c r="S132" t="inlineStr">
        <is>
          <t>Taxi</t>
        </is>
      </c>
      <c r="T132" t="inlineStr">
        <is>
          <t>Common</t>
        </is>
      </c>
      <c r="U132">
        <v>235</v>
      </c>
      <c r="V132">
        <v>0</v>
      </c>
      <c r="W132">
        <v>84</v>
      </c>
      <c r="X132">
        <v>1</v>
      </c>
      <c r="Y132">
        <v>1</v>
      </c>
    </row>
    <row r="133">
      <c r="B133">
        <v>141</v>
      </c>
      <c r="C133" t="inlineStr">
        <is>
          <t>HighWay</t>
        </is>
      </c>
      <c r="D133" t="inlineStr">
        <is>
          <t>HWY2_007_Sedan</t>
        </is>
      </c>
      <c r="E133">
        <v>1</v>
      </c>
      <c r="F133" t="inlineStr">
        <is>
          <t>공격 반복</t>
        </is>
      </c>
      <c r="G133">
        <v>0</v>
      </c>
      <c r="H133">
        <v>0</v>
      </c>
      <c r="I133">
        <v>150</v>
      </c>
      <c r="J133">
        <v>0</v>
      </c>
      <c r="K133">
        <v>0</v>
      </c>
      <c r="L133" t="inlineStr">
        <is>
          <t>차량 적 · 원본 전투/성장/코인 시스템</t>
        </is>
      </c>
      <c r="M133" t="inlineStr">
        <is>
          <t>Normal</t>
        </is>
      </c>
      <c r="N133">
        <v>0</v>
      </c>
      <c r="O133">
        <f>'밸런스 조정'!C154*'밸런스 조정'!C155*'밸런스 조정'!C145*1</f>
        <v>243.2</v>
      </c>
      <c r="P133">
        <v>0</v>
      </c>
      <c r="Q133">
        <v>0</v>
      </c>
      <c r="R133">
        <v>62</v>
      </c>
      <c r="S133" t="inlineStr">
        <is>
          <t>Sedan</t>
        </is>
      </c>
      <c r="T133" t="inlineStr">
        <is>
          <t>Common</t>
        </is>
      </c>
      <c r="U133">
        <v>252</v>
      </c>
      <c r="V133">
        <v>1</v>
      </c>
      <c r="W133">
        <v>84</v>
      </c>
      <c r="X133">
        <v>1</v>
      </c>
      <c r="Y133">
        <v>0</v>
      </c>
    </row>
    <row r="134">
      <c r="B134">
        <v>142</v>
      </c>
      <c r="C134" t="inlineStr">
        <is>
          <t>HighWay</t>
        </is>
      </c>
      <c r="D134" t="inlineStr">
        <is>
          <t>HWY2_008_Taxi</t>
        </is>
      </c>
      <c r="E134">
        <v>1</v>
      </c>
      <c r="F134" t="inlineStr">
        <is>
          <t>공격 반복</t>
        </is>
      </c>
      <c r="G134">
        <v>0</v>
      </c>
      <c r="H134">
        <v>0</v>
      </c>
      <c r="I134">
        <v>150</v>
      </c>
      <c r="J134">
        <v>0</v>
      </c>
      <c r="K134">
        <v>0</v>
      </c>
      <c r="L134" t="inlineStr">
        <is>
          <t>차량 적 · 원본 전투/성장/코인 시스템</t>
        </is>
      </c>
      <c r="M134" t="inlineStr">
        <is>
          <t>Normal</t>
        </is>
      </c>
      <c r="N134">
        <v>0</v>
      </c>
      <c r="O134">
        <f>'밸런스 조정'!C154*'밸런스 조정'!C155*'밸런스 조정'!C146*1</f>
        <v>243.2</v>
      </c>
      <c r="P134">
        <v>0</v>
      </c>
      <c r="Q134">
        <v>0</v>
      </c>
      <c r="R134">
        <v>62</v>
      </c>
      <c r="S134" t="inlineStr">
        <is>
          <t>Taxi</t>
        </is>
      </c>
      <c r="T134" t="inlineStr">
        <is>
          <t>Common</t>
        </is>
      </c>
      <c r="U134">
        <v>252</v>
      </c>
      <c r="V134">
        <v>2</v>
      </c>
      <c r="W134">
        <v>84</v>
      </c>
      <c r="X134">
        <v>1</v>
      </c>
      <c r="Y134">
        <v>0</v>
      </c>
    </row>
    <row r="135">
      <c r="B135">
        <v>143</v>
      </c>
      <c r="C135" t="inlineStr">
        <is>
          <t>HighWay</t>
        </is>
      </c>
      <c r="D135" t="inlineStr">
        <is>
          <t>HWY2_009_OneTon</t>
        </is>
      </c>
      <c r="E135">
        <v>1</v>
      </c>
      <c r="F135" t="inlineStr">
        <is>
          <t>공격 반복</t>
        </is>
      </c>
      <c r="G135">
        <v>0</v>
      </c>
      <c r="H135">
        <v>0</v>
      </c>
      <c r="I135">
        <v>150</v>
      </c>
      <c r="J135">
        <v>0</v>
      </c>
      <c r="K135">
        <v>0</v>
      </c>
      <c r="L135" t="inlineStr">
        <is>
          <t>차량 적 · 원본 전투/성장/코인 시스템</t>
        </is>
      </c>
      <c r="M135" t="inlineStr">
        <is>
          <t>Normal</t>
        </is>
      </c>
      <c r="N135">
        <v>0</v>
      </c>
      <c r="O135">
        <f>'밸런스 조정'!C154*'밸런스 조정'!C155*'밸런스 조정'!C147*1</f>
        <v>316.16</v>
      </c>
      <c r="P135">
        <v>0</v>
      </c>
      <c r="Q135">
        <v>0</v>
      </c>
      <c r="R135">
        <v>62</v>
      </c>
      <c r="S135" t="inlineStr">
        <is>
          <t>OneTon</t>
        </is>
      </c>
      <c r="T135" t="inlineStr">
        <is>
          <t>Common</t>
        </is>
      </c>
      <c r="U135">
        <v>270</v>
      </c>
      <c r="V135">
        <v>1</v>
      </c>
      <c r="W135">
        <v>84</v>
      </c>
      <c r="X135">
        <v>1</v>
      </c>
      <c r="Y135">
        <v>0</v>
      </c>
    </row>
    <row r="136">
      <c r="B136">
        <v>144</v>
      </c>
      <c r="C136" t="inlineStr">
        <is>
          <t>HighWay</t>
        </is>
      </c>
      <c r="D136" t="inlineStr">
        <is>
          <t>HWY2_010_Box</t>
        </is>
      </c>
      <c r="E136">
        <v>1</v>
      </c>
      <c r="F136" t="inlineStr">
        <is>
          <t>공격 반복</t>
        </is>
      </c>
      <c r="G136">
        <v>0</v>
      </c>
      <c r="H136">
        <v>0</v>
      </c>
      <c r="I136">
        <v>150</v>
      </c>
      <c r="J136">
        <v>0</v>
      </c>
      <c r="K136">
        <v>0</v>
      </c>
      <c r="L136" t="inlineStr">
        <is>
          <t>차량 적 · 원본 전투/성장/코인 시스템</t>
        </is>
      </c>
      <c r="M136" t="inlineStr">
        <is>
          <t>Normal</t>
        </is>
      </c>
      <c r="N136">
        <v>0</v>
      </c>
      <c r="O136">
        <f>'밸런스 조정'!C154*'밸런스 조정'!C155*'밸런스 조정'!C148*1</f>
        <v>389.12</v>
      </c>
      <c r="P136">
        <v>0</v>
      </c>
      <c r="Q136">
        <v>0</v>
      </c>
      <c r="R136">
        <v>62</v>
      </c>
      <c r="S136" t="inlineStr">
        <is>
          <t>Box</t>
        </is>
      </c>
      <c r="T136" t="inlineStr">
        <is>
          <t>Common</t>
        </is>
      </c>
      <c r="U136">
        <v>270</v>
      </c>
      <c r="V136">
        <v>2</v>
      </c>
      <c r="W136">
        <v>84</v>
      </c>
      <c r="X136">
        <v>1</v>
      </c>
      <c r="Y136">
        <v>0</v>
      </c>
    </row>
    <row r="137">
      <c r="B137">
        <v>145</v>
      </c>
      <c r="C137" t="inlineStr">
        <is>
          <t>HighWay</t>
        </is>
      </c>
      <c r="D137" t="inlineStr">
        <is>
          <t>HWY2_011_Accident</t>
        </is>
      </c>
      <c r="E137">
        <v>1</v>
      </c>
      <c r="F137" t="inlineStr">
        <is>
          <t>공격 반복</t>
        </is>
      </c>
      <c r="G137">
        <v>0</v>
      </c>
      <c r="H137">
        <v>0</v>
      </c>
      <c r="I137">
        <v>150</v>
      </c>
      <c r="J137">
        <v>0</v>
      </c>
      <c r="K137">
        <v>0</v>
      </c>
      <c r="L137" t="inlineStr">
        <is>
          <t>차량 적 · 원본 전투/성장/코인 시스템</t>
        </is>
      </c>
      <c r="M137" t="inlineStr">
        <is>
          <t>Normal</t>
        </is>
      </c>
      <c r="N137">
        <v>0</v>
      </c>
      <c r="O137">
        <f>'밸런스 조정'!C154*'밸런스 조정'!C155*'밸런스 조정'!C153*(1+('몬스터 성장'!G6/'몬스터 성장'!F6-1)*(U137/'밸런스 조정'!C119)^'몬스터 성장'!H6)</f>
        <v>979.855358317</v>
      </c>
      <c r="P137">
        <v>0</v>
      </c>
      <c r="Q137">
        <v>0</v>
      </c>
      <c r="R137">
        <v>62</v>
      </c>
      <c r="S137" t="inlineStr">
        <is>
          <t>Accident</t>
        </is>
      </c>
      <c r="T137" t="inlineStr">
        <is>
          <t>Jam</t>
        </is>
      </c>
      <c r="U137">
        <v>610</v>
      </c>
      <c r="V137">
        <v>1.5</v>
      </c>
      <c r="W137">
        <v>460</v>
      </c>
      <c r="X137">
        <v>2</v>
      </c>
      <c r="Y137">
        <v>1</v>
      </c>
    </row>
    <row r="138">
      <c r="B138">
        <v>146</v>
      </c>
      <c r="C138" t="inlineStr">
        <is>
          <t>HighWay</t>
        </is>
      </c>
      <c r="D138" t="inlineStr">
        <is>
          <t>HWY2_012_Taxi</t>
        </is>
      </c>
      <c r="E138">
        <v>1</v>
      </c>
      <c r="F138" t="inlineStr">
        <is>
          <t>공격 반복</t>
        </is>
      </c>
      <c r="G138">
        <v>0</v>
      </c>
      <c r="H138">
        <v>0</v>
      </c>
      <c r="I138">
        <v>150</v>
      </c>
      <c r="J138">
        <v>0</v>
      </c>
      <c r="K138">
        <v>0</v>
      </c>
      <c r="L138" t="inlineStr">
        <is>
          <t>차량 적 · 원본 전투/성장/코인 시스템</t>
        </is>
      </c>
      <c r="M138" t="inlineStr">
        <is>
          <t>Normal</t>
        </is>
      </c>
      <c r="N138">
        <v>0</v>
      </c>
      <c r="O138">
        <f>'밸런스 조정'!C154*'밸런스 조정'!C155*'밸런스 조정'!C146*(1+('몬스터 성장'!G6/'몬스터 성장'!F6-1)*(U138/'밸런스 조정'!C119)^'몬스터 성장'!H6)</f>
        <v>392.430222222</v>
      </c>
      <c r="P138">
        <v>0</v>
      </c>
      <c r="Q138">
        <v>0</v>
      </c>
      <c r="R138">
        <v>62</v>
      </c>
      <c r="S138" t="inlineStr">
        <is>
          <t>Taxi</t>
        </is>
      </c>
      <c r="T138" t="inlineStr">
        <is>
          <t>Jam</t>
        </is>
      </c>
      <c r="U138">
        <v>611</v>
      </c>
      <c r="V138">
        <v>0</v>
      </c>
      <c r="W138">
        <v>460</v>
      </c>
      <c r="X138">
        <v>2</v>
      </c>
      <c r="Y138">
        <v>1</v>
      </c>
    </row>
    <row r="139">
      <c r="B139">
        <v>147</v>
      </c>
      <c r="C139" t="inlineStr">
        <is>
          <t>HighWay</t>
        </is>
      </c>
      <c r="D139" t="inlineStr">
        <is>
          <t>HWY2_013_Tanker</t>
        </is>
      </c>
      <c r="E139">
        <v>1</v>
      </c>
      <c r="F139" t="inlineStr">
        <is>
          <t>공격 반복</t>
        </is>
      </c>
      <c r="G139">
        <v>0</v>
      </c>
      <c r="H139">
        <v>0</v>
      </c>
      <c r="I139">
        <v>150</v>
      </c>
      <c r="J139">
        <v>0</v>
      </c>
      <c r="K139">
        <v>0</v>
      </c>
      <c r="L139" t="inlineStr">
        <is>
          <t>차량 적 · 원본 전투/성장/코인 시스템</t>
        </is>
      </c>
      <c r="M139" t="inlineStr">
        <is>
          <t>Normal</t>
        </is>
      </c>
      <c r="N139">
        <v>0</v>
      </c>
      <c r="O139">
        <f>'밸런스 조정'!C154*'밸런스 조정'!C155*'밸런스 조정'!C149*(1+('몬스터 성장'!G6/'몬스터 성장'!F6-1)*(U139/'밸런스 조정'!C119)^'몬스터 성장'!H6)</f>
        <v>801.699765943</v>
      </c>
      <c r="P139">
        <v>0</v>
      </c>
      <c r="Q139">
        <v>0</v>
      </c>
      <c r="R139">
        <v>124</v>
      </c>
      <c r="S139" t="inlineStr">
        <is>
          <t>Tanker</t>
        </is>
      </c>
      <c r="T139" t="inlineStr">
        <is>
          <t>Jam</t>
        </is>
      </c>
      <c r="U139">
        <v>628</v>
      </c>
      <c r="V139">
        <v>1</v>
      </c>
      <c r="W139">
        <v>460</v>
      </c>
      <c r="X139">
        <v>2</v>
      </c>
      <c r="Y139">
        <v>0</v>
      </c>
    </row>
    <row r="140">
      <c r="B140">
        <v>148</v>
      </c>
      <c r="C140" t="inlineStr">
        <is>
          <t>HighWay</t>
        </is>
      </c>
      <c r="D140" t="inlineStr">
        <is>
          <t>HWY2_014_Taxi</t>
        </is>
      </c>
      <c r="E140">
        <v>1</v>
      </c>
      <c r="F140" t="inlineStr">
        <is>
          <t>공격 반복</t>
        </is>
      </c>
      <c r="G140">
        <v>0</v>
      </c>
      <c r="H140">
        <v>0</v>
      </c>
      <c r="I140">
        <v>150</v>
      </c>
      <c r="J140">
        <v>0</v>
      </c>
      <c r="K140">
        <v>0</v>
      </c>
      <c r="L140" t="inlineStr">
        <is>
          <t>차량 적 · 원본 전투/성장/코인 시스템</t>
        </is>
      </c>
      <c r="M140" t="inlineStr">
        <is>
          <t>Normal</t>
        </is>
      </c>
      <c r="N140">
        <v>0</v>
      </c>
      <c r="O140">
        <f>'밸런스 조정'!C154*'밸런스 조정'!C155*'밸런스 조정'!C146*(1+('몬스터 성장'!G6/'몬스터 성장'!F6-1)*(U140/'밸런스 조정'!C119)^'몬스터 성장'!H6)</f>
        <v>400.849882972</v>
      </c>
      <c r="P140">
        <v>0</v>
      </c>
      <c r="Q140">
        <v>0</v>
      </c>
      <c r="R140">
        <v>62</v>
      </c>
      <c r="S140" t="inlineStr">
        <is>
          <t>Taxi</t>
        </is>
      </c>
      <c r="T140" t="inlineStr">
        <is>
          <t>Jam</t>
        </is>
      </c>
      <c r="U140">
        <v>628</v>
      </c>
      <c r="V140">
        <v>2</v>
      </c>
      <c r="W140">
        <v>460</v>
      </c>
      <c r="X140">
        <v>2</v>
      </c>
      <c r="Y140">
        <v>0</v>
      </c>
    </row>
    <row r="141">
      <c r="B141">
        <v>149</v>
      </c>
      <c r="C141" t="inlineStr">
        <is>
          <t>HighWay</t>
        </is>
      </c>
      <c r="D141" t="inlineStr">
        <is>
          <t>HWY2_015_OneTon</t>
        </is>
      </c>
      <c r="E141">
        <v>1</v>
      </c>
      <c r="F141" t="inlineStr">
        <is>
          <t>공격 반복</t>
        </is>
      </c>
      <c r="G141">
        <v>0</v>
      </c>
      <c r="H141">
        <v>0</v>
      </c>
      <c r="I141">
        <v>150</v>
      </c>
      <c r="J141">
        <v>0</v>
      </c>
      <c r="K141">
        <v>0</v>
      </c>
      <c r="L141" t="inlineStr">
        <is>
          <t>차량 적 · 원본 전투/성장/코인 시스템</t>
        </is>
      </c>
      <c r="M141" t="inlineStr">
        <is>
          <t>Normal</t>
        </is>
      </c>
      <c r="N141">
        <v>0</v>
      </c>
      <c r="O141">
        <f>'밸런스 조정'!C154*'밸런스 조정'!C155*'밸런스 조정'!C147*(1+('몬스터 성장'!G6/'몬스터 성장'!F6-1)*(U141/'밸런스 조정'!C119)^'몬스터 성장'!H6)</f>
        <v>533.021647863</v>
      </c>
      <c r="P141">
        <v>0</v>
      </c>
      <c r="Q141">
        <v>0</v>
      </c>
      <c r="R141">
        <v>62</v>
      </c>
      <c r="S141" t="inlineStr">
        <is>
          <t>OneTon</t>
        </is>
      </c>
      <c r="T141" t="inlineStr">
        <is>
          <t>Jam</t>
        </is>
      </c>
      <c r="U141">
        <v>646</v>
      </c>
      <c r="V141">
        <v>1</v>
      </c>
      <c r="W141">
        <v>460</v>
      </c>
      <c r="X141">
        <v>2</v>
      </c>
      <c r="Y141">
        <v>0</v>
      </c>
    </row>
    <row r="142">
      <c r="B142">
        <v>150</v>
      </c>
      <c r="C142" t="inlineStr">
        <is>
          <t>HighWay</t>
        </is>
      </c>
      <c r="D142" t="inlineStr">
        <is>
          <t>HWY2_016_Box</t>
        </is>
      </c>
      <c r="E142">
        <v>1</v>
      </c>
      <c r="F142" t="inlineStr">
        <is>
          <t>공격 반복</t>
        </is>
      </c>
      <c r="G142">
        <v>0</v>
      </c>
      <c r="H142">
        <v>0</v>
      </c>
      <c r="I142">
        <v>150</v>
      </c>
      <c r="J142">
        <v>0</v>
      </c>
      <c r="K142">
        <v>0</v>
      </c>
      <c r="L142" t="inlineStr">
        <is>
          <t>차량 적 · 원본 전투/성장/코인 시스템</t>
        </is>
      </c>
      <c r="M142" t="inlineStr">
        <is>
          <t>Normal</t>
        </is>
      </c>
      <c r="N142">
        <v>0</v>
      </c>
      <c r="O142">
        <f>'밸런스 조정'!C154*'밸런스 조정'!C155*'밸런스 조정'!C148*(1+('몬스터 성장'!G6/'몬스터 성장'!F6-1)*(U142/'밸런스 조정'!C119)^'몬스터 성장'!H6)</f>
        <v>656.026643524</v>
      </c>
      <c r="P142">
        <v>0</v>
      </c>
      <c r="Q142">
        <v>0</v>
      </c>
      <c r="R142">
        <v>62</v>
      </c>
      <c r="S142" t="inlineStr">
        <is>
          <t>Box</t>
        </is>
      </c>
      <c r="T142" t="inlineStr">
        <is>
          <t>Jam</t>
        </is>
      </c>
      <c r="U142">
        <v>646</v>
      </c>
      <c r="V142">
        <v>2</v>
      </c>
      <c r="W142">
        <v>460</v>
      </c>
      <c r="X142">
        <v>2</v>
      </c>
      <c r="Y142">
        <v>0</v>
      </c>
    </row>
    <row r="143">
      <c r="B143">
        <v>151</v>
      </c>
      <c r="C143" t="inlineStr">
        <is>
          <t>HighWay</t>
        </is>
      </c>
      <c r="D143" t="inlineStr">
        <is>
          <t>HWY2_017_Accident</t>
        </is>
      </c>
      <c r="E143">
        <v>1</v>
      </c>
      <c r="F143" t="inlineStr">
        <is>
          <t>공격 반복</t>
        </is>
      </c>
      <c r="G143">
        <v>0</v>
      </c>
      <c r="H143">
        <v>0</v>
      </c>
      <c r="I143">
        <v>150</v>
      </c>
      <c r="J143">
        <v>0</v>
      </c>
      <c r="K143">
        <v>0</v>
      </c>
      <c r="L143" t="inlineStr">
        <is>
          <t>차량 적 · 원본 전투/성장/코인 시스템</t>
        </is>
      </c>
      <c r="M143" t="inlineStr">
        <is>
          <t>Normal</t>
        </is>
      </c>
      <c r="N143">
        <v>0</v>
      </c>
      <c r="O143">
        <f>'밸런스 조정'!C154*'밸런스 조정'!C155*'밸런스 조정'!C153*(1+('몬스터 성장'!G6/'몬스터 성장'!F6-1)*(U143/'밸런스 조정'!C119)^'몬스터 성장'!H6)</f>
        <v>1500.43786982</v>
      </c>
      <c r="P143">
        <v>0</v>
      </c>
      <c r="Q143">
        <v>0</v>
      </c>
      <c r="R143">
        <v>62</v>
      </c>
      <c r="S143" t="inlineStr">
        <is>
          <t>Accident</t>
        </is>
      </c>
      <c r="T143" t="inlineStr">
        <is>
          <t>Jam</t>
        </is>
      </c>
      <c r="U143">
        <v>945</v>
      </c>
      <c r="V143">
        <v>1.5</v>
      </c>
      <c r="W143">
        <v>795</v>
      </c>
      <c r="X143">
        <v>3</v>
      </c>
      <c r="Y143">
        <v>1</v>
      </c>
    </row>
    <row r="144">
      <c r="B144">
        <v>152</v>
      </c>
      <c r="C144" t="inlineStr">
        <is>
          <t>HighWay</t>
        </is>
      </c>
      <c r="D144" t="inlineStr">
        <is>
          <t>HWY2_018_Taxi</t>
        </is>
      </c>
      <c r="E144">
        <v>1</v>
      </c>
      <c r="F144" t="inlineStr">
        <is>
          <t>공격 반복</t>
        </is>
      </c>
      <c r="G144">
        <v>0</v>
      </c>
      <c r="H144">
        <v>0</v>
      </c>
      <c r="I144">
        <v>150</v>
      </c>
      <c r="J144">
        <v>0</v>
      </c>
      <c r="K144">
        <v>0</v>
      </c>
      <c r="L144" t="inlineStr">
        <is>
          <t>차량 적 · 원본 전투/성장/코인 시스템</t>
        </is>
      </c>
      <c r="M144" t="inlineStr">
        <is>
          <t>Normal</t>
        </is>
      </c>
      <c r="N144">
        <v>0</v>
      </c>
      <c r="O144">
        <f>'밸런스 조정'!C154*'밸런스 조정'!C155*'밸런스 조정'!C146*(1+('몬스터 성장'!G6/'몬스터 성장'!F6-1)*(U144/'밸런스 조정'!C119)^'몬스터 성장'!H6)</f>
        <v>600.931050625</v>
      </c>
      <c r="P144">
        <v>0</v>
      </c>
      <c r="Q144">
        <v>0</v>
      </c>
      <c r="R144">
        <v>62</v>
      </c>
      <c r="S144" t="inlineStr">
        <is>
          <t>Taxi</t>
        </is>
      </c>
      <c r="T144" t="inlineStr">
        <is>
          <t>Jam</t>
        </is>
      </c>
      <c r="U144">
        <v>946</v>
      </c>
      <c r="V144">
        <v>0</v>
      </c>
      <c r="W144">
        <v>795</v>
      </c>
      <c r="X144">
        <v>3</v>
      </c>
      <c r="Y144">
        <v>1</v>
      </c>
    </row>
    <row r="145">
      <c r="B145">
        <v>153</v>
      </c>
      <c r="C145" t="inlineStr">
        <is>
          <t>HighWay</t>
        </is>
      </c>
      <c r="D145" t="inlineStr">
        <is>
          <t>HWY2_019_Tanker</t>
        </is>
      </c>
      <c r="E145">
        <v>1</v>
      </c>
      <c r="F145" t="inlineStr">
        <is>
          <t>공격 반복</t>
        </is>
      </c>
      <c r="G145">
        <v>0</v>
      </c>
      <c r="H145">
        <v>0</v>
      </c>
      <c r="I145">
        <v>150</v>
      </c>
      <c r="J145">
        <v>0</v>
      </c>
      <c r="K145">
        <v>0</v>
      </c>
      <c r="L145" t="inlineStr">
        <is>
          <t>차량 적 · 원본 전투/성장/코인 시스템</t>
        </is>
      </c>
      <c r="M145" t="inlineStr">
        <is>
          <t>Normal</t>
        </is>
      </c>
      <c r="N145">
        <v>0</v>
      </c>
      <c r="O145">
        <f>'밸런스 조정'!C154*'밸런스 조정'!C155*'밸런스 조정'!C149*(1+('몬스터 성장'!G6/'몬스터 성장'!F6-1)*(U145/'밸런스 조정'!C119)^'몬스터 성장'!H6)</f>
        <v>1227.80743195</v>
      </c>
      <c r="P145">
        <v>0</v>
      </c>
      <c r="Q145">
        <v>0</v>
      </c>
      <c r="R145">
        <v>124</v>
      </c>
      <c r="S145" t="inlineStr">
        <is>
          <t>Tanker</t>
        </is>
      </c>
      <c r="T145" t="inlineStr">
        <is>
          <t>Jam</t>
        </is>
      </c>
      <c r="U145">
        <v>963</v>
      </c>
      <c r="V145">
        <v>1</v>
      </c>
      <c r="W145">
        <v>795</v>
      </c>
      <c r="X145">
        <v>3</v>
      </c>
      <c r="Y145">
        <v>0</v>
      </c>
    </row>
    <row r="146">
      <c r="B146">
        <v>154</v>
      </c>
      <c r="C146" t="inlineStr">
        <is>
          <t>HighWay</t>
        </is>
      </c>
      <c r="D146" t="inlineStr">
        <is>
          <t>HWY2_020_Taxi</t>
        </is>
      </c>
      <c r="E146">
        <v>1</v>
      </c>
      <c r="F146" t="inlineStr">
        <is>
          <t>공격 반복</t>
        </is>
      </c>
      <c r="G146">
        <v>0</v>
      </c>
      <c r="H146">
        <v>0</v>
      </c>
      <c r="I146">
        <v>150</v>
      </c>
      <c r="J146">
        <v>0</v>
      </c>
      <c r="K146">
        <v>0</v>
      </c>
      <c r="L146" t="inlineStr">
        <is>
          <t>차량 적 · 원본 전투/성장/코인 시스템</t>
        </is>
      </c>
      <c r="M146" t="inlineStr">
        <is>
          <t>Normal</t>
        </is>
      </c>
      <c r="N146">
        <v>0</v>
      </c>
      <c r="O146">
        <f>'밸런스 조정'!C154*'밸런스 조정'!C155*'밸런스 조정'!C146*(1+('몬스터 성장'!G6/'몬스터 성장'!F6-1)*(U146/'밸런스 조정'!C119)^'몬스터 성장'!H6)</f>
        <v>613.903715976</v>
      </c>
      <c r="P146">
        <v>0</v>
      </c>
      <c r="Q146">
        <v>0</v>
      </c>
      <c r="R146">
        <v>62</v>
      </c>
      <c r="S146" t="inlineStr">
        <is>
          <t>Taxi</t>
        </is>
      </c>
      <c r="T146" t="inlineStr">
        <is>
          <t>Jam</t>
        </is>
      </c>
      <c r="U146">
        <v>963</v>
      </c>
      <c r="V146">
        <v>2</v>
      </c>
      <c r="W146">
        <v>795</v>
      </c>
      <c r="X146">
        <v>3</v>
      </c>
      <c r="Y146">
        <v>0</v>
      </c>
    </row>
    <row r="147">
      <c r="B147">
        <v>155</v>
      </c>
      <c r="C147" t="inlineStr">
        <is>
          <t>HighWay</t>
        </is>
      </c>
      <c r="D147" t="inlineStr">
        <is>
          <t>HWY2_021_OneTon</t>
        </is>
      </c>
      <c r="E147">
        <v>1</v>
      </c>
      <c r="F147" t="inlineStr">
        <is>
          <t>공격 반복</t>
        </is>
      </c>
      <c r="G147">
        <v>0</v>
      </c>
      <c r="H147">
        <v>0</v>
      </c>
      <c r="I147">
        <v>150</v>
      </c>
      <c r="J147">
        <v>0</v>
      </c>
      <c r="K147">
        <v>0</v>
      </c>
      <c r="L147" t="inlineStr">
        <is>
          <t>차량 적 · 원본 전투/성장/코인 시스템</t>
        </is>
      </c>
      <c r="M147" t="inlineStr">
        <is>
          <t>Normal</t>
        </is>
      </c>
      <c r="N147">
        <v>0</v>
      </c>
      <c r="O147">
        <f>'밸런스 조정'!C154*'밸런스 조정'!C155*'밸런스 조정'!C147*(1+('몬스터 성장'!G6/'몬스터 성장'!F6-1)*(U147/'밸런스 조정'!C119)^'몬스터 성장'!H6)</f>
        <v>816.258707692</v>
      </c>
      <c r="P147">
        <v>0</v>
      </c>
      <c r="Q147">
        <v>0</v>
      </c>
      <c r="R147">
        <v>62</v>
      </c>
      <c r="S147" t="inlineStr">
        <is>
          <t>OneTon</t>
        </is>
      </c>
      <c r="T147" t="inlineStr">
        <is>
          <t>Jam</t>
        </is>
      </c>
      <c r="U147">
        <v>981</v>
      </c>
      <c r="V147">
        <v>1</v>
      </c>
      <c r="W147">
        <v>795</v>
      </c>
      <c r="X147">
        <v>3</v>
      </c>
      <c r="Y147">
        <v>0</v>
      </c>
    </row>
    <row r="148">
      <c r="B148">
        <v>156</v>
      </c>
      <c r="C148" t="inlineStr">
        <is>
          <t>HighWay</t>
        </is>
      </c>
      <c r="D148" t="inlineStr">
        <is>
          <t>HWY2_022_Box</t>
        </is>
      </c>
      <c r="E148">
        <v>1</v>
      </c>
      <c r="F148" t="inlineStr">
        <is>
          <t>공격 반복</t>
        </is>
      </c>
      <c r="G148">
        <v>0</v>
      </c>
      <c r="H148">
        <v>0</v>
      </c>
      <c r="I148">
        <v>150</v>
      </c>
      <c r="J148">
        <v>0</v>
      </c>
      <c r="K148">
        <v>0</v>
      </c>
      <c r="L148" t="inlineStr">
        <is>
          <t>차량 적 · 원본 전투/성장/코인 시스템</t>
        </is>
      </c>
      <c r="M148" t="inlineStr">
        <is>
          <t>Normal</t>
        </is>
      </c>
      <c r="N148">
        <v>0</v>
      </c>
      <c r="O148">
        <f>'밸런스 조정'!C154*'밸런스 조정'!C155*'밸런스 조정'!C148*(1+('몬스터 성장'!G6/'몬스터 성장'!F6-1)*(U148/'밸런스 조정'!C119)^'몬스터 성장'!H6)</f>
        <v>1004.62610178</v>
      </c>
      <c r="P148">
        <v>0</v>
      </c>
      <c r="Q148">
        <v>0</v>
      </c>
      <c r="R148">
        <v>62</v>
      </c>
      <c r="S148" t="inlineStr">
        <is>
          <t>Box</t>
        </is>
      </c>
      <c r="T148" t="inlineStr">
        <is>
          <t>Jam</t>
        </is>
      </c>
      <c r="U148">
        <v>981</v>
      </c>
      <c r="V148">
        <v>2</v>
      </c>
      <c r="W148">
        <v>795</v>
      </c>
      <c r="X148">
        <v>3</v>
      </c>
      <c r="Y148">
        <v>0</v>
      </c>
    </row>
    <row r="149">
      <c r="B149">
        <v>157</v>
      </c>
      <c r="C149" t="inlineStr">
        <is>
          <t>HighWay</t>
        </is>
      </c>
      <c r="D149" t="inlineStr">
        <is>
          <t>HWY2_023_Accident</t>
        </is>
      </c>
      <c r="E149">
        <v>1</v>
      </c>
      <c r="F149" t="inlineStr">
        <is>
          <t>공격 반복</t>
        </is>
      </c>
      <c r="G149">
        <v>0</v>
      </c>
      <c r="H149">
        <v>0</v>
      </c>
      <c r="I149">
        <v>150</v>
      </c>
      <c r="J149">
        <v>0</v>
      </c>
      <c r="K149">
        <v>0</v>
      </c>
      <c r="L149" t="inlineStr">
        <is>
          <t>차량 적 · 원본 전투/성장/코인 시스템</t>
        </is>
      </c>
      <c r="M149" t="inlineStr">
        <is>
          <t>Normal</t>
        </is>
      </c>
      <c r="N149">
        <v>0</v>
      </c>
      <c r="O149">
        <f>'밸런스 조정'!C154*'밸런스 조정'!C155*'밸런스 조정'!C153*(1+('몬스터 성장'!G6/'몬스터 성장'!F6-1)*(U149/'밸런스 조정'!C119)^'몬스터 성장'!H6)</f>
        <v>2164.48</v>
      </c>
      <c r="P149">
        <v>0</v>
      </c>
      <c r="Q149">
        <v>0</v>
      </c>
      <c r="R149">
        <v>62</v>
      </c>
      <c r="S149" t="inlineStr">
        <is>
          <t>Accident</t>
        </is>
      </c>
      <c r="T149" t="inlineStr">
        <is>
          <t>Common</t>
        </is>
      </c>
      <c r="U149">
        <v>1248</v>
      </c>
      <c r="V149">
        <v>1.5</v>
      </c>
      <c r="W149">
        <v>1098</v>
      </c>
      <c r="X149">
        <v>4</v>
      </c>
      <c r="Y149">
        <v>1</v>
      </c>
    </row>
    <row r="150">
      <c r="B150">
        <v>158</v>
      </c>
      <c r="C150" t="inlineStr">
        <is>
          <t>HighWay</t>
        </is>
      </c>
      <c r="D150" t="inlineStr">
        <is>
          <t>HWY2_024_Taxi</t>
        </is>
      </c>
      <c r="E150">
        <v>1</v>
      </c>
      <c r="F150" t="inlineStr">
        <is>
          <t>공격 반복</t>
        </is>
      </c>
      <c r="G150">
        <v>0</v>
      </c>
      <c r="H150">
        <v>0</v>
      </c>
      <c r="I150">
        <v>150</v>
      </c>
      <c r="J150">
        <v>0</v>
      </c>
      <c r="K150">
        <v>0</v>
      </c>
      <c r="L150" t="inlineStr">
        <is>
          <t>차량 적 · 원본 전투/성장/코인 시스템</t>
        </is>
      </c>
      <c r="M150" t="inlineStr">
        <is>
          <t>Normal</t>
        </is>
      </c>
      <c r="N150">
        <v>0</v>
      </c>
      <c r="O150">
        <f>'밸런스 조정'!C154*'밸런스 조정'!C155*'밸런스 조정'!C146*(1+('몬스터 성장'!G6/'몬스터 성장'!F6-1)*(U150/'밸런스 조정'!C119)^'몬스터 성장'!H6)</f>
        <v>866.790143327</v>
      </c>
      <c r="P150">
        <v>0</v>
      </c>
      <c r="Q150">
        <v>0</v>
      </c>
      <c r="R150">
        <v>62</v>
      </c>
      <c r="S150" t="inlineStr">
        <is>
          <t>Taxi</t>
        </is>
      </c>
      <c r="T150" t="inlineStr">
        <is>
          <t>Common</t>
        </is>
      </c>
      <c r="U150">
        <v>1249</v>
      </c>
      <c r="V150">
        <v>0</v>
      </c>
      <c r="W150">
        <v>1098</v>
      </c>
      <c r="X150">
        <v>4</v>
      </c>
      <c r="Y150">
        <v>1</v>
      </c>
    </row>
    <row r="151">
      <c r="B151">
        <v>159</v>
      </c>
      <c r="C151" t="inlineStr">
        <is>
          <t>HighWay</t>
        </is>
      </c>
      <c r="D151" t="inlineStr">
        <is>
          <t>HWY2_025_Tanker</t>
        </is>
      </c>
      <c r="E151">
        <v>1</v>
      </c>
      <c r="F151" t="inlineStr">
        <is>
          <t>공격 반복</t>
        </is>
      </c>
      <c r="G151">
        <v>0</v>
      </c>
      <c r="H151">
        <v>0</v>
      </c>
      <c r="I151">
        <v>150</v>
      </c>
      <c r="J151">
        <v>0</v>
      </c>
      <c r="K151">
        <v>0</v>
      </c>
      <c r="L151" t="inlineStr">
        <is>
          <t>차량 적 · 원본 전투/성장/코인 시스템</t>
        </is>
      </c>
      <c r="M151" t="inlineStr">
        <is>
          <t>Normal</t>
        </is>
      </c>
      <c r="N151">
        <v>0</v>
      </c>
      <c r="O151">
        <f>'밸런스 조정'!C154*'밸런스 조정'!C155*'밸런스 조정'!C149*(1+('몬스터 성장'!G6/'몬스터 성장'!F6-1)*(U151/'밸런스 조정'!C119)^'몬스터 성장'!H6)</f>
        <v>1767.76179882</v>
      </c>
      <c r="P151">
        <v>0</v>
      </c>
      <c r="Q151">
        <v>0</v>
      </c>
      <c r="R151">
        <v>124</v>
      </c>
      <c r="S151" t="inlineStr">
        <is>
          <t>Tanker</t>
        </is>
      </c>
      <c r="T151" t="inlineStr">
        <is>
          <t>Common</t>
        </is>
      </c>
      <c r="U151">
        <v>1266</v>
      </c>
      <c r="V151">
        <v>1</v>
      </c>
      <c r="W151">
        <v>1098</v>
      </c>
      <c r="X151">
        <v>4</v>
      </c>
      <c r="Y151">
        <v>0</v>
      </c>
    </row>
    <row r="152">
      <c r="B152">
        <v>160</v>
      </c>
      <c r="C152" t="inlineStr">
        <is>
          <t>HighWay</t>
        </is>
      </c>
      <c r="D152" t="inlineStr">
        <is>
          <t>HWY2_026_Taxi</t>
        </is>
      </c>
      <c r="E152">
        <v>1</v>
      </c>
      <c r="F152" t="inlineStr">
        <is>
          <t>공격 반복</t>
        </is>
      </c>
      <c r="G152">
        <v>0</v>
      </c>
      <c r="H152">
        <v>0</v>
      </c>
      <c r="I152">
        <v>150</v>
      </c>
      <c r="J152">
        <v>0</v>
      </c>
      <c r="K152">
        <v>0</v>
      </c>
      <c r="L152" t="inlineStr">
        <is>
          <t>차량 적 · 원본 전투/성장/코인 시스템</t>
        </is>
      </c>
      <c r="M152" t="inlineStr">
        <is>
          <t>Normal</t>
        </is>
      </c>
      <c r="N152">
        <v>0</v>
      </c>
      <c r="O152">
        <f>'밸런스 조정'!C154*'밸런스 조정'!C155*'밸런스 조정'!C146*(1+('몬스터 성장'!G6/'몬스터 성장'!F6-1)*(U152/'밸런스 조정'!C119)^'몬스터 성장'!H6)</f>
        <v>883.880899408</v>
      </c>
      <c r="P152">
        <v>0</v>
      </c>
      <c r="Q152">
        <v>0</v>
      </c>
      <c r="R152">
        <v>62</v>
      </c>
      <c r="S152" t="inlineStr">
        <is>
          <t>Taxi</t>
        </is>
      </c>
      <c r="T152" t="inlineStr">
        <is>
          <t>Common</t>
        </is>
      </c>
      <c r="U152">
        <v>1266</v>
      </c>
      <c r="V152">
        <v>2</v>
      </c>
      <c r="W152">
        <v>1098</v>
      </c>
      <c r="X152">
        <v>4</v>
      </c>
      <c r="Y152">
        <v>0</v>
      </c>
    </row>
    <row r="153">
      <c r="B153">
        <v>161</v>
      </c>
      <c r="C153" t="inlineStr">
        <is>
          <t>HighWay</t>
        </is>
      </c>
      <c r="D153" t="inlineStr">
        <is>
          <t>HWY2_027_OneTon</t>
        </is>
      </c>
      <c r="E153">
        <v>1</v>
      </c>
      <c r="F153" t="inlineStr">
        <is>
          <t>공격 반복</t>
        </is>
      </c>
      <c r="G153">
        <v>0</v>
      </c>
      <c r="H153">
        <v>0</v>
      </c>
      <c r="I153">
        <v>150</v>
      </c>
      <c r="J153">
        <v>0</v>
      </c>
      <c r="K153">
        <v>0</v>
      </c>
      <c r="L153" t="inlineStr">
        <is>
          <t>차량 적 · 원본 전투/성장/코인 시스템</t>
        </is>
      </c>
      <c r="M153" t="inlineStr">
        <is>
          <t>Normal</t>
        </is>
      </c>
      <c r="N153">
        <v>0</v>
      </c>
      <c r="O153">
        <f>'밸런스 조정'!C154*'밸런스 조정'!C155*'밸런스 조정'!C147*(1+('몬스터 성장'!G6/'몬스터 성장'!F6-1)*(U153/'밸런스 조정'!C119)^'몬스터 성장'!H6)</f>
        <v>1172.89747692</v>
      </c>
      <c r="P153">
        <v>0</v>
      </c>
      <c r="Q153">
        <v>0</v>
      </c>
      <c r="R153">
        <v>62</v>
      </c>
      <c r="S153" t="inlineStr">
        <is>
          <t>OneTon</t>
        </is>
      </c>
      <c r="T153" t="inlineStr">
        <is>
          <t>Common</t>
        </is>
      </c>
      <c r="U153">
        <v>1284</v>
      </c>
      <c r="V153">
        <v>1</v>
      </c>
      <c r="W153">
        <v>1098</v>
      </c>
      <c r="X153">
        <v>4</v>
      </c>
      <c r="Y153">
        <v>0</v>
      </c>
    </row>
    <row r="154">
      <c r="B154">
        <v>162</v>
      </c>
      <c r="C154" t="inlineStr">
        <is>
          <t>HighWay</t>
        </is>
      </c>
      <c r="D154" t="inlineStr">
        <is>
          <t>HWY2_028_Box</t>
        </is>
      </c>
      <c r="E154">
        <v>1</v>
      </c>
      <c r="F154" t="inlineStr">
        <is>
          <t>공격 반복</t>
        </is>
      </c>
      <c r="G154">
        <v>0</v>
      </c>
      <c r="H154">
        <v>0</v>
      </c>
      <c r="I154">
        <v>150</v>
      </c>
      <c r="J154">
        <v>0</v>
      </c>
      <c r="K154">
        <v>0</v>
      </c>
      <c r="L154" t="inlineStr">
        <is>
          <t>차량 적 · 원본 전투/성장/코인 시스템</t>
        </is>
      </c>
      <c r="M154" t="inlineStr">
        <is>
          <t>Normal</t>
        </is>
      </c>
      <c r="N154">
        <v>0</v>
      </c>
      <c r="O154">
        <f>'밸런스 조정'!C154*'밸런스 조정'!C155*'밸런스 조정'!C148*(1+('몬스터 성장'!G6/'몬스터 성장'!F6-1)*(U154/'밸런스 조정'!C119)^'몬스터 성장'!H6)</f>
        <v>1443.56612544</v>
      </c>
      <c r="P154">
        <v>0</v>
      </c>
      <c r="Q154">
        <v>0</v>
      </c>
      <c r="R154">
        <v>62</v>
      </c>
      <c r="S154" t="inlineStr">
        <is>
          <t>Box</t>
        </is>
      </c>
      <c r="T154" t="inlineStr">
        <is>
          <t>Common</t>
        </is>
      </c>
      <c r="U154">
        <v>1284</v>
      </c>
      <c r="V154">
        <v>2</v>
      </c>
      <c r="W154">
        <v>1098</v>
      </c>
      <c r="X154">
        <v>4</v>
      </c>
      <c r="Y154">
        <v>0</v>
      </c>
    </row>
    <row r="155">
      <c r="B155">
        <v>163</v>
      </c>
      <c r="C155" t="inlineStr">
        <is>
          <t>HighWay</t>
        </is>
      </c>
      <c r="D155" t="inlineStr">
        <is>
          <t>HWY2_029_Sedan</t>
        </is>
      </c>
      <c r="E155">
        <v>1</v>
      </c>
      <c r="F155" t="inlineStr">
        <is>
          <t>공격 반복</t>
        </is>
      </c>
      <c r="G155">
        <v>3</v>
      </c>
      <c r="H155">
        <v>0</v>
      </c>
      <c r="I155">
        <v>150</v>
      </c>
      <c r="J155">
        <v>0</v>
      </c>
      <c r="K155">
        <v>0</v>
      </c>
      <c r="L155" t="inlineStr">
        <is>
          <t>차량 적 · 원본 전투/성장/코인 시스템</t>
        </is>
      </c>
      <c r="M155" t="inlineStr">
        <is>
          <t>Normal</t>
        </is>
      </c>
      <c r="N155">
        <v>0</v>
      </c>
      <c r="O155">
        <f>'밸런스 조정'!C154*'밸런스 조정'!C155*'밸런스 조정'!C145*(1+('몬스터 성장'!G6/'몬스터 성장'!F6-1)*(U155/'밸런스 조정'!C119)^'몬스터 성장'!H6)</f>
        <v>384.716896778</v>
      </c>
      <c r="P155">
        <v>0</v>
      </c>
      <c r="Q155">
        <v>0</v>
      </c>
      <c r="R155">
        <v>62</v>
      </c>
      <c r="S155" t="inlineStr">
        <is>
          <t>Sedan</t>
        </is>
      </c>
      <c r="T155" t="inlineStr">
        <is>
          <t>Jam</t>
        </is>
      </c>
      <c r="U155">
        <v>595</v>
      </c>
      <c r="V155">
        <v>0</v>
      </c>
      <c r="W155">
        <v>513</v>
      </c>
      <c r="X155">
        <v>0</v>
      </c>
      <c r="Y155">
        <v>0</v>
      </c>
    </row>
    <row r="156">
      <c r="B156">
        <v>164</v>
      </c>
      <c r="C156" t="inlineStr">
        <is>
          <t>HighWay</t>
        </is>
      </c>
      <c r="D156" t="inlineStr">
        <is>
          <t>HWY2_030_Taxi</t>
        </is>
      </c>
      <c r="E156">
        <v>1</v>
      </c>
      <c r="F156" t="inlineStr">
        <is>
          <t>공격 반복</t>
        </is>
      </c>
      <c r="G156">
        <v>4.4</v>
      </c>
      <c r="H156">
        <v>0</v>
      </c>
      <c r="I156">
        <v>150</v>
      </c>
      <c r="J156">
        <v>0</v>
      </c>
      <c r="K156">
        <v>0</v>
      </c>
      <c r="L156" t="inlineStr">
        <is>
          <t>차량 적 · 원본 전투/성장/코인 시스템</t>
        </is>
      </c>
      <c r="M156" t="inlineStr">
        <is>
          <t>Normal</t>
        </is>
      </c>
      <c r="N156">
        <v>0</v>
      </c>
      <c r="O156">
        <f>'밸런스 조정'!C154*'밸런스 조정'!C155*'밸런스 조정'!C146*(1+('몬스터 성장'!G6/'몬스터 성장'!F6-1)*(U156/'밸런스 조정'!C119)^'몬스터 성장'!H6)</f>
        <v>391.880156673</v>
      </c>
      <c r="P156">
        <v>0</v>
      </c>
      <c r="Q156">
        <v>0</v>
      </c>
      <c r="R156">
        <v>62</v>
      </c>
      <c r="S156" t="inlineStr">
        <is>
          <t>Taxi</t>
        </is>
      </c>
      <c r="T156" t="inlineStr">
        <is>
          <t>Jam</t>
        </is>
      </c>
      <c r="U156">
        <v>609.8729</v>
      </c>
      <c r="V156">
        <v>0</v>
      </c>
      <c r="W156">
        <v>527.8729</v>
      </c>
      <c r="X156">
        <v>0</v>
      </c>
      <c r="Y156">
        <v>0</v>
      </c>
    </row>
    <row r="157">
      <c r="B157">
        <v>165</v>
      </c>
      <c r="C157" t="inlineStr">
        <is>
          <t>HighWay</t>
        </is>
      </c>
      <c r="D157" t="inlineStr">
        <is>
          <t>HWY2_031_OneTon</t>
        </is>
      </c>
      <c r="E157">
        <v>1</v>
      </c>
      <c r="F157" t="inlineStr">
        <is>
          <t>공격 반복</t>
        </is>
      </c>
      <c r="G157">
        <v>3.6</v>
      </c>
      <c r="H157">
        <v>0</v>
      </c>
      <c r="I157">
        <v>150</v>
      </c>
      <c r="J157">
        <v>0</v>
      </c>
      <c r="K157">
        <v>0</v>
      </c>
      <c r="L157" t="inlineStr">
        <is>
          <t>차량 적 · 원본 전투/성장/코인 시스템</t>
        </is>
      </c>
      <c r="M157" t="inlineStr">
        <is>
          <t>Normal</t>
        </is>
      </c>
      <c r="N157">
        <v>0</v>
      </c>
      <c r="O157">
        <f>'밸런스 조정'!C154*'밸런스 조정'!C155*'밸런스 조정'!C147*(1+('몬스터 성장'!G6/'몬스터 성장'!F6-1)*(U157/'밸런스 조정'!C119)^'몬스터 성장'!H6)</f>
        <v>518.986340992</v>
      </c>
      <c r="P157">
        <v>0</v>
      </c>
      <c r="Q157">
        <v>0</v>
      </c>
      <c r="R157">
        <v>62</v>
      </c>
      <c r="S157" t="inlineStr">
        <is>
          <t>OneTon</t>
        </is>
      </c>
      <c r="T157" t="inlineStr">
        <is>
          <t>Jam</t>
        </is>
      </c>
      <c r="U157">
        <v>624.7458</v>
      </c>
      <c r="V157">
        <v>0</v>
      </c>
      <c r="W157">
        <v>542.7458</v>
      </c>
      <c r="X157">
        <v>0</v>
      </c>
      <c r="Y157">
        <v>0</v>
      </c>
    </row>
    <row r="158">
      <c r="B158">
        <v>166</v>
      </c>
      <c r="C158" t="inlineStr">
        <is>
          <t>HighWay</t>
        </is>
      </c>
      <c r="D158" t="inlineStr">
        <is>
          <t>HWY2_032_Box</t>
        </is>
      </c>
      <c r="E158">
        <v>1</v>
      </c>
      <c r="F158" t="inlineStr">
        <is>
          <t>공격 반복</t>
        </is>
      </c>
      <c r="G158">
        <v>5</v>
      </c>
      <c r="H158">
        <v>0</v>
      </c>
      <c r="I158">
        <v>150</v>
      </c>
      <c r="J158">
        <v>0</v>
      </c>
      <c r="K158">
        <v>0</v>
      </c>
      <c r="L158" t="inlineStr">
        <is>
          <t>차량 적 · 원본 전투/성장/코인 시스템</t>
        </is>
      </c>
      <c r="M158" t="inlineStr">
        <is>
          <t>Normal</t>
        </is>
      </c>
      <c r="N158">
        <v>0</v>
      </c>
      <c r="O158">
        <f>'밸런스 조정'!C154*'밸런스 조정'!C155*'밸런스 조정'!C148*(1+('몬스터 성장'!G6/'몬스터 성장'!F6-1)*(U158/'밸런스 조정'!C119)^'몬스터 성장'!H6)</f>
        <v>650.779541862</v>
      </c>
      <c r="P158">
        <v>0</v>
      </c>
      <c r="Q158">
        <v>0</v>
      </c>
      <c r="R158">
        <v>62</v>
      </c>
      <c r="S158" t="inlineStr">
        <is>
          <t>Box</t>
        </is>
      </c>
      <c r="T158" t="inlineStr">
        <is>
          <t>Jam</t>
        </is>
      </c>
      <c r="U158">
        <v>639.6186</v>
      </c>
      <c r="V158">
        <v>0</v>
      </c>
      <c r="W158">
        <v>557.6186</v>
      </c>
      <c r="X158">
        <v>0</v>
      </c>
      <c r="Y158">
        <v>0</v>
      </c>
    </row>
    <row r="159">
      <c r="B159">
        <v>167</v>
      </c>
      <c r="C159" t="inlineStr">
        <is>
          <t>HighWay</t>
        </is>
      </c>
      <c r="D159" t="inlineStr">
        <is>
          <t>HWY2_033_Sedan</t>
        </is>
      </c>
      <c r="E159">
        <v>1</v>
      </c>
      <c r="F159" t="inlineStr">
        <is>
          <t>공격 반복</t>
        </is>
      </c>
      <c r="G159">
        <v>4.2</v>
      </c>
      <c r="H159">
        <v>0</v>
      </c>
      <c r="I159">
        <v>150</v>
      </c>
      <c r="J159">
        <v>0</v>
      </c>
      <c r="K159">
        <v>0</v>
      </c>
      <c r="L159" t="inlineStr">
        <is>
          <t>차량 적 · 원본 전투/성장/코인 시스템</t>
        </is>
      </c>
      <c r="M159" t="inlineStr">
        <is>
          <t>Normal</t>
        </is>
      </c>
      <c r="N159">
        <v>0</v>
      </c>
      <c r="O159">
        <f>'밸런스 조정'!C154*'밸런스 조정'!C155*'밸런스 조정'!C145*(1+('몬스터 성장'!G6/'몬스터 성장'!F6-1)*(U159/'밸런스 조정'!C119)^'몬스터 성장'!H6)</f>
        <v>414.43101076</v>
      </c>
      <c r="P159">
        <v>0</v>
      </c>
      <c r="Q159">
        <v>0</v>
      </c>
      <c r="R159">
        <v>62</v>
      </c>
      <c r="S159" t="inlineStr">
        <is>
          <t>Sedan</t>
        </is>
      </c>
      <c r="T159" t="inlineStr">
        <is>
          <t>Jam</t>
        </is>
      </c>
      <c r="U159">
        <v>654.4915</v>
      </c>
      <c r="V159">
        <v>0</v>
      </c>
      <c r="W159">
        <v>572.4915</v>
      </c>
      <c r="X159">
        <v>0</v>
      </c>
      <c r="Y159">
        <v>0</v>
      </c>
    </row>
    <row r="160">
      <c r="B160">
        <v>168</v>
      </c>
      <c r="C160" t="inlineStr">
        <is>
          <t>HighWay</t>
        </is>
      </c>
      <c r="D160" t="inlineStr">
        <is>
          <t>HWY2_034_Tanker</t>
        </is>
      </c>
      <c r="E160">
        <v>1</v>
      </c>
      <c r="F160" t="inlineStr">
        <is>
          <t>공격 반복</t>
        </is>
      </c>
      <c r="G160">
        <v>3.4</v>
      </c>
      <c r="H160">
        <v>0</v>
      </c>
      <c r="I160">
        <v>150</v>
      </c>
      <c r="J160">
        <v>0</v>
      </c>
      <c r="K160">
        <v>0</v>
      </c>
      <c r="L160" t="inlineStr">
        <is>
          <t>차량 적 · 원본 전투/성장/코인 시스템</t>
        </is>
      </c>
      <c r="M160" t="inlineStr">
        <is>
          <t>Normal</t>
        </is>
      </c>
      <c r="N160">
        <v>0</v>
      </c>
      <c r="O160">
        <f>'밸런스 조정'!C154*'밸런스 조정'!C155*'밸런스 조정'!C149*(1+('몬스터 성장'!G6/'몬스터 성장'!F6-1)*(U160/'밸런스 조정'!C119)^'몬스터 성장'!H6)</f>
        <v>844.60330718</v>
      </c>
      <c r="P160">
        <v>0</v>
      </c>
      <c r="Q160">
        <v>0</v>
      </c>
      <c r="R160">
        <v>124</v>
      </c>
      <c r="S160" t="inlineStr">
        <is>
          <t>Tanker</t>
        </is>
      </c>
      <c r="T160" t="inlineStr">
        <is>
          <t>Jam</t>
        </is>
      </c>
      <c r="U160">
        <v>669.3644</v>
      </c>
      <c r="V160">
        <v>0</v>
      </c>
      <c r="W160">
        <v>587.3644</v>
      </c>
      <c r="X160">
        <v>0</v>
      </c>
      <c r="Y160">
        <v>0</v>
      </c>
    </row>
    <row r="161">
      <c r="B161">
        <v>169</v>
      </c>
      <c r="C161" t="inlineStr">
        <is>
          <t>HighWay</t>
        </is>
      </c>
      <c r="D161" t="inlineStr">
        <is>
          <t>HWY2_035_Sedan</t>
        </is>
      </c>
      <c r="E161">
        <v>1</v>
      </c>
      <c r="F161" t="inlineStr">
        <is>
          <t>공격 반복</t>
        </is>
      </c>
      <c r="G161">
        <v>4.8</v>
      </c>
      <c r="H161">
        <v>0</v>
      </c>
      <c r="I161">
        <v>150</v>
      </c>
      <c r="J161">
        <v>0</v>
      </c>
      <c r="K161">
        <v>0</v>
      </c>
      <c r="L161" t="inlineStr">
        <is>
          <t>차량 적 · 원본 전투/성장/코인 시스템</t>
        </is>
      </c>
      <c r="M161" t="inlineStr">
        <is>
          <t>Normal</t>
        </is>
      </c>
      <c r="N161">
        <v>0</v>
      </c>
      <c r="O161">
        <f>'밸런스 조정'!C154*'밸런스 조정'!C155*'밸런스 조정'!C145*(1+('몬스터 성장'!G6/'몬스터 성장'!F6-1)*(U161/'밸런스 조정'!C119)^'몬스터 성장'!H6)</f>
        <v>430.349142154</v>
      </c>
      <c r="P161">
        <v>0</v>
      </c>
      <c r="Q161">
        <v>0</v>
      </c>
      <c r="R161">
        <v>62</v>
      </c>
      <c r="S161" t="inlineStr">
        <is>
          <t>Sedan</t>
        </is>
      </c>
      <c r="T161" t="inlineStr">
        <is>
          <t>Jam</t>
        </is>
      </c>
      <c r="U161">
        <v>684.2373</v>
      </c>
      <c r="V161">
        <v>0</v>
      </c>
      <c r="W161">
        <v>602.2373</v>
      </c>
      <c r="X161">
        <v>0</v>
      </c>
      <c r="Y161">
        <v>0</v>
      </c>
    </row>
    <row r="162">
      <c r="B162">
        <v>170</v>
      </c>
      <c r="C162" t="inlineStr">
        <is>
          <t>HighWay</t>
        </is>
      </c>
      <c r="D162" t="inlineStr">
        <is>
          <t>HWY2_036_Taxi</t>
        </is>
      </c>
      <c r="E162">
        <v>1</v>
      </c>
      <c r="F162" t="inlineStr">
        <is>
          <t>공격 반복</t>
        </is>
      </c>
      <c r="G162">
        <v>4</v>
      </c>
      <c r="H162">
        <v>0</v>
      </c>
      <c r="I162">
        <v>150</v>
      </c>
      <c r="J162">
        <v>0</v>
      </c>
      <c r="K162">
        <v>0</v>
      </c>
      <c r="L162" t="inlineStr">
        <is>
          <t>차량 적 · 원본 전투/성장/코인 시스템</t>
        </is>
      </c>
      <c r="M162" t="inlineStr">
        <is>
          <t>Normal</t>
        </is>
      </c>
      <c r="N162">
        <v>0</v>
      </c>
      <c r="O162">
        <f>'밸런스 조정'!C154*'밸런스 조정'!C155*'밸런스 조정'!C146*(1+('몬스터 성장'!G6/'몬스터 성장'!F6-1)*(U162/'밸런스 조정'!C119)^'몬스터 성장'!H6)</f>
        <v>438.573476453</v>
      </c>
      <c r="P162">
        <v>0</v>
      </c>
      <c r="Q162">
        <v>0</v>
      </c>
      <c r="R162">
        <v>62</v>
      </c>
      <c r="S162" t="inlineStr">
        <is>
          <t>Taxi</t>
        </is>
      </c>
      <c r="T162" t="inlineStr">
        <is>
          <t>Jam</t>
        </is>
      </c>
      <c r="U162">
        <v>699.1102</v>
      </c>
      <c r="V162">
        <v>0</v>
      </c>
      <c r="W162">
        <v>617.1102</v>
      </c>
      <c r="X162">
        <v>0</v>
      </c>
      <c r="Y162">
        <v>0</v>
      </c>
    </row>
    <row r="163">
      <c r="B163">
        <v>171</v>
      </c>
      <c r="C163" t="inlineStr">
        <is>
          <t>HighWay</t>
        </is>
      </c>
      <c r="D163" t="inlineStr">
        <is>
          <t>HWY2_037_OneTon</t>
        </is>
      </c>
      <c r="E163">
        <v>1</v>
      </c>
      <c r="F163" t="inlineStr">
        <is>
          <t>공격 반복</t>
        </is>
      </c>
      <c r="G163">
        <v>3.2</v>
      </c>
      <c r="H163">
        <v>0</v>
      </c>
      <c r="I163">
        <v>150</v>
      </c>
      <c r="J163">
        <v>0</v>
      </c>
      <c r="K163">
        <v>0</v>
      </c>
      <c r="L163" t="inlineStr">
        <is>
          <t>차량 적 · 원본 전투/성장/코인 시스템</t>
        </is>
      </c>
      <c r="M163" t="inlineStr">
        <is>
          <t>Normal</t>
        </is>
      </c>
      <c r="N163">
        <v>0</v>
      </c>
      <c r="O163">
        <f>'밸런스 조정'!C154*'밸런스 조정'!C155*'밸런스 조정'!C147*(1+('몬스터 성장'!G6/'몬스터 성장'!F6-1)*(U163/'밸런스 조정'!C119)^'몬스터 성장'!H6)</f>
        <v>581.06705343</v>
      </c>
      <c r="P163">
        <v>0</v>
      </c>
      <c r="Q163">
        <v>0</v>
      </c>
      <c r="R163">
        <v>62</v>
      </c>
      <c r="S163" t="inlineStr">
        <is>
          <t>OneTon</t>
        </is>
      </c>
      <c r="T163" t="inlineStr">
        <is>
          <t>Jam</t>
        </is>
      </c>
      <c r="U163">
        <v>713.9831</v>
      </c>
      <c r="V163">
        <v>0</v>
      </c>
      <c r="W163">
        <v>631.9831</v>
      </c>
      <c r="X163">
        <v>0</v>
      </c>
      <c r="Y163">
        <v>0</v>
      </c>
    </row>
    <row r="164">
      <c r="B164">
        <v>172</v>
      </c>
      <c r="C164" t="inlineStr">
        <is>
          <t>HighWay</t>
        </is>
      </c>
      <c r="D164" t="inlineStr">
        <is>
          <t>HWY2_038_Box</t>
        </is>
      </c>
      <c r="E164">
        <v>1</v>
      </c>
      <c r="F164" t="inlineStr">
        <is>
          <t>공격 반복</t>
        </is>
      </c>
      <c r="G164">
        <v>4.6</v>
      </c>
      <c r="H164">
        <v>0</v>
      </c>
      <c r="I164">
        <v>150</v>
      </c>
      <c r="J164">
        <v>0</v>
      </c>
      <c r="K164">
        <v>0</v>
      </c>
      <c r="L164" t="inlineStr">
        <is>
          <t>차량 적 · 원본 전투/성장/코인 시스템</t>
        </is>
      </c>
      <c r="M164" t="inlineStr">
        <is>
          <t>Normal</t>
        </is>
      </c>
      <c r="N164">
        <v>0</v>
      </c>
      <c r="O164">
        <f>'밸런스 조정'!C154*'밸런스 조정'!C155*'밸런스 조정'!C148*(1+('몬스터 성장'!G6/'몬스터 성장'!F6-1)*(U164/'밸런스 조정'!C119)^'몬스터 성장'!H6)</f>
        <v>728.884291602</v>
      </c>
      <c r="P164">
        <v>0</v>
      </c>
      <c r="Q164">
        <v>0</v>
      </c>
      <c r="R164">
        <v>62</v>
      </c>
      <c r="S164" t="inlineStr">
        <is>
          <t>Box</t>
        </is>
      </c>
      <c r="T164" t="inlineStr">
        <is>
          <t>Jam</t>
        </is>
      </c>
      <c r="U164">
        <v>728.8559</v>
      </c>
      <c r="V164">
        <v>0</v>
      </c>
      <c r="W164">
        <v>646.8559</v>
      </c>
      <c r="X164">
        <v>0</v>
      </c>
      <c r="Y164">
        <v>0</v>
      </c>
    </row>
    <row r="165">
      <c r="B165">
        <v>173</v>
      </c>
      <c r="C165" t="inlineStr">
        <is>
          <t>HighWay</t>
        </is>
      </c>
      <c r="D165" t="inlineStr">
        <is>
          <t>HWY2_039_Sedan</t>
        </is>
      </c>
      <c r="E165">
        <v>1</v>
      </c>
      <c r="F165" t="inlineStr">
        <is>
          <t>공격 반복</t>
        </is>
      </c>
      <c r="G165">
        <v>3.8</v>
      </c>
      <c r="H165">
        <v>0</v>
      </c>
      <c r="I165">
        <v>150</v>
      </c>
      <c r="J165">
        <v>0</v>
      </c>
      <c r="K165">
        <v>0</v>
      </c>
      <c r="L165" t="inlineStr">
        <is>
          <t>차량 적 · 원본 전투/성장/코인 시스템</t>
        </is>
      </c>
      <c r="M165" t="inlineStr">
        <is>
          <t>Normal</t>
        </is>
      </c>
      <c r="N165">
        <v>0</v>
      </c>
      <c r="O165">
        <f>'밸런스 조정'!C154*'밸런스 조정'!C155*'밸런스 조정'!C145*(1+('몬스터 성장'!G6/'몬스터 성장'!F6-1)*(U165/'밸런스 조정'!C119)^'몬스터 성장'!H6)</f>
        <v>464.307553751</v>
      </c>
      <c r="P165">
        <v>0</v>
      </c>
      <c r="Q165">
        <v>0</v>
      </c>
      <c r="R165">
        <v>62</v>
      </c>
      <c r="S165" t="inlineStr">
        <is>
          <t>Sedan</t>
        </is>
      </c>
      <c r="T165" t="inlineStr">
        <is>
          <t>Jam</t>
        </is>
      </c>
      <c r="U165">
        <v>743.7288</v>
      </c>
      <c r="V165">
        <v>0</v>
      </c>
      <c r="W165">
        <v>661.7288</v>
      </c>
      <c r="X165">
        <v>0</v>
      </c>
      <c r="Y165">
        <v>0</v>
      </c>
    </row>
    <row r="166">
      <c r="B166">
        <v>174</v>
      </c>
      <c r="C166" t="inlineStr">
        <is>
          <t>HighWay</t>
        </is>
      </c>
      <c r="D166" t="inlineStr">
        <is>
          <t>HWY2_040_Tanker</t>
        </is>
      </c>
      <c r="E166">
        <v>1</v>
      </c>
      <c r="F166" t="inlineStr">
        <is>
          <t>공격 반복</t>
        </is>
      </c>
      <c r="G166">
        <v>3</v>
      </c>
      <c r="H166">
        <v>0</v>
      </c>
      <c r="I166">
        <v>150</v>
      </c>
      <c r="J166">
        <v>0</v>
      </c>
      <c r="K166">
        <v>0</v>
      </c>
      <c r="L166" t="inlineStr">
        <is>
          <t>차량 적 · 원본 전투/성장/코인 시스템</t>
        </is>
      </c>
      <c r="M166" t="inlineStr">
        <is>
          <t>Normal</t>
        </is>
      </c>
      <c r="N166">
        <v>0</v>
      </c>
      <c r="O166">
        <f>'밸런스 조정'!C154*'밸런스 조정'!C155*'밸런스 조정'!C149*(1+('몬스터 성장'!G6/'몬스터 성장'!F6-1)*(U166/'밸런스 조정'!C119)^'몬스터 성장'!H6)</f>
        <v>946.478541971</v>
      </c>
      <c r="P166">
        <v>0</v>
      </c>
      <c r="Q166">
        <v>0</v>
      </c>
      <c r="R166">
        <v>124</v>
      </c>
      <c r="S166" t="inlineStr">
        <is>
          <t>Tanker</t>
        </is>
      </c>
      <c r="T166" t="inlineStr">
        <is>
          <t>Jam</t>
        </is>
      </c>
      <c r="U166">
        <v>758.6017</v>
      </c>
      <c r="V166">
        <v>0</v>
      </c>
      <c r="W166">
        <v>676.6017</v>
      </c>
      <c r="X166">
        <v>0</v>
      </c>
      <c r="Y166">
        <v>0</v>
      </c>
    </row>
    <row r="167">
      <c r="B167">
        <v>175</v>
      </c>
      <c r="C167" t="inlineStr">
        <is>
          <t>HighWay</t>
        </is>
      </c>
      <c r="D167" t="inlineStr">
        <is>
          <t>HWY2_041_Sedan</t>
        </is>
      </c>
      <c r="E167">
        <v>1</v>
      </c>
      <c r="F167" t="inlineStr">
        <is>
          <t>공격 반복</t>
        </is>
      </c>
      <c r="G167">
        <v>4.4</v>
      </c>
      <c r="H167">
        <v>0</v>
      </c>
      <c r="I167">
        <v>150</v>
      </c>
      <c r="J167">
        <v>0</v>
      </c>
      <c r="K167">
        <v>0</v>
      </c>
      <c r="L167" t="inlineStr">
        <is>
          <t>차량 적 · 원본 전투/성장/코인 시스템</t>
        </is>
      </c>
      <c r="M167" t="inlineStr">
        <is>
          <t>Normal</t>
        </is>
      </c>
      <c r="N167">
        <v>0</v>
      </c>
      <c r="O167">
        <f>'밸런스 조정'!C154*'밸런스 조정'!C155*'밸런스 조정'!C145*(1+('몬스터 성장'!G6/'몬스터 성장'!F6-1)*(U167/'밸런스 조정'!C119)^'몬스터 성장'!H6)</f>
        <v>482.347833954</v>
      </c>
      <c r="P167">
        <v>0</v>
      </c>
      <c r="Q167">
        <v>0</v>
      </c>
      <c r="R167">
        <v>62</v>
      </c>
      <c r="S167" t="inlineStr">
        <is>
          <t>Sedan</t>
        </is>
      </c>
      <c r="T167" t="inlineStr">
        <is>
          <t>Jam</t>
        </is>
      </c>
      <c r="U167">
        <v>773.4746</v>
      </c>
      <c r="V167">
        <v>0</v>
      </c>
      <c r="W167">
        <v>691.4746</v>
      </c>
      <c r="X167">
        <v>0</v>
      </c>
      <c r="Y167">
        <v>0</v>
      </c>
    </row>
    <row r="168">
      <c r="B168">
        <v>176</v>
      </c>
      <c r="C168" t="inlineStr">
        <is>
          <t>HighWay</t>
        </is>
      </c>
      <c r="D168" t="inlineStr">
        <is>
          <t>HWY2_042_Taxi</t>
        </is>
      </c>
      <c r="E168">
        <v>1</v>
      </c>
      <c r="F168" t="inlineStr">
        <is>
          <t>공격 반복</t>
        </is>
      </c>
      <c r="G168">
        <v>3.6</v>
      </c>
      <c r="H168">
        <v>0</v>
      </c>
      <c r="I168">
        <v>150</v>
      </c>
      <c r="J168">
        <v>0</v>
      </c>
      <c r="K168">
        <v>0</v>
      </c>
      <c r="L168" t="inlineStr">
        <is>
          <t>차량 적 · 원본 전투/성장/코인 시스템</t>
        </is>
      </c>
      <c r="M168" t="inlineStr">
        <is>
          <t>Normal</t>
        </is>
      </c>
      <c r="N168">
        <v>0</v>
      </c>
      <c r="O168">
        <f>'밸런스 조정'!C154*'밸런스 조정'!C155*'밸런스 조정'!C146*(1+('몬스터 성장'!G6/'몬스터 성장'!F6-1)*(U168/'밸런스 조정'!C119)^'몬스터 성장'!H6)</f>
        <v>491.633242656</v>
      </c>
      <c r="P168">
        <v>0</v>
      </c>
      <c r="Q168">
        <v>0</v>
      </c>
      <c r="R168">
        <v>62</v>
      </c>
      <c r="S168" t="inlineStr">
        <is>
          <t>Taxi</t>
        </is>
      </c>
      <c r="T168" t="inlineStr">
        <is>
          <t>Jam</t>
        </is>
      </c>
      <c r="U168">
        <v>788.3475</v>
      </c>
      <c r="V168">
        <v>0</v>
      </c>
      <c r="W168">
        <v>706.3475</v>
      </c>
      <c r="X168">
        <v>0</v>
      </c>
      <c r="Y168">
        <v>0</v>
      </c>
    </row>
    <row r="169">
      <c r="B169">
        <v>177</v>
      </c>
      <c r="C169" t="inlineStr">
        <is>
          <t>HighWay</t>
        </is>
      </c>
      <c r="D169" t="inlineStr">
        <is>
          <t>HWY2_043_OneTon</t>
        </is>
      </c>
      <c r="E169">
        <v>1</v>
      </c>
      <c r="F169" t="inlineStr">
        <is>
          <t>공격 반복</t>
        </is>
      </c>
      <c r="G169">
        <v>5</v>
      </c>
      <c r="H169">
        <v>0</v>
      </c>
      <c r="I169">
        <v>150</v>
      </c>
      <c r="J169">
        <v>0</v>
      </c>
      <c r="K169">
        <v>0</v>
      </c>
      <c r="L169" t="inlineStr">
        <is>
          <t>차량 적 · 원본 전투/성장/코인 시스템</t>
        </is>
      </c>
      <c r="M169" t="inlineStr">
        <is>
          <t>Normal</t>
        </is>
      </c>
      <c r="N169">
        <v>0</v>
      </c>
      <c r="O169">
        <f>'밸런스 조정'!C154*'밸런스 조정'!C155*'밸런스 조정'!C147*(1+('몬스터 성장'!G6/'몬스터 성장'!F6-1)*(U169/'밸런스 조정'!C119)^'몬스터 성장'!H6)</f>
        <v>651.42414622</v>
      </c>
      <c r="P169">
        <v>0</v>
      </c>
      <c r="Q169">
        <v>0</v>
      </c>
      <c r="R169">
        <v>62</v>
      </c>
      <c r="S169" t="inlineStr">
        <is>
          <t>OneTon</t>
        </is>
      </c>
      <c r="T169" t="inlineStr">
        <is>
          <t>Jam</t>
        </is>
      </c>
      <c r="U169">
        <v>803.2203</v>
      </c>
      <c r="V169">
        <v>0</v>
      </c>
      <c r="W169">
        <v>721.2203</v>
      </c>
      <c r="X169">
        <v>0</v>
      </c>
      <c r="Y169">
        <v>0</v>
      </c>
    </row>
    <row r="170">
      <c r="B170">
        <v>178</v>
      </c>
      <c r="C170" t="inlineStr">
        <is>
          <t>HighWay</t>
        </is>
      </c>
      <c r="D170" t="inlineStr">
        <is>
          <t>HWY2_044_Box</t>
        </is>
      </c>
      <c r="E170">
        <v>1</v>
      </c>
      <c r="F170" t="inlineStr">
        <is>
          <t>공격 반복</t>
        </is>
      </c>
      <c r="G170">
        <v>4.2</v>
      </c>
      <c r="H170">
        <v>0</v>
      </c>
      <c r="I170">
        <v>150</v>
      </c>
      <c r="J170">
        <v>0</v>
      </c>
      <c r="K170">
        <v>0</v>
      </c>
      <c r="L170" t="inlineStr">
        <is>
          <t>차량 적 · 원본 전투/성장/코인 시스템</t>
        </is>
      </c>
      <c r="M170" t="inlineStr">
        <is>
          <t>Normal</t>
        </is>
      </c>
      <c r="N170">
        <v>0</v>
      </c>
      <c r="O170">
        <f>'밸런스 조정'!C154*'밸런스 조정'!C155*'밸런스 조정'!C148*(1+('몬스터 성장'!G6/'몬스터 성장'!F6-1)*(U170/'밸런스 조정'!C119)^'몬스터 성장'!H6)</f>
        <v>817.17535562</v>
      </c>
      <c r="P170">
        <v>0</v>
      </c>
      <c r="Q170">
        <v>0</v>
      </c>
      <c r="R170">
        <v>62</v>
      </c>
      <c r="S170" t="inlineStr">
        <is>
          <t>Box</t>
        </is>
      </c>
      <c r="T170" t="inlineStr">
        <is>
          <t>Jam</t>
        </is>
      </c>
      <c r="U170">
        <v>818.0932</v>
      </c>
      <c r="V170">
        <v>0</v>
      </c>
      <c r="W170">
        <v>736.0932</v>
      </c>
      <c r="X170">
        <v>0</v>
      </c>
      <c r="Y170">
        <v>0</v>
      </c>
    </row>
    <row r="171">
      <c r="B171">
        <v>179</v>
      </c>
      <c r="C171" t="inlineStr">
        <is>
          <t>HighWay</t>
        </is>
      </c>
      <c r="D171" t="inlineStr">
        <is>
          <t>HWY2_045_Sedan</t>
        </is>
      </c>
      <c r="E171">
        <v>1</v>
      </c>
      <c r="F171" t="inlineStr">
        <is>
          <t>공격 반복</t>
        </is>
      </c>
      <c r="G171">
        <v>3.4</v>
      </c>
      <c r="H171">
        <v>0</v>
      </c>
      <c r="I171">
        <v>150</v>
      </c>
      <c r="J171">
        <v>0</v>
      </c>
      <c r="K171">
        <v>0</v>
      </c>
      <c r="L171" t="inlineStr">
        <is>
          <t>차량 적 · 원본 전투/성장/코인 시스템</t>
        </is>
      </c>
      <c r="M171" t="inlineStr">
        <is>
          <t>Normal</t>
        </is>
      </c>
      <c r="N171">
        <v>0</v>
      </c>
      <c r="O171">
        <f>'밸런스 조정'!C154*'밸런스 조정'!C155*'밸런스 조정'!C145*(1+('몬스터 성장'!G6/'몬스터 성장'!F6-1)*(U171/'밸런스 조정'!C119)^'몬스터 성장'!H6)</f>
        <v>520.550543167</v>
      </c>
      <c r="P171">
        <v>0</v>
      </c>
      <c r="Q171">
        <v>0</v>
      </c>
      <c r="R171">
        <v>62</v>
      </c>
      <c r="S171" t="inlineStr">
        <is>
          <t>Sedan</t>
        </is>
      </c>
      <c r="T171" t="inlineStr">
        <is>
          <t>Jam</t>
        </is>
      </c>
      <c r="U171">
        <v>832.9661</v>
      </c>
      <c r="V171">
        <v>0</v>
      </c>
      <c r="W171">
        <v>750.9661</v>
      </c>
      <c r="X171">
        <v>0</v>
      </c>
      <c r="Y171">
        <v>0</v>
      </c>
    </row>
    <row r="172">
      <c r="B172">
        <v>180</v>
      </c>
      <c r="C172" t="inlineStr">
        <is>
          <t>HighWay</t>
        </is>
      </c>
      <c r="D172" t="inlineStr">
        <is>
          <t>HWY2_046_Tanker</t>
        </is>
      </c>
      <c r="E172">
        <v>1</v>
      </c>
      <c r="F172" t="inlineStr">
        <is>
          <t>공격 반복</t>
        </is>
      </c>
      <c r="G172">
        <v>4.8</v>
      </c>
      <c r="H172">
        <v>0</v>
      </c>
      <c r="I172">
        <v>150</v>
      </c>
      <c r="J172">
        <v>0</v>
      </c>
      <c r="K172">
        <v>0</v>
      </c>
      <c r="L172" t="inlineStr">
        <is>
          <t>차량 적 · 원본 전투/성장/코인 시스템</t>
        </is>
      </c>
      <c r="M172" t="inlineStr">
        <is>
          <t>Normal</t>
        </is>
      </c>
      <c r="N172">
        <v>0</v>
      </c>
      <c r="O172">
        <f>'밸런스 조정'!C154*'밸런스 조정'!C155*'밸런스 조정'!C149*(1+('몬스터 성장'!G6/'몬스터 성장'!F6-1)*(U172/'밸런스 조정'!C119)^'몬스터 성장'!H6)</f>
        <v>1061.08666961</v>
      </c>
      <c r="P172">
        <v>0</v>
      </c>
      <c r="Q172">
        <v>0</v>
      </c>
      <c r="R172">
        <v>124</v>
      </c>
      <c r="S172" t="inlineStr">
        <is>
          <t>Tanker</t>
        </is>
      </c>
      <c r="T172" t="inlineStr">
        <is>
          <t>Jam</t>
        </is>
      </c>
      <c r="U172">
        <v>847.839</v>
      </c>
      <c r="V172">
        <v>0</v>
      </c>
      <c r="W172">
        <v>765.839</v>
      </c>
      <c r="X172">
        <v>0</v>
      </c>
      <c r="Y172">
        <v>0</v>
      </c>
    </row>
    <row r="173">
      <c r="B173">
        <v>181</v>
      </c>
      <c r="C173" t="inlineStr">
        <is>
          <t>HighWay</t>
        </is>
      </c>
      <c r="D173" t="inlineStr">
        <is>
          <t>HWY2_047_Sedan</t>
        </is>
      </c>
      <c r="E173">
        <v>1</v>
      </c>
      <c r="F173" t="inlineStr">
        <is>
          <t>공격 반복</t>
        </is>
      </c>
      <c r="G173">
        <v>4</v>
      </c>
      <c r="H173">
        <v>0</v>
      </c>
      <c r="I173">
        <v>150</v>
      </c>
      <c r="J173">
        <v>0</v>
      </c>
      <c r="K173">
        <v>0</v>
      </c>
      <c r="L173" t="inlineStr">
        <is>
          <t>차량 적 · 원본 전투/성장/코인 시스템</t>
        </is>
      </c>
      <c r="M173" t="inlineStr">
        <is>
          <t>Normal</t>
        </is>
      </c>
      <c r="N173">
        <v>0</v>
      </c>
      <c r="O173">
        <f>'밸런스 조정'!C154*'밸런스 조정'!C155*'밸런스 조정'!C145*(1+('몬스터 성장'!G6/'몬스터 성장'!F6-1)*(U173/'밸런스 조정'!C119)^'몬스터 성장'!H6)</f>
        <v>540.712972177</v>
      </c>
      <c r="P173">
        <v>0</v>
      </c>
      <c r="Q173">
        <v>0</v>
      </c>
      <c r="R173">
        <v>62</v>
      </c>
      <c r="S173" t="inlineStr">
        <is>
          <t>Sedan</t>
        </is>
      </c>
      <c r="T173" t="inlineStr">
        <is>
          <t>Jam</t>
        </is>
      </c>
      <c r="U173">
        <v>862.7119</v>
      </c>
      <c r="V173">
        <v>0</v>
      </c>
      <c r="W173">
        <v>780.7119</v>
      </c>
      <c r="X173">
        <v>0</v>
      </c>
      <c r="Y173">
        <v>0</v>
      </c>
    </row>
    <row r="174">
      <c r="B174">
        <v>182</v>
      </c>
      <c r="C174" t="inlineStr">
        <is>
          <t>HighWay</t>
        </is>
      </c>
      <c r="D174" t="inlineStr">
        <is>
          <t>HWY2_048_Taxi</t>
        </is>
      </c>
      <c r="E174">
        <v>1</v>
      </c>
      <c r="F174" t="inlineStr">
        <is>
          <t>공격 반복</t>
        </is>
      </c>
      <c r="G174">
        <v>3.2</v>
      </c>
      <c r="H174">
        <v>0</v>
      </c>
      <c r="I174">
        <v>150</v>
      </c>
      <c r="J174">
        <v>0</v>
      </c>
      <c r="K174">
        <v>0</v>
      </c>
      <c r="L174" t="inlineStr">
        <is>
          <t>차량 적 · 원본 전투/성장/코인 시스템</t>
        </is>
      </c>
      <c r="M174" t="inlineStr">
        <is>
          <t>Normal</t>
        </is>
      </c>
      <c r="N174">
        <v>0</v>
      </c>
      <c r="O174">
        <f>'밸런스 조정'!C154*'밸런스 조정'!C155*'밸런스 조정'!C146*(1+('몬스터 성장'!G6/'몬스터 성장'!F6-1)*(U174/'밸런스 조정'!C119)^'몬스터 성장'!H6)</f>
        <v>551.059455283</v>
      </c>
      <c r="P174">
        <v>0</v>
      </c>
      <c r="Q174">
        <v>0</v>
      </c>
      <c r="R174">
        <v>62</v>
      </c>
      <c r="S174" t="inlineStr">
        <is>
          <t>Taxi</t>
        </is>
      </c>
      <c r="T174" t="inlineStr">
        <is>
          <t>Jam</t>
        </is>
      </c>
      <c r="U174">
        <v>877.5847</v>
      </c>
      <c r="V174">
        <v>0</v>
      </c>
      <c r="W174">
        <v>795.5847</v>
      </c>
      <c r="X174">
        <v>0</v>
      </c>
      <c r="Y174">
        <v>0</v>
      </c>
    </row>
    <row r="175">
      <c r="B175">
        <v>183</v>
      </c>
      <c r="C175" t="inlineStr">
        <is>
          <t>HighWay</t>
        </is>
      </c>
      <c r="D175" t="inlineStr">
        <is>
          <t>HWY2_049_OneTon</t>
        </is>
      </c>
      <c r="E175">
        <v>1</v>
      </c>
      <c r="F175" t="inlineStr">
        <is>
          <t>공격 반복</t>
        </is>
      </c>
      <c r="G175">
        <v>4.6</v>
      </c>
      <c r="H175">
        <v>0</v>
      </c>
      <c r="I175">
        <v>150</v>
      </c>
      <c r="J175">
        <v>0</v>
      </c>
      <c r="K175">
        <v>0</v>
      </c>
      <c r="L175" t="inlineStr">
        <is>
          <t>차량 적 · 원본 전투/성장/코인 시스템</t>
        </is>
      </c>
      <c r="M175" t="inlineStr">
        <is>
          <t>Normal</t>
        </is>
      </c>
      <c r="N175">
        <v>0</v>
      </c>
      <c r="O175">
        <f>'밸런스 조정'!C154*'밸런스 조정'!C155*'밸런스 조정'!C147*(1+('몬스터 성장'!G6/'몬스터 성장'!F6-1)*(U175/'밸런스 조정'!C119)^'몬스터 성장'!H6)</f>
        <v>730.05761936</v>
      </c>
      <c r="P175">
        <v>0</v>
      </c>
      <c r="Q175">
        <v>0</v>
      </c>
      <c r="R175">
        <v>62</v>
      </c>
      <c r="S175" t="inlineStr">
        <is>
          <t>OneTon</t>
        </is>
      </c>
      <c r="T175" t="inlineStr">
        <is>
          <t>Jam</t>
        </is>
      </c>
      <c r="U175">
        <v>892.4576</v>
      </c>
      <c r="V175">
        <v>0</v>
      </c>
      <c r="W175">
        <v>810.4576</v>
      </c>
      <c r="X175">
        <v>0</v>
      </c>
      <c r="Y175">
        <v>0</v>
      </c>
    </row>
    <row r="176">
      <c r="B176">
        <v>184</v>
      </c>
      <c r="C176" t="inlineStr">
        <is>
          <t>HighWay</t>
        </is>
      </c>
      <c r="D176" t="inlineStr">
        <is>
          <t>HWY2_050_Box</t>
        </is>
      </c>
      <c r="E176">
        <v>1</v>
      </c>
      <c r="F176" t="inlineStr">
        <is>
          <t>공격 반복</t>
        </is>
      </c>
      <c r="G176">
        <v>3.8</v>
      </c>
      <c r="H176">
        <v>0</v>
      </c>
      <c r="I176">
        <v>150</v>
      </c>
      <c r="J176">
        <v>0</v>
      </c>
      <c r="K176">
        <v>0</v>
      </c>
      <c r="L176" t="inlineStr">
        <is>
          <t>차량 적 · 원본 전투/성장/코인 시스템</t>
        </is>
      </c>
      <c r="M176" t="inlineStr">
        <is>
          <t>Normal</t>
        </is>
      </c>
      <c r="N176">
        <v>0</v>
      </c>
      <c r="O176">
        <f>'밸런스 조정'!C154*'밸런스 조정'!C155*'밸런스 조정'!C148*(1+('몬스터 성장'!G6/'몬스터 성장'!F6-1)*(U176/'밸런스 조정'!C119)^'몬스터 성장'!H6)</f>
        <v>915.652733915</v>
      </c>
      <c r="P176">
        <v>0</v>
      </c>
      <c r="Q176">
        <v>0</v>
      </c>
      <c r="R176">
        <v>62</v>
      </c>
      <c r="S176" t="inlineStr">
        <is>
          <t>Box</t>
        </is>
      </c>
      <c r="T176" t="inlineStr">
        <is>
          <t>Jam</t>
        </is>
      </c>
      <c r="U176">
        <v>907.3305</v>
      </c>
      <c r="V176">
        <v>0</v>
      </c>
      <c r="W176">
        <v>825.3305</v>
      </c>
      <c r="X176">
        <v>0</v>
      </c>
      <c r="Y176">
        <v>0</v>
      </c>
    </row>
    <row r="177">
      <c r="B177">
        <v>185</v>
      </c>
      <c r="C177" t="inlineStr">
        <is>
          <t>HighWay</t>
        </is>
      </c>
      <c r="D177" t="inlineStr">
        <is>
          <t>HWY2_051_Sedan</t>
        </is>
      </c>
      <c r="E177">
        <v>1</v>
      </c>
      <c r="F177" t="inlineStr">
        <is>
          <t>공격 반복</t>
        </is>
      </c>
      <c r="G177">
        <v>3</v>
      </c>
      <c r="H177">
        <v>0</v>
      </c>
      <c r="I177">
        <v>150</v>
      </c>
      <c r="J177">
        <v>0</v>
      </c>
      <c r="K177">
        <v>0</v>
      </c>
      <c r="L177" t="inlineStr">
        <is>
          <t>차량 적 · 원본 전투/성장/코인 시스템</t>
        </is>
      </c>
      <c r="M177" t="inlineStr">
        <is>
          <t>Normal</t>
        </is>
      </c>
      <c r="N177">
        <v>0</v>
      </c>
      <c r="O177">
        <f>'밸런스 조정'!C154*'밸런스 조정'!C155*'밸런스 조정'!C145*(1+('몬스터 성장'!G6/'몬스터 성장'!F6-1)*(U177/'밸런스 조정'!C119)^'몬스터 성장'!H6)</f>
        <v>583.159979005</v>
      </c>
      <c r="P177">
        <v>0</v>
      </c>
      <c r="Q177">
        <v>0</v>
      </c>
      <c r="R177">
        <v>62</v>
      </c>
      <c r="S177" t="inlineStr">
        <is>
          <t>Sedan</t>
        </is>
      </c>
      <c r="T177" t="inlineStr">
        <is>
          <t>Jam</t>
        </is>
      </c>
      <c r="U177">
        <v>922.2034</v>
      </c>
      <c r="V177">
        <v>0</v>
      </c>
      <c r="W177">
        <v>840.2034</v>
      </c>
      <c r="X177">
        <v>0</v>
      </c>
      <c r="Y177">
        <v>0</v>
      </c>
    </row>
    <row r="178">
      <c r="B178">
        <v>186</v>
      </c>
      <c r="C178" t="inlineStr">
        <is>
          <t>HighWay</t>
        </is>
      </c>
      <c r="D178" t="inlineStr">
        <is>
          <t>HWY2_052_Tanker</t>
        </is>
      </c>
      <c r="E178">
        <v>1</v>
      </c>
      <c r="F178" t="inlineStr">
        <is>
          <t>공격 반복</t>
        </is>
      </c>
      <c r="G178">
        <v>4.4</v>
      </c>
      <c r="H178">
        <v>0</v>
      </c>
      <c r="I178">
        <v>150</v>
      </c>
      <c r="J178">
        <v>0</v>
      </c>
      <c r="K178">
        <v>0</v>
      </c>
      <c r="L178" t="inlineStr">
        <is>
          <t>차량 적 · 원본 전투/성장/코인 시스템</t>
        </is>
      </c>
      <c r="M178" t="inlineStr">
        <is>
          <t>Normal</t>
        </is>
      </c>
      <c r="N178">
        <v>0</v>
      </c>
      <c r="O178">
        <f>'밸런스 조정'!C154*'밸런스 조정'!C155*'밸런스 조정'!C149*(1+('몬스터 성장'!G6/'몬스터 성장'!F6-1)*(U178/'밸런스 조정'!C119)^'몬스터 성장'!H6)</f>
        <v>1188.42769009</v>
      </c>
      <c r="P178">
        <v>0</v>
      </c>
      <c r="Q178">
        <v>0</v>
      </c>
      <c r="R178">
        <v>124</v>
      </c>
      <c r="S178" t="inlineStr">
        <is>
          <t>Tanker</t>
        </is>
      </c>
      <c r="T178" t="inlineStr">
        <is>
          <t>Jam</t>
        </is>
      </c>
      <c r="U178">
        <v>937.0763</v>
      </c>
      <c r="V178">
        <v>0</v>
      </c>
      <c r="W178">
        <v>855.0763</v>
      </c>
      <c r="X178">
        <v>0</v>
      </c>
      <c r="Y178">
        <v>0</v>
      </c>
    </row>
    <row r="179">
      <c r="B179">
        <v>187</v>
      </c>
      <c r="C179" t="inlineStr">
        <is>
          <t>HighWay</t>
        </is>
      </c>
      <c r="D179" t="inlineStr">
        <is>
          <t>HWY2_053_Sedan</t>
        </is>
      </c>
      <c r="E179">
        <v>1</v>
      </c>
      <c r="F179" t="inlineStr">
        <is>
          <t>공격 반복</t>
        </is>
      </c>
      <c r="G179">
        <v>3.6</v>
      </c>
      <c r="H179">
        <v>0</v>
      </c>
      <c r="I179">
        <v>150</v>
      </c>
      <c r="J179">
        <v>0</v>
      </c>
      <c r="K179">
        <v>0</v>
      </c>
      <c r="L179" t="inlineStr">
        <is>
          <t>차량 적 · 원본 전투/성장/코인 시스템</t>
        </is>
      </c>
      <c r="M179" t="inlineStr">
        <is>
          <t>Normal</t>
        </is>
      </c>
      <c r="N179">
        <v>0</v>
      </c>
      <c r="O179">
        <f>'밸런스 조정'!C154*'밸런스 조정'!C155*'밸런스 조정'!C145*(1+('몬스터 성장'!G6/'몬스터 성장'!F6-1)*(U179/'밸런스 조정'!C119)^'몬스터 성장'!H6)</f>
        <v>605.444556823</v>
      </c>
      <c r="P179">
        <v>0</v>
      </c>
      <c r="Q179">
        <v>0</v>
      </c>
      <c r="R179">
        <v>62</v>
      </c>
      <c r="S179" t="inlineStr">
        <is>
          <t>Sedan</t>
        </is>
      </c>
      <c r="T179" t="inlineStr">
        <is>
          <t>Jam</t>
        </is>
      </c>
      <c r="U179">
        <v>951.9492</v>
      </c>
      <c r="V179">
        <v>0</v>
      </c>
      <c r="W179">
        <v>869.9492</v>
      </c>
      <c r="X179">
        <v>0</v>
      </c>
      <c r="Y179">
        <v>0</v>
      </c>
    </row>
    <row r="180">
      <c r="B180">
        <v>188</v>
      </c>
      <c r="C180" t="inlineStr">
        <is>
          <t>HighWay</t>
        </is>
      </c>
      <c r="D180" t="inlineStr">
        <is>
          <t>HWY2_054_Taxi</t>
        </is>
      </c>
      <c r="E180">
        <v>1</v>
      </c>
      <c r="F180" t="inlineStr">
        <is>
          <t>공격 반복</t>
        </is>
      </c>
      <c r="G180">
        <v>5</v>
      </c>
      <c r="H180">
        <v>0</v>
      </c>
      <c r="I180">
        <v>150</v>
      </c>
      <c r="J180">
        <v>0</v>
      </c>
      <c r="K180">
        <v>0</v>
      </c>
      <c r="L180" t="inlineStr">
        <is>
          <t>차량 적 · 원본 전투/성장/코인 시스템</t>
        </is>
      </c>
      <c r="M180" t="inlineStr">
        <is>
          <t>Normal</t>
        </is>
      </c>
      <c r="N180">
        <v>0</v>
      </c>
      <c r="O180">
        <f>'밸런스 조정'!C154*'밸런스 조정'!C155*'밸런스 조정'!C146*(1+('몬스터 성장'!G6/'몬스터 성장'!F6-1)*(U180/'밸런스 조정'!C119)^'몬스터 성장'!H6)</f>
        <v>616.852114333</v>
      </c>
      <c r="P180">
        <v>0</v>
      </c>
      <c r="Q180">
        <v>0</v>
      </c>
      <c r="R180">
        <v>62</v>
      </c>
      <c r="S180" t="inlineStr">
        <is>
          <t>Taxi</t>
        </is>
      </c>
      <c r="T180" t="inlineStr">
        <is>
          <t>Jam</t>
        </is>
      </c>
      <c r="U180">
        <v>966.822</v>
      </c>
      <c r="V180">
        <v>0</v>
      </c>
      <c r="W180">
        <v>884.822</v>
      </c>
      <c r="X180">
        <v>0</v>
      </c>
      <c r="Y180">
        <v>0</v>
      </c>
    </row>
    <row r="181">
      <c r="B181">
        <v>189</v>
      </c>
      <c r="C181" t="inlineStr">
        <is>
          <t>HighWay</t>
        </is>
      </c>
      <c r="D181" t="inlineStr">
        <is>
          <t>HWY2_055_OneTon</t>
        </is>
      </c>
      <c r="E181">
        <v>1</v>
      </c>
      <c r="F181" t="inlineStr">
        <is>
          <t>공격 반복</t>
        </is>
      </c>
      <c r="G181">
        <v>4.2</v>
      </c>
      <c r="H181">
        <v>0</v>
      </c>
      <c r="I181">
        <v>150</v>
      </c>
      <c r="J181">
        <v>0</v>
      </c>
      <c r="K181">
        <v>0</v>
      </c>
      <c r="L181" t="inlineStr">
        <is>
          <t>차량 적 · 원본 전투/성장/코인 시스템</t>
        </is>
      </c>
      <c r="M181" t="inlineStr">
        <is>
          <t>Normal</t>
        </is>
      </c>
      <c r="N181">
        <v>0</v>
      </c>
      <c r="O181">
        <f>'밸런스 조정'!C154*'밸런스 조정'!C155*'밸런스 조정'!C147*(1+('몬스터 성장'!G6/'몬스터 성장'!F6-1)*(U181/'밸런스 조정'!C119)^'몬스터 성장'!H6)</f>
        <v>816.96747285</v>
      </c>
      <c r="P181">
        <v>0</v>
      </c>
      <c r="Q181">
        <v>0</v>
      </c>
      <c r="R181">
        <v>62</v>
      </c>
      <c r="S181" t="inlineStr">
        <is>
          <t>OneTon</t>
        </is>
      </c>
      <c r="T181" t="inlineStr">
        <is>
          <t>Jam</t>
        </is>
      </c>
      <c r="U181">
        <v>981.6949</v>
      </c>
      <c r="V181">
        <v>0</v>
      </c>
      <c r="W181">
        <v>899.6949</v>
      </c>
      <c r="X181">
        <v>0</v>
      </c>
      <c r="Y181">
        <v>0</v>
      </c>
    </row>
    <row r="182">
      <c r="B182">
        <v>190</v>
      </c>
      <c r="C182" t="inlineStr">
        <is>
          <t>HighWay</t>
        </is>
      </c>
      <c r="D182" t="inlineStr">
        <is>
          <t>HWY2_056_Box</t>
        </is>
      </c>
      <c r="E182">
        <v>1</v>
      </c>
      <c r="F182" t="inlineStr">
        <is>
          <t>공격 반복</t>
        </is>
      </c>
      <c r="G182">
        <v>3.4</v>
      </c>
      <c r="H182">
        <v>0</v>
      </c>
      <c r="I182">
        <v>150</v>
      </c>
      <c r="J182">
        <v>0</v>
      </c>
      <c r="K182">
        <v>0</v>
      </c>
      <c r="L182" t="inlineStr">
        <is>
          <t>차량 적 · 원본 전투/성장/코인 시스템</t>
        </is>
      </c>
      <c r="M182" t="inlineStr">
        <is>
          <t>Normal</t>
        </is>
      </c>
      <c r="N182">
        <v>0</v>
      </c>
      <c r="O182">
        <f>'밸런스 조정'!C154*'밸런스 조정'!C155*'밸런스 조정'!C148*(1+('몬스터 성장'!G6/'몬스터 성장'!F6-1)*(U182/'밸런스 조정'!C119)^'몬스터 성장'!H6)</f>
        <v>1024.31642649</v>
      </c>
      <c r="P182">
        <v>0</v>
      </c>
      <c r="Q182">
        <v>0</v>
      </c>
      <c r="R182">
        <v>62</v>
      </c>
      <c r="S182" t="inlineStr">
        <is>
          <t>Box</t>
        </is>
      </c>
      <c r="T182" t="inlineStr">
        <is>
          <t>Jam</t>
        </is>
      </c>
      <c r="U182">
        <v>996.5678</v>
      </c>
      <c r="V182">
        <v>0</v>
      </c>
      <c r="W182">
        <v>914.5678</v>
      </c>
      <c r="X182">
        <v>0</v>
      </c>
      <c r="Y182">
        <v>0</v>
      </c>
    </row>
    <row r="183">
      <c r="B183">
        <v>191</v>
      </c>
      <c r="C183" t="inlineStr">
        <is>
          <t>HighWay</t>
        </is>
      </c>
      <c r="D183" t="inlineStr">
        <is>
          <t>HWY2_057_Sedan</t>
        </is>
      </c>
      <c r="E183">
        <v>1</v>
      </c>
      <c r="F183" t="inlineStr">
        <is>
          <t>공격 반복</t>
        </is>
      </c>
      <c r="G183">
        <v>4.8</v>
      </c>
      <c r="H183">
        <v>0</v>
      </c>
      <c r="I183">
        <v>150</v>
      </c>
      <c r="J183">
        <v>0</v>
      </c>
      <c r="K183">
        <v>0</v>
      </c>
      <c r="L183" t="inlineStr">
        <is>
          <t>차량 적 · 원본 전투/성장/코인 시스템</t>
        </is>
      </c>
      <c r="M183" t="inlineStr">
        <is>
          <t>Normal</t>
        </is>
      </c>
      <c r="N183">
        <v>0</v>
      </c>
      <c r="O183">
        <f>'밸런스 조정'!C154*'밸런스 조정'!C155*'밸런스 조정'!C145*(1+('몬스터 성장'!G6/'몬스터 성장'!F6-1)*(U183/'밸런스 조정'!C119)^'몬스터 성장'!H6)</f>
        <v>652.135861267</v>
      </c>
      <c r="P183">
        <v>0</v>
      </c>
      <c r="Q183">
        <v>0</v>
      </c>
      <c r="R183">
        <v>62</v>
      </c>
      <c r="S183" t="inlineStr">
        <is>
          <t>Sedan</t>
        </is>
      </c>
      <c r="T183" t="inlineStr">
        <is>
          <t>Jam</t>
        </is>
      </c>
      <c r="U183">
        <v>1011.4407</v>
      </c>
      <c r="V183">
        <v>0</v>
      </c>
      <c r="W183">
        <v>929.4407</v>
      </c>
      <c r="X183">
        <v>0</v>
      </c>
      <c r="Y183">
        <v>0</v>
      </c>
    </row>
    <row r="184">
      <c r="B184">
        <v>192</v>
      </c>
      <c r="C184" t="inlineStr">
        <is>
          <t>HighWay</t>
        </is>
      </c>
      <c r="D184" t="inlineStr">
        <is>
          <t>HWY2_058_Tanker</t>
        </is>
      </c>
      <c r="E184">
        <v>1</v>
      </c>
      <c r="F184" t="inlineStr">
        <is>
          <t>공격 반복</t>
        </is>
      </c>
      <c r="G184">
        <v>4</v>
      </c>
      <c r="H184">
        <v>0</v>
      </c>
      <c r="I184">
        <v>150</v>
      </c>
      <c r="J184">
        <v>0</v>
      </c>
      <c r="K184">
        <v>0</v>
      </c>
      <c r="L184" t="inlineStr">
        <is>
          <t>차량 적 · 원본 전투/성장/코인 시스템</t>
        </is>
      </c>
      <c r="M184" t="inlineStr">
        <is>
          <t>Normal</t>
        </is>
      </c>
      <c r="N184">
        <v>0</v>
      </c>
      <c r="O184">
        <f>'밸런스 조정'!C154*'밸런스 조정'!C155*'밸런스 조정'!C149*(1+('몬스터 성장'!G6/'몬스터 성장'!F6-1)*(U184/'밸런스 조정'!C119)^'몬스터 성장'!H6)</f>
        <v>1328.50160343</v>
      </c>
      <c r="P184">
        <v>0</v>
      </c>
      <c r="Q184">
        <v>0</v>
      </c>
      <c r="R184">
        <v>124</v>
      </c>
      <c r="S184" t="inlineStr">
        <is>
          <t>Tanker</t>
        </is>
      </c>
      <c r="T184" t="inlineStr">
        <is>
          <t>Jam</t>
        </is>
      </c>
      <c r="U184">
        <v>1026.3136</v>
      </c>
      <c r="V184">
        <v>0</v>
      </c>
      <c r="W184">
        <v>944.3136</v>
      </c>
      <c r="X184">
        <v>0</v>
      </c>
      <c r="Y184">
        <v>0</v>
      </c>
    </row>
    <row r="185">
      <c r="B185">
        <v>193</v>
      </c>
      <c r="C185" t="inlineStr">
        <is>
          <t>HighWay</t>
        </is>
      </c>
      <c r="D185" t="inlineStr">
        <is>
          <t>HWY2_059_Sedan</t>
        </is>
      </c>
      <c r="E185">
        <v>1</v>
      </c>
      <c r="F185" t="inlineStr">
        <is>
          <t>공격 반복</t>
        </is>
      </c>
      <c r="G185">
        <v>3.2</v>
      </c>
      <c r="H185">
        <v>0</v>
      </c>
      <c r="I185">
        <v>150</v>
      </c>
      <c r="J185">
        <v>0</v>
      </c>
      <c r="K185">
        <v>0</v>
      </c>
      <c r="L185" t="inlineStr">
        <is>
          <t>차량 적 · 원본 전투/성장/코인 시스템</t>
        </is>
      </c>
      <c r="M185" t="inlineStr">
        <is>
          <t>Normal</t>
        </is>
      </c>
      <c r="N185">
        <v>0</v>
      </c>
      <c r="O185">
        <f>'밸런스 조정'!C154*'밸런스 조정'!C155*'밸런스 조정'!C145*(1+('몬스터 성장'!G6/'몬스터 성장'!F6-1)*(U185/'밸런스 조정'!C119)^'몬스터 성장'!H6)</f>
        <v>676.542587893</v>
      </c>
      <c r="P185">
        <v>0</v>
      </c>
      <c r="Q185">
        <v>0</v>
      </c>
      <c r="R185">
        <v>62</v>
      </c>
      <c r="S185" t="inlineStr">
        <is>
          <t>Sedan</t>
        </is>
      </c>
      <c r="T185" t="inlineStr">
        <is>
          <t>Jam</t>
        </is>
      </c>
      <c r="U185">
        <v>1041.1864</v>
      </c>
      <c r="V185">
        <v>0</v>
      </c>
      <c r="W185">
        <v>959.1864</v>
      </c>
      <c r="X185">
        <v>0</v>
      </c>
      <c r="Y185">
        <v>0</v>
      </c>
    </row>
    <row r="186">
      <c r="B186">
        <v>194</v>
      </c>
      <c r="C186" t="inlineStr">
        <is>
          <t>HighWay</t>
        </is>
      </c>
      <c r="D186" t="inlineStr">
        <is>
          <t>HWY2_060_Taxi</t>
        </is>
      </c>
      <c r="E186">
        <v>1</v>
      </c>
      <c r="F186" t="inlineStr">
        <is>
          <t>공격 반복</t>
        </is>
      </c>
      <c r="G186">
        <v>4.6</v>
      </c>
      <c r="H186">
        <v>0</v>
      </c>
      <c r="I186">
        <v>150</v>
      </c>
      <c r="J186">
        <v>0</v>
      </c>
      <c r="K186">
        <v>0</v>
      </c>
      <c r="L186" t="inlineStr">
        <is>
          <t>차량 적 · 원본 전투/성장/코인 시스템</t>
        </is>
      </c>
      <c r="M186" t="inlineStr">
        <is>
          <t>Normal</t>
        </is>
      </c>
      <c r="N186">
        <v>0</v>
      </c>
      <c r="O186">
        <f>'밸런스 조정'!C154*'밸런스 조정'!C155*'밸런스 조정'!C146*(1+('몬스터 성장'!G6/'몬스터 성장'!F6-1)*(U186/'밸런스 조정'!C119)^'몬스터 성장'!H6)</f>
        <v>689.011219807</v>
      </c>
      <c r="P186">
        <v>0</v>
      </c>
      <c r="Q186">
        <v>0</v>
      </c>
      <c r="R186">
        <v>62</v>
      </c>
      <c r="S186" t="inlineStr">
        <is>
          <t>Taxi</t>
        </is>
      </c>
      <c r="T186" t="inlineStr">
        <is>
          <t>Jam</t>
        </is>
      </c>
      <c r="U186">
        <v>1056.0593</v>
      </c>
      <c r="V186">
        <v>0</v>
      </c>
      <c r="W186">
        <v>974.0593</v>
      </c>
      <c r="X186">
        <v>0</v>
      </c>
      <c r="Y186">
        <v>0</v>
      </c>
    </row>
    <row r="187">
      <c r="B187">
        <v>195</v>
      </c>
      <c r="C187" t="inlineStr">
        <is>
          <t>HighWay</t>
        </is>
      </c>
      <c r="D187" t="inlineStr">
        <is>
          <t>HWY2_061_OneTon</t>
        </is>
      </c>
      <c r="E187">
        <v>1</v>
      </c>
      <c r="F187" t="inlineStr">
        <is>
          <t>공격 반복</t>
        </is>
      </c>
      <c r="G187">
        <v>3.8</v>
      </c>
      <c r="H187">
        <v>0</v>
      </c>
      <c r="I187">
        <v>150</v>
      </c>
      <c r="J187">
        <v>0</v>
      </c>
      <c r="K187">
        <v>0</v>
      </c>
      <c r="L187" t="inlineStr">
        <is>
          <t>차량 적 · 원본 전투/성장/코인 시스템</t>
        </is>
      </c>
      <c r="M187" t="inlineStr">
        <is>
          <t>Normal</t>
        </is>
      </c>
      <c r="N187">
        <v>0</v>
      </c>
      <c r="O187">
        <f>'밸런스 조정'!C154*'밸런스 조정'!C155*'밸런스 조정'!C147*(1+('몬스터 성장'!G6/'몬스터 성장'!F6-1)*(U187/'밸런스 조정'!C119)^'몬스터 성장'!H6)</f>
        <v>912.153706691</v>
      </c>
      <c r="P187">
        <v>0</v>
      </c>
      <c r="Q187">
        <v>0</v>
      </c>
      <c r="R187">
        <v>62</v>
      </c>
      <c r="S187" t="inlineStr">
        <is>
          <t>OneTon</t>
        </is>
      </c>
      <c r="T187" t="inlineStr">
        <is>
          <t>Jam</t>
        </is>
      </c>
      <c r="U187">
        <v>1070.9322</v>
      </c>
      <c r="V187">
        <v>0</v>
      </c>
      <c r="W187">
        <v>988.9322</v>
      </c>
      <c r="X187">
        <v>0</v>
      </c>
      <c r="Y187">
        <v>0</v>
      </c>
    </row>
    <row r="188">
      <c r="B188">
        <v>196</v>
      </c>
      <c r="C188" t="inlineStr">
        <is>
          <t>HighWay</t>
        </is>
      </c>
      <c r="D188" t="inlineStr">
        <is>
          <t>HWY2_062_Box</t>
        </is>
      </c>
      <c r="E188">
        <v>1</v>
      </c>
      <c r="F188" t="inlineStr">
        <is>
          <t>공격 반복</t>
        </is>
      </c>
      <c r="G188">
        <v>3</v>
      </c>
      <c r="H188">
        <v>0</v>
      </c>
      <c r="I188">
        <v>150</v>
      </c>
      <c r="J188">
        <v>0</v>
      </c>
      <c r="K188">
        <v>0</v>
      </c>
      <c r="L188" t="inlineStr">
        <is>
          <t>차량 적 · 원본 전투/성장/코인 시스템</t>
        </is>
      </c>
      <c r="M188" t="inlineStr">
        <is>
          <t>Normal</t>
        </is>
      </c>
      <c r="N188">
        <v>0</v>
      </c>
      <c r="O188">
        <f>'밸런스 조정'!C154*'밸런스 조정'!C155*'밸런스 조정'!C148*(1+('몬스터 성장'!G6/'몬스터 성장'!F6-1)*(U188/'밸런스 조정'!C119)^'몬스터 성장'!H6)</f>
        <v>1143.16643334</v>
      </c>
      <c r="P188">
        <v>0</v>
      </c>
      <c r="Q188">
        <v>0</v>
      </c>
      <c r="R188">
        <v>62</v>
      </c>
      <c r="S188" t="inlineStr">
        <is>
          <t>Box</t>
        </is>
      </c>
      <c r="T188" t="inlineStr">
        <is>
          <t>Jam</t>
        </is>
      </c>
      <c r="U188">
        <v>1085.8051</v>
      </c>
      <c r="V188">
        <v>0</v>
      </c>
      <c r="W188">
        <v>1003.8051</v>
      </c>
      <c r="X188">
        <v>0</v>
      </c>
      <c r="Y188">
        <v>0</v>
      </c>
    </row>
    <row r="189">
      <c r="B189">
        <v>197</v>
      </c>
      <c r="C189" t="inlineStr">
        <is>
          <t>HighWay</t>
        </is>
      </c>
      <c r="D189" t="inlineStr">
        <is>
          <t>HWY2_063_Sedan</t>
        </is>
      </c>
      <c r="E189">
        <v>1</v>
      </c>
      <c r="F189" t="inlineStr">
        <is>
          <t>공격 반복</t>
        </is>
      </c>
      <c r="G189">
        <v>4.4</v>
      </c>
      <c r="H189">
        <v>0</v>
      </c>
      <c r="I189">
        <v>150</v>
      </c>
      <c r="J189">
        <v>0</v>
      </c>
      <c r="K189">
        <v>0</v>
      </c>
      <c r="L189" t="inlineStr">
        <is>
          <t>차량 적 · 원본 전투/성장/코인 시스템</t>
        </is>
      </c>
      <c r="M189" t="inlineStr">
        <is>
          <t>Normal</t>
        </is>
      </c>
      <c r="N189">
        <v>0</v>
      </c>
      <c r="O189">
        <f>'밸런스 조정'!C154*'밸런스 조정'!C155*'밸런스 조정'!C145*(1+('몬스터 성장'!G6/'몬스터 성장'!F6-1)*(U189/'밸런스 조정'!C119)^'몬스터 성장'!H6)</f>
        <v>727.478189952</v>
      </c>
      <c r="P189">
        <v>0</v>
      </c>
      <c r="Q189">
        <v>0</v>
      </c>
      <c r="R189">
        <v>62</v>
      </c>
      <c r="S189" t="inlineStr">
        <is>
          <t>Sedan</t>
        </is>
      </c>
      <c r="T189" t="inlineStr">
        <is>
          <t>Jam</t>
        </is>
      </c>
      <c r="U189">
        <v>1100.678</v>
      </c>
      <c r="V189">
        <v>0</v>
      </c>
      <c r="W189">
        <v>1018.678</v>
      </c>
      <c r="X189">
        <v>0</v>
      </c>
      <c r="Y189">
        <v>0</v>
      </c>
    </row>
    <row r="190">
      <c r="B190">
        <v>198</v>
      </c>
      <c r="C190" t="inlineStr">
        <is>
          <t>HighWay</t>
        </is>
      </c>
      <c r="D190" t="inlineStr">
        <is>
          <t>HWY2_064_Tanker</t>
        </is>
      </c>
      <c r="E190">
        <v>1</v>
      </c>
      <c r="F190" t="inlineStr">
        <is>
          <t>공격 반복</t>
        </is>
      </c>
      <c r="G190">
        <v>3.6</v>
      </c>
      <c r="H190">
        <v>0</v>
      </c>
      <c r="I190">
        <v>150</v>
      </c>
      <c r="J190">
        <v>0</v>
      </c>
      <c r="K190">
        <v>0</v>
      </c>
      <c r="L190" t="inlineStr">
        <is>
          <t>차량 적 · 원본 전투/성장/코인 시스템</t>
        </is>
      </c>
      <c r="M190" t="inlineStr">
        <is>
          <t>Normal</t>
        </is>
      </c>
      <c r="N190">
        <v>0</v>
      </c>
      <c r="O190">
        <f>'밸런스 조정'!C154*'밸런스 조정'!C155*'밸런스 조정'!C149*(1+('몬스터 성장'!G6/'몬스터 성장'!F6-1)*(U190/'밸런스 조정'!C119)^'몬스터 성장'!H6)</f>
        <v>1481.3084096</v>
      </c>
      <c r="P190">
        <v>0</v>
      </c>
      <c r="Q190">
        <v>0</v>
      </c>
      <c r="R190">
        <v>124</v>
      </c>
      <c r="S190" t="inlineStr">
        <is>
          <t>Tanker</t>
        </is>
      </c>
      <c r="T190" t="inlineStr">
        <is>
          <t>Jam</t>
        </is>
      </c>
      <c r="U190">
        <v>1115.5508</v>
      </c>
      <c r="V190">
        <v>0</v>
      </c>
      <c r="W190">
        <v>1033.5508</v>
      </c>
      <c r="X190">
        <v>0</v>
      </c>
      <c r="Y190">
        <v>0</v>
      </c>
    </row>
    <row r="191">
      <c r="B191">
        <v>199</v>
      </c>
      <c r="C191" t="inlineStr">
        <is>
          <t>HighWay</t>
        </is>
      </c>
      <c r="D191" t="inlineStr">
        <is>
          <t>HWY2_065_Sedan</t>
        </is>
      </c>
      <c r="E191">
        <v>1</v>
      </c>
      <c r="F191" t="inlineStr">
        <is>
          <t>공격 반복</t>
        </is>
      </c>
      <c r="G191">
        <v>5</v>
      </c>
      <c r="H191">
        <v>0</v>
      </c>
      <c r="I191">
        <v>150</v>
      </c>
      <c r="J191">
        <v>0</v>
      </c>
      <c r="K191">
        <v>0</v>
      </c>
      <c r="L191" t="inlineStr">
        <is>
          <t>차량 적 · 원본 전투/성장/코인 시스템</t>
        </is>
      </c>
      <c r="M191" t="inlineStr">
        <is>
          <t>Normal</t>
        </is>
      </c>
      <c r="N191">
        <v>0</v>
      </c>
      <c r="O191">
        <f>'밸런스 조정'!C154*'밸런스 조정'!C155*'밸런스 조정'!C145*(1+('몬스터 성장'!G6/'몬스터 성장'!F6-1)*(U191/'밸런스 조정'!C119)^'몬스터 성장'!H6)</f>
        <v>754.007065386</v>
      </c>
      <c r="P191">
        <v>0</v>
      </c>
      <c r="Q191">
        <v>0</v>
      </c>
      <c r="R191">
        <v>62</v>
      </c>
      <c r="S191" t="inlineStr">
        <is>
          <t>Sedan</t>
        </is>
      </c>
      <c r="T191" t="inlineStr">
        <is>
          <t>Jam</t>
        </is>
      </c>
      <c r="U191">
        <v>1130.4237</v>
      </c>
      <c r="V191">
        <v>0</v>
      </c>
      <c r="W191">
        <v>1048.4237</v>
      </c>
      <c r="X191">
        <v>0</v>
      </c>
      <c r="Y191">
        <v>0</v>
      </c>
    </row>
    <row r="192">
      <c r="B192">
        <v>200</v>
      </c>
      <c r="C192" t="inlineStr">
        <is>
          <t>HighWay</t>
        </is>
      </c>
      <c r="D192" t="inlineStr">
        <is>
          <t>HWY2_066_Taxi</t>
        </is>
      </c>
      <c r="E192">
        <v>1</v>
      </c>
      <c r="F192" t="inlineStr">
        <is>
          <t>공격 반복</t>
        </is>
      </c>
      <c r="G192">
        <v>4.2</v>
      </c>
      <c r="H192">
        <v>0</v>
      </c>
      <c r="I192">
        <v>150</v>
      </c>
      <c r="J192">
        <v>0</v>
      </c>
      <c r="K192">
        <v>0</v>
      </c>
      <c r="L192" t="inlineStr">
        <is>
          <t>차량 적 · 원본 전투/성장/코인 시스템</t>
        </is>
      </c>
      <c r="M192" t="inlineStr">
        <is>
          <t>Normal</t>
        </is>
      </c>
      <c r="N192">
        <v>0</v>
      </c>
      <c r="O192">
        <f>'밸런스 조정'!C154*'밸런스 조정'!C155*'밸런스 조정'!C146*(1+('몬스터 성장'!G6/'몬스터 성장'!F6-1)*(U192/'밸런스 조정'!C119)^'몬스터 성장'!H6)</f>
        <v>767.536771704</v>
      </c>
      <c r="P192">
        <v>0</v>
      </c>
      <c r="Q192">
        <v>0</v>
      </c>
      <c r="R192">
        <v>62</v>
      </c>
      <c r="S192" t="inlineStr">
        <is>
          <t>Taxi</t>
        </is>
      </c>
      <c r="T192" t="inlineStr">
        <is>
          <t>Jam</t>
        </is>
      </c>
      <c r="U192">
        <v>1145.2966</v>
      </c>
      <c r="V192">
        <v>0</v>
      </c>
      <c r="W192">
        <v>1063.2966</v>
      </c>
      <c r="X192">
        <v>0</v>
      </c>
      <c r="Y192">
        <v>0</v>
      </c>
    </row>
    <row r="193">
      <c r="B193">
        <v>201</v>
      </c>
      <c r="C193" t="inlineStr">
        <is>
          <t>HighWay</t>
        </is>
      </c>
      <c r="D193" t="inlineStr">
        <is>
          <t>HWY2_067_OneTon</t>
        </is>
      </c>
      <c r="E193">
        <v>1</v>
      </c>
      <c r="F193" t="inlineStr">
        <is>
          <t>공격 반복</t>
        </is>
      </c>
      <c r="G193">
        <v>3.4</v>
      </c>
      <c r="H193">
        <v>0</v>
      </c>
      <c r="I193">
        <v>150</v>
      </c>
      <c r="J193">
        <v>0</v>
      </c>
      <c r="K193">
        <v>0</v>
      </c>
      <c r="L193" t="inlineStr">
        <is>
          <t>차량 적 · 원본 전투/성장/코인 시스템</t>
        </is>
      </c>
      <c r="M193" t="inlineStr">
        <is>
          <t>Normal</t>
        </is>
      </c>
      <c r="N193">
        <v>0</v>
      </c>
      <c r="O193">
        <f>'밸런스 조정'!C154*'밸런스 조정'!C155*'밸런스 조정'!C147*(1+('몬스터 성장'!G6/'몬스터 성장'!F6-1)*(U193/'밸런스 조정'!C119)^'몬스터 성장'!H6)</f>
        <v>1015.61632088</v>
      </c>
      <c r="P193">
        <v>0</v>
      </c>
      <c r="Q193">
        <v>0</v>
      </c>
      <c r="R193">
        <v>62</v>
      </c>
      <c r="S193" t="inlineStr">
        <is>
          <t>OneTon</t>
        </is>
      </c>
      <c r="T193" t="inlineStr">
        <is>
          <t>Jam</t>
        </is>
      </c>
      <c r="U193">
        <v>1160.1695</v>
      </c>
      <c r="V193">
        <v>0</v>
      </c>
      <c r="W193">
        <v>1078.1695</v>
      </c>
      <c r="X193">
        <v>0</v>
      </c>
      <c r="Y193">
        <v>0</v>
      </c>
    </row>
    <row r="194">
      <c r="B194">
        <v>202</v>
      </c>
      <c r="C194" t="inlineStr">
        <is>
          <t>HighWay</t>
        </is>
      </c>
      <c r="D194" t="inlineStr">
        <is>
          <t>HWY2_068_Box</t>
        </is>
      </c>
      <c r="E194">
        <v>1</v>
      </c>
      <c r="F194" t="inlineStr">
        <is>
          <t>공격 반복</t>
        </is>
      </c>
      <c r="G194">
        <v>4.8</v>
      </c>
      <c r="H194">
        <v>0</v>
      </c>
      <c r="I194">
        <v>150</v>
      </c>
      <c r="J194">
        <v>0</v>
      </c>
      <c r="K194">
        <v>0</v>
      </c>
      <c r="L194" t="inlineStr">
        <is>
          <t>차량 적 · 원본 전투/성장/코인 시스템</t>
        </is>
      </c>
      <c r="M194" t="inlineStr">
        <is>
          <t>Normal</t>
        </is>
      </c>
      <c r="N194">
        <v>0</v>
      </c>
      <c r="O194">
        <f>'밸런스 조정'!C154*'밸런스 조정'!C155*'밸런스 조정'!C148*(1+('몬스터 성장'!G6/'몬스터 성장'!F6-1)*(U194/'밸런스 조정'!C119)^'몬스터 성장'!H6)</f>
        <v>1272.20275447</v>
      </c>
      <c r="P194">
        <v>0</v>
      </c>
      <c r="Q194">
        <v>0</v>
      </c>
      <c r="R194">
        <v>62</v>
      </c>
      <c r="S194" t="inlineStr">
        <is>
          <t>Box</t>
        </is>
      </c>
      <c r="T194" t="inlineStr">
        <is>
          <t>Jam</t>
        </is>
      </c>
      <c r="U194">
        <v>1175.0424</v>
      </c>
      <c r="V194">
        <v>0</v>
      </c>
      <c r="W194">
        <v>1093.0424</v>
      </c>
      <c r="X194">
        <v>0</v>
      </c>
      <c r="Y194">
        <v>0</v>
      </c>
    </row>
    <row r="195">
      <c r="B195">
        <v>203</v>
      </c>
      <c r="C195" t="inlineStr">
        <is>
          <t>HighWay</t>
        </is>
      </c>
      <c r="D195" t="inlineStr">
        <is>
          <t>HWY2_069_Taxi</t>
        </is>
      </c>
      <c r="E195">
        <v>1</v>
      </c>
      <c r="F195" t="inlineStr">
        <is>
          <t>공격 반복</t>
        </is>
      </c>
      <c r="G195">
        <v>3.6</v>
      </c>
      <c r="H195">
        <v>0</v>
      </c>
      <c r="I195">
        <v>150</v>
      </c>
      <c r="J195">
        <v>0</v>
      </c>
      <c r="K195">
        <v>0</v>
      </c>
      <c r="L195" t="inlineStr">
        <is>
          <t>차량 적 · 원본 전투/성장/코인 시스템</t>
        </is>
      </c>
      <c r="M195" t="inlineStr">
        <is>
          <t>Normal</t>
        </is>
      </c>
      <c r="N195">
        <v>0</v>
      </c>
      <c r="O195">
        <f>'밸런스 조정'!C154*'밸런스 조정'!C155*'밸런스 조정'!C146*(1+('몬스터 성장'!G6/'몬스터 성장'!F6-1)*(U195/'밸런스 조정'!C119)^'몬스터 성장'!H6)</f>
        <v>388.547976331</v>
      </c>
      <c r="P195">
        <v>0</v>
      </c>
      <c r="Q195">
        <v>0</v>
      </c>
      <c r="R195">
        <v>62</v>
      </c>
      <c r="S195" t="inlineStr">
        <is>
          <t>Taxi</t>
        </is>
      </c>
      <c r="T195" t="inlineStr">
        <is>
          <t>Jam</t>
        </is>
      </c>
      <c r="U195">
        <v>603</v>
      </c>
      <c r="V195">
        <v>1</v>
      </c>
      <c r="W195">
        <v>521</v>
      </c>
      <c r="X195">
        <v>0</v>
      </c>
      <c r="Y195">
        <v>0</v>
      </c>
    </row>
    <row r="196">
      <c r="B196">
        <v>204</v>
      </c>
      <c r="C196" t="inlineStr">
        <is>
          <t>HighWay</t>
        </is>
      </c>
      <c r="D196" t="inlineStr">
        <is>
          <t>HWY2_070_OneTon</t>
        </is>
      </c>
      <c r="E196">
        <v>1</v>
      </c>
      <c r="F196" t="inlineStr">
        <is>
          <t>공격 반복</t>
        </is>
      </c>
      <c r="G196">
        <v>5</v>
      </c>
      <c r="H196">
        <v>0</v>
      </c>
      <c r="I196">
        <v>150</v>
      </c>
      <c r="J196">
        <v>0</v>
      </c>
      <c r="K196">
        <v>0</v>
      </c>
      <c r="L196" t="inlineStr">
        <is>
          <t>차량 적 · 원본 전투/성장/코인 시스템</t>
        </is>
      </c>
      <c r="M196" t="inlineStr">
        <is>
          <t>Normal</t>
        </is>
      </c>
      <c r="N196">
        <v>0</v>
      </c>
      <c r="O196">
        <f>'밸런스 조정'!C154*'밸런스 조정'!C155*'밸런스 조정'!C147*(1+('몬스터 성장'!G6/'몬스터 성장'!F6-1)*(U196/'밸런스 조정'!C119)^'몬스터 성장'!H6)</f>
        <v>514.54826811</v>
      </c>
      <c r="P196">
        <v>0</v>
      </c>
      <c r="Q196">
        <v>0</v>
      </c>
      <c r="R196">
        <v>62</v>
      </c>
      <c r="S196" t="inlineStr">
        <is>
          <t>OneTon</t>
        </is>
      </c>
      <c r="T196" t="inlineStr">
        <is>
          <t>Jam</t>
        </is>
      </c>
      <c r="U196">
        <v>617.8729</v>
      </c>
      <c r="V196">
        <v>1</v>
      </c>
      <c r="W196">
        <v>535.8729</v>
      </c>
      <c r="X196">
        <v>0</v>
      </c>
      <c r="Y196">
        <v>0</v>
      </c>
    </row>
    <row r="197">
      <c r="B197">
        <v>205</v>
      </c>
      <c r="C197" t="inlineStr">
        <is>
          <t>HighWay</t>
        </is>
      </c>
      <c r="D197" t="inlineStr">
        <is>
          <t>HWY2_071_Box</t>
        </is>
      </c>
      <c r="E197">
        <v>1</v>
      </c>
      <c r="F197" t="inlineStr">
        <is>
          <t>공격 반복</t>
        </is>
      </c>
      <c r="G197">
        <v>4.2</v>
      </c>
      <c r="H197">
        <v>0</v>
      </c>
      <c r="I197">
        <v>150</v>
      </c>
      <c r="J197">
        <v>0</v>
      </c>
      <c r="K197">
        <v>0</v>
      </c>
      <c r="L197" t="inlineStr">
        <is>
          <t>차량 적 · 원본 전투/성장/코인 시스템</t>
        </is>
      </c>
      <c r="M197" t="inlineStr">
        <is>
          <t>Normal</t>
        </is>
      </c>
      <c r="N197">
        <v>0</v>
      </c>
      <c r="O197">
        <f>'밸런스 조정'!C154*'밸런스 조정'!C155*'밸런스 조정'!C148*(1+('몬스터 성장'!G6/'몬스터 성장'!F6-1)*(U197/'밸런스 조정'!C119)^'몬스터 성장'!H6)</f>
        <v>645.186543316</v>
      </c>
      <c r="P197">
        <v>0</v>
      </c>
      <c r="Q197">
        <v>0</v>
      </c>
      <c r="R197">
        <v>62</v>
      </c>
      <c r="S197" t="inlineStr">
        <is>
          <t>Box</t>
        </is>
      </c>
      <c r="T197" t="inlineStr">
        <is>
          <t>Jam</t>
        </is>
      </c>
      <c r="U197">
        <v>632.7458</v>
      </c>
      <c r="V197">
        <v>1</v>
      </c>
      <c r="W197">
        <v>550.7458</v>
      </c>
      <c r="X197">
        <v>0</v>
      </c>
      <c r="Y197">
        <v>0</v>
      </c>
    </row>
    <row r="198">
      <c r="B198">
        <v>206</v>
      </c>
      <c r="C198" t="inlineStr">
        <is>
          <t>HighWay</t>
        </is>
      </c>
      <c r="D198" t="inlineStr">
        <is>
          <t>HWY2_072_Sedan</t>
        </is>
      </c>
      <c r="E198">
        <v>1</v>
      </c>
      <c r="F198" t="inlineStr">
        <is>
          <t>공격 반복</t>
        </is>
      </c>
      <c r="G198">
        <v>3.4</v>
      </c>
      <c r="H198">
        <v>0</v>
      </c>
      <c r="I198">
        <v>150</v>
      </c>
      <c r="J198">
        <v>0</v>
      </c>
      <c r="K198">
        <v>0</v>
      </c>
      <c r="L198" t="inlineStr">
        <is>
          <t>차량 적 · 원본 전투/성장/코인 시스템</t>
        </is>
      </c>
      <c r="M198" t="inlineStr">
        <is>
          <t>Normal</t>
        </is>
      </c>
      <c r="N198">
        <v>0</v>
      </c>
      <c r="O198">
        <f>'밸런스 조정'!C154*'밸런스 조정'!C155*'밸런스 조정'!C145*(1+('몬스터 성장'!G6/'몬스터 성장'!F6-1)*(U198/'밸런스 조정'!C119)^'몬스터 성장'!H6)</f>
        <v>410.853664794</v>
      </c>
      <c r="P198">
        <v>0</v>
      </c>
      <c r="Q198">
        <v>0</v>
      </c>
      <c r="R198">
        <v>62</v>
      </c>
      <c r="S198" t="inlineStr">
        <is>
          <t>Sedan</t>
        </is>
      </c>
      <c r="T198" t="inlineStr">
        <is>
          <t>Jam</t>
        </is>
      </c>
      <c r="U198">
        <v>647.6186</v>
      </c>
      <c r="V198">
        <v>1</v>
      </c>
      <c r="W198">
        <v>565.6186</v>
      </c>
      <c r="X198">
        <v>0</v>
      </c>
      <c r="Y198">
        <v>0</v>
      </c>
    </row>
    <row r="199">
      <c r="B199">
        <v>207</v>
      </c>
      <c r="C199" t="inlineStr">
        <is>
          <t>HighWay</t>
        </is>
      </c>
      <c r="D199" t="inlineStr">
        <is>
          <t>HWY2_073_Tanker</t>
        </is>
      </c>
      <c r="E199">
        <v>1</v>
      </c>
      <c r="F199" t="inlineStr">
        <is>
          <t>공격 반복</t>
        </is>
      </c>
      <c r="G199">
        <v>4.8</v>
      </c>
      <c r="H199">
        <v>0</v>
      </c>
      <c r="I199">
        <v>150</v>
      </c>
      <c r="J199">
        <v>0</v>
      </c>
      <c r="K199">
        <v>0</v>
      </c>
      <c r="L199" t="inlineStr">
        <is>
          <t>차량 적 · 원본 전투/성장/코인 시스템</t>
        </is>
      </c>
      <c r="M199" t="inlineStr">
        <is>
          <t>Normal</t>
        </is>
      </c>
      <c r="N199">
        <v>0</v>
      </c>
      <c r="O199">
        <f>'밸런스 조정'!C154*'밸런스 조정'!C155*'밸런스 조정'!C149*(1+('몬스터 성장'!G6/'몬스터 성장'!F6-1)*(U199/'밸런스 조정'!C119)^'몬스터 성장'!H6)</f>
        <v>837.285171499</v>
      </c>
      <c r="P199">
        <v>0</v>
      </c>
      <c r="Q199">
        <v>0</v>
      </c>
      <c r="R199">
        <v>124</v>
      </c>
      <c r="S199" t="inlineStr">
        <is>
          <t>Tanker</t>
        </is>
      </c>
      <c r="T199" t="inlineStr">
        <is>
          <t>Jam</t>
        </is>
      </c>
      <c r="U199">
        <v>662.4915</v>
      </c>
      <c r="V199">
        <v>1</v>
      </c>
      <c r="W199">
        <v>580.4915</v>
      </c>
      <c r="X199">
        <v>0</v>
      </c>
      <c r="Y199">
        <v>0</v>
      </c>
    </row>
    <row r="200">
      <c r="B200">
        <v>208</v>
      </c>
      <c r="C200" t="inlineStr">
        <is>
          <t>HighWay</t>
        </is>
      </c>
      <c r="D200" t="inlineStr">
        <is>
          <t>HWY2_074_Sedan</t>
        </is>
      </c>
      <c r="E200">
        <v>1</v>
      </c>
      <c r="F200" t="inlineStr">
        <is>
          <t>공격 반복</t>
        </is>
      </c>
      <c r="G200">
        <v>4</v>
      </c>
      <c r="H200">
        <v>0</v>
      </c>
      <c r="I200">
        <v>150</v>
      </c>
      <c r="J200">
        <v>0</v>
      </c>
      <c r="K200">
        <v>0</v>
      </c>
      <c r="L200" t="inlineStr">
        <is>
          <t>차량 적 · 원본 전투/성장/코인 시스템</t>
        </is>
      </c>
      <c r="M200" t="inlineStr">
        <is>
          <t>Normal</t>
        </is>
      </c>
      <c r="N200">
        <v>0</v>
      </c>
      <c r="O200">
        <f>'밸런스 조정'!C154*'밸런스 조정'!C155*'밸런스 조정'!C145*(1+('몬스터 성장'!G6/'몬스터 성장'!F6-1)*(U200/'밸런스 조정'!C119)^'몬스터 성장'!H6)</f>
        <v>426.608352439</v>
      </c>
      <c r="P200">
        <v>0</v>
      </c>
      <c r="Q200">
        <v>0</v>
      </c>
      <c r="R200">
        <v>62</v>
      </c>
      <c r="S200" t="inlineStr">
        <is>
          <t>Sedan</t>
        </is>
      </c>
      <c r="T200" t="inlineStr">
        <is>
          <t>Jam</t>
        </is>
      </c>
      <c r="U200">
        <v>677.3644</v>
      </c>
      <c r="V200">
        <v>1</v>
      </c>
      <c r="W200">
        <v>595.3644</v>
      </c>
      <c r="X200">
        <v>0</v>
      </c>
      <c r="Y200">
        <v>0</v>
      </c>
    </row>
    <row r="201">
      <c r="B201">
        <v>209</v>
      </c>
      <c r="C201" t="inlineStr">
        <is>
          <t>HighWay</t>
        </is>
      </c>
      <c r="D201" t="inlineStr">
        <is>
          <t>HWY2_075_Taxi</t>
        </is>
      </c>
      <c r="E201">
        <v>1</v>
      </c>
      <c r="F201" t="inlineStr">
        <is>
          <t>공격 반복</t>
        </is>
      </c>
      <c r="G201">
        <v>3.2</v>
      </c>
      <c r="H201">
        <v>0</v>
      </c>
      <c r="I201">
        <v>150</v>
      </c>
      <c r="J201">
        <v>0</v>
      </c>
      <c r="K201">
        <v>0</v>
      </c>
      <c r="L201" t="inlineStr">
        <is>
          <t>차량 적 · 원본 전투/성장/코인 시스템</t>
        </is>
      </c>
      <c r="M201" t="inlineStr">
        <is>
          <t>Normal</t>
        </is>
      </c>
      <c r="N201">
        <v>0</v>
      </c>
      <c r="O201">
        <f>'밸런스 조정'!C154*'밸런스 조정'!C155*'밸런스 조정'!C146*(1+('몬스터 성장'!G6/'몬스터 성장'!F6-1)*(U201/'밸런스 조정'!C119)^'몬스터 성장'!H6)</f>
        <v>434.750964863</v>
      </c>
      <c r="P201">
        <v>0</v>
      </c>
      <c r="Q201">
        <v>0</v>
      </c>
      <c r="R201">
        <v>62</v>
      </c>
      <c r="S201" t="inlineStr">
        <is>
          <t>Taxi</t>
        </is>
      </c>
      <c r="T201" t="inlineStr">
        <is>
          <t>Jam</t>
        </is>
      </c>
      <c r="U201">
        <v>692.2373</v>
      </c>
      <c r="V201">
        <v>1</v>
      </c>
      <c r="W201">
        <v>610.2373</v>
      </c>
      <c r="X201">
        <v>0</v>
      </c>
      <c r="Y201">
        <v>0</v>
      </c>
    </row>
    <row r="202">
      <c r="B202">
        <v>210</v>
      </c>
      <c r="C202" t="inlineStr">
        <is>
          <t>HighWay</t>
        </is>
      </c>
      <c r="D202" t="inlineStr">
        <is>
          <t>HWY2_076_OneTon</t>
        </is>
      </c>
      <c r="E202">
        <v>1</v>
      </c>
      <c r="F202" t="inlineStr">
        <is>
          <t>공격 반복</t>
        </is>
      </c>
      <c r="G202">
        <v>4.6</v>
      </c>
      <c r="H202">
        <v>0</v>
      </c>
      <c r="I202">
        <v>150</v>
      </c>
      <c r="J202">
        <v>0</v>
      </c>
      <c r="K202">
        <v>0</v>
      </c>
      <c r="L202" t="inlineStr">
        <is>
          <t>차량 적 · 원본 전투/성장/코인 시스템</t>
        </is>
      </c>
      <c r="M202" t="inlineStr">
        <is>
          <t>Normal</t>
        </is>
      </c>
      <c r="N202">
        <v>0</v>
      </c>
      <c r="O202">
        <f>'밸런스 조정'!C154*'밸런스 조정'!C155*'밸런스 조정'!C147*(1+('몬스터 성장'!G6/'몬스터 성장'!F6-1)*(U202/'밸런스 조정'!C119)^'몬스터 성장'!H6)</f>
        <v>575.991549926</v>
      </c>
      <c r="P202">
        <v>0</v>
      </c>
      <c r="Q202">
        <v>0</v>
      </c>
      <c r="R202">
        <v>62</v>
      </c>
      <c r="S202" t="inlineStr">
        <is>
          <t>OneTon</t>
        </is>
      </c>
      <c r="T202" t="inlineStr">
        <is>
          <t>Jam</t>
        </is>
      </c>
      <c r="U202">
        <v>707.1102</v>
      </c>
      <c r="V202">
        <v>1</v>
      </c>
      <c r="W202">
        <v>625.1102</v>
      </c>
      <c r="X202">
        <v>0</v>
      </c>
      <c r="Y202">
        <v>0</v>
      </c>
    </row>
    <row r="203">
      <c r="B203">
        <v>211</v>
      </c>
      <c r="C203" t="inlineStr">
        <is>
          <t>HighWay</t>
        </is>
      </c>
      <c r="D203" t="inlineStr">
        <is>
          <t>HWY2_077_Box</t>
        </is>
      </c>
      <c r="E203">
        <v>1</v>
      </c>
      <c r="F203" t="inlineStr">
        <is>
          <t>공격 반복</t>
        </is>
      </c>
      <c r="G203">
        <v>3.8</v>
      </c>
      <c r="H203">
        <v>0</v>
      </c>
      <c r="I203">
        <v>150</v>
      </c>
      <c r="J203">
        <v>0</v>
      </c>
      <c r="K203">
        <v>0</v>
      </c>
      <c r="L203" t="inlineStr">
        <is>
          <t>차량 적 · 원본 전투/성장/코인 시스템</t>
        </is>
      </c>
      <c r="M203" t="inlineStr">
        <is>
          <t>Normal</t>
        </is>
      </c>
      <c r="N203">
        <v>0</v>
      </c>
      <c r="O203">
        <f>'밸런스 조정'!C154*'밸런스 조정'!C155*'밸런스 조정'!C148*(1+('몬스터 성장'!G6/'몬스터 성장'!F6-1)*(U203/'밸런스 조정'!C119)^'몬스터 성장'!H6)</f>
        <v>722.506763058</v>
      </c>
      <c r="P203">
        <v>0</v>
      </c>
      <c r="Q203">
        <v>0</v>
      </c>
      <c r="R203">
        <v>62</v>
      </c>
      <c r="S203" t="inlineStr">
        <is>
          <t>Box</t>
        </is>
      </c>
      <c r="T203" t="inlineStr">
        <is>
          <t>Jam</t>
        </is>
      </c>
      <c r="U203">
        <v>721.9831</v>
      </c>
      <c r="V203">
        <v>1</v>
      </c>
      <c r="W203">
        <v>639.9831</v>
      </c>
      <c r="X203">
        <v>0</v>
      </c>
      <c r="Y203">
        <v>0</v>
      </c>
    </row>
    <row r="204">
      <c r="B204">
        <v>212</v>
      </c>
      <c r="C204" t="inlineStr">
        <is>
          <t>HighWay</t>
        </is>
      </c>
      <c r="D204" t="inlineStr">
        <is>
          <t>HWY2_078_Sedan</t>
        </is>
      </c>
      <c r="E204">
        <v>1</v>
      </c>
      <c r="F204" t="inlineStr">
        <is>
          <t>공격 반복</t>
        </is>
      </c>
      <c r="G204">
        <v>3</v>
      </c>
      <c r="H204">
        <v>0</v>
      </c>
      <c r="I204">
        <v>150</v>
      </c>
      <c r="J204">
        <v>0</v>
      </c>
      <c r="K204">
        <v>0</v>
      </c>
      <c r="L204" t="inlineStr">
        <is>
          <t>차량 적 · 원본 전투/성장/코인 시스템</t>
        </is>
      </c>
      <c r="M204" t="inlineStr">
        <is>
          <t>Normal</t>
        </is>
      </c>
      <c r="N204">
        <v>0</v>
      </c>
      <c r="O204">
        <f>'밸런스 조정'!C154*'밸런스 조정'!C155*'밸런스 조정'!C145*(1+('몬스터 성장'!G6/'몬스터 성장'!F6-1)*(U204/'밸런스 조정'!C119)^'몬스터 성장'!H6)</f>
        <v>460.239876537</v>
      </c>
      <c r="P204">
        <v>0</v>
      </c>
      <c r="Q204">
        <v>0</v>
      </c>
      <c r="R204">
        <v>62</v>
      </c>
      <c r="S204" t="inlineStr">
        <is>
          <t>Sedan</t>
        </is>
      </c>
      <c r="T204" t="inlineStr">
        <is>
          <t>Jam</t>
        </is>
      </c>
      <c r="U204">
        <v>736.8559</v>
      </c>
      <c r="V204">
        <v>1</v>
      </c>
      <c r="W204">
        <v>654.8559</v>
      </c>
      <c r="X204">
        <v>0</v>
      </c>
      <c r="Y204">
        <v>0</v>
      </c>
    </row>
    <row r="205">
      <c r="B205">
        <v>213</v>
      </c>
      <c r="C205" t="inlineStr">
        <is>
          <t>HighWay</t>
        </is>
      </c>
      <c r="D205" t="inlineStr">
        <is>
          <t>HWY2_079_Tanker</t>
        </is>
      </c>
      <c r="E205">
        <v>1</v>
      </c>
      <c r="F205" t="inlineStr">
        <is>
          <t>공격 반복</t>
        </is>
      </c>
      <c r="G205">
        <v>4.4</v>
      </c>
      <c r="H205">
        <v>0</v>
      </c>
      <c r="I205">
        <v>150</v>
      </c>
      <c r="J205">
        <v>0</v>
      </c>
      <c r="K205">
        <v>0</v>
      </c>
      <c r="L205" t="inlineStr">
        <is>
          <t>차량 적 · 원본 전투/성장/코인 시스템</t>
        </is>
      </c>
      <c r="M205" t="inlineStr">
        <is>
          <t>Normal</t>
        </is>
      </c>
      <c r="N205">
        <v>0</v>
      </c>
      <c r="O205">
        <f>'밸런스 조정'!C154*'밸런스 조정'!C155*'밸런스 조정'!C149*(1+('몬스터 성장'!G6/'몬스터 성장'!F6-1)*(U205/'밸런스 조정'!C119)^'몬스터 성장'!H6)</f>
        <v>938.179743793</v>
      </c>
      <c r="P205">
        <v>0</v>
      </c>
      <c r="Q205">
        <v>0</v>
      </c>
      <c r="R205">
        <v>124</v>
      </c>
      <c r="S205" t="inlineStr">
        <is>
          <t>Tanker</t>
        </is>
      </c>
      <c r="T205" t="inlineStr">
        <is>
          <t>Jam</t>
        </is>
      </c>
      <c r="U205">
        <v>751.7288</v>
      </c>
      <c r="V205">
        <v>1</v>
      </c>
      <c r="W205">
        <v>669.7288</v>
      </c>
      <c r="X205">
        <v>0</v>
      </c>
      <c r="Y205">
        <v>0</v>
      </c>
    </row>
    <row r="206">
      <c r="B206">
        <v>214</v>
      </c>
      <c r="C206" t="inlineStr">
        <is>
          <t>HighWay</t>
        </is>
      </c>
      <c r="D206" t="inlineStr">
        <is>
          <t>HWY2_080_Sedan</t>
        </is>
      </c>
      <c r="E206">
        <v>1</v>
      </c>
      <c r="F206" t="inlineStr">
        <is>
          <t>공격 반복</t>
        </is>
      </c>
      <c r="G206">
        <v>3.6</v>
      </c>
      <c r="H206">
        <v>0</v>
      </c>
      <c r="I206">
        <v>150</v>
      </c>
      <c r="J206">
        <v>0</v>
      </c>
      <c r="K206">
        <v>0</v>
      </c>
      <c r="L206" t="inlineStr">
        <is>
          <t>차량 적 · 원본 전투/성장/코인 시스템</t>
        </is>
      </c>
      <c r="M206" t="inlineStr">
        <is>
          <t>Normal</t>
        </is>
      </c>
      <c r="N206">
        <v>0</v>
      </c>
      <c r="O206">
        <f>'밸런스 조정'!C154*'밸런스 조정'!C155*'밸런스 조정'!C145*(1+('몬스터 성장'!G6/'몬스터 성장'!F6-1)*(U206/'밸런스 조정'!C119)^'몬스터 성장'!H6)</f>
        <v>478.11671299</v>
      </c>
      <c r="P206">
        <v>0</v>
      </c>
      <c r="Q206">
        <v>0</v>
      </c>
      <c r="R206">
        <v>62</v>
      </c>
      <c r="S206" t="inlineStr">
        <is>
          <t>Sedan</t>
        </is>
      </c>
      <c r="T206" t="inlineStr">
        <is>
          <t>Jam</t>
        </is>
      </c>
      <c r="U206">
        <v>766.6017</v>
      </c>
      <c r="V206">
        <v>1</v>
      </c>
      <c r="W206">
        <v>684.6017</v>
      </c>
      <c r="X206">
        <v>0</v>
      </c>
      <c r="Y206">
        <v>0</v>
      </c>
    </row>
    <row r="207">
      <c r="B207">
        <v>215</v>
      </c>
      <c r="C207" t="inlineStr">
        <is>
          <t>HighWay</t>
        </is>
      </c>
      <c r="D207" t="inlineStr">
        <is>
          <t>HWY2_081_Taxi</t>
        </is>
      </c>
      <c r="E207">
        <v>1</v>
      </c>
      <c r="F207" t="inlineStr">
        <is>
          <t>공격 반복</t>
        </is>
      </c>
      <c r="G207">
        <v>5</v>
      </c>
      <c r="H207">
        <v>0</v>
      </c>
      <c r="I207">
        <v>150</v>
      </c>
      <c r="J207">
        <v>0</v>
      </c>
      <c r="K207">
        <v>0</v>
      </c>
      <c r="L207" t="inlineStr">
        <is>
          <t>차량 적 · 원본 전투/성장/코인 시스템</t>
        </is>
      </c>
      <c r="M207" t="inlineStr">
        <is>
          <t>Normal</t>
        </is>
      </c>
      <c r="N207">
        <v>0</v>
      </c>
      <c r="O207">
        <f>'밸런스 조정'!C154*'밸런스 조정'!C155*'밸런스 조정'!C146*(1+('몬스터 성장'!G6/'몬스터 성장'!F6-1)*(U207/'밸런스 조정'!C119)^'몬스터 성장'!H6)</f>
        <v>487.320399817</v>
      </c>
      <c r="P207">
        <v>0</v>
      </c>
      <c r="Q207">
        <v>0</v>
      </c>
      <c r="R207">
        <v>62</v>
      </c>
      <c r="S207" t="inlineStr">
        <is>
          <t>Taxi</t>
        </is>
      </c>
      <c r="T207" t="inlineStr">
        <is>
          <t>Jam</t>
        </is>
      </c>
      <c r="U207">
        <v>781.4746</v>
      </c>
      <c r="V207">
        <v>1</v>
      </c>
      <c r="W207">
        <v>699.4746</v>
      </c>
      <c r="X207">
        <v>0</v>
      </c>
      <c r="Y207">
        <v>0</v>
      </c>
    </row>
    <row r="208">
      <c r="B208">
        <v>216</v>
      </c>
      <c r="C208" t="inlineStr">
        <is>
          <t>HighWay</t>
        </is>
      </c>
      <c r="D208" t="inlineStr">
        <is>
          <t>HWY2_082_Bus</t>
        </is>
      </c>
      <c r="E208">
        <v>1</v>
      </c>
      <c r="F208" t="inlineStr">
        <is>
          <t>공격 반복</t>
        </is>
      </c>
      <c r="G208">
        <v>4.2</v>
      </c>
      <c r="H208">
        <v>0</v>
      </c>
      <c r="I208">
        <v>150</v>
      </c>
      <c r="J208">
        <v>0</v>
      </c>
      <c r="K208">
        <v>0</v>
      </c>
      <c r="L208" t="inlineStr">
        <is>
          <t>차량 적 · 원본 전투/성장/코인 시스템</t>
        </is>
      </c>
      <c r="M208" t="inlineStr">
        <is>
          <t>Normal</t>
        </is>
      </c>
      <c r="N208">
        <v>0</v>
      </c>
      <c r="O208">
        <f>'밸런스 조정'!C154*'밸런스 조정'!C155*'밸런스 조정'!C150*(1+('몬스터 성장'!G6/'몬스터 성장'!F6-1)*(U208/'밸런스 조정'!C119)^'몬스터 성장'!H6)</f>
        <v>1490.10279714</v>
      </c>
      <c r="P208">
        <v>0</v>
      </c>
      <c r="Q208">
        <v>0</v>
      </c>
      <c r="R208">
        <v>124</v>
      </c>
      <c r="S208" t="inlineStr">
        <is>
          <t>Bus</t>
        </is>
      </c>
      <c r="T208" t="inlineStr">
        <is>
          <t>Jam</t>
        </is>
      </c>
      <c r="U208">
        <v>796.3475</v>
      </c>
      <c r="V208">
        <v>1.5</v>
      </c>
      <c r="W208">
        <v>714.3475</v>
      </c>
      <c r="X208">
        <v>0</v>
      </c>
      <c r="Y208">
        <v>0</v>
      </c>
    </row>
    <row r="209">
      <c r="B209">
        <v>217</v>
      </c>
      <c r="C209" t="inlineStr">
        <is>
          <t>HighWay</t>
        </is>
      </c>
      <c r="D209" t="inlineStr">
        <is>
          <t>HWY2_083_Box</t>
        </is>
      </c>
      <c r="E209">
        <v>1</v>
      </c>
      <c r="F209" t="inlineStr">
        <is>
          <t>공격 반복</t>
        </is>
      </c>
      <c r="G209">
        <v>3.4</v>
      </c>
      <c r="H209">
        <v>0</v>
      </c>
      <c r="I209">
        <v>150</v>
      </c>
      <c r="J209">
        <v>0</v>
      </c>
      <c r="K209">
        <v>0</v>
      </c>
      <c r="L209" t="inlineStr">
        <is>
          <t>차량 적 · 원본 전투/성장/코인 시스템</t>
        </is>
      </c>
      <c r="M209" t="inlineStr">
        <is>
          <t>Normal</t>
        </is>
      </c>
      <c r="N209">
        <v>0</v>
      </c>
      <c r="O209">
        <f>'밸런스 조정'!C154*'밸런스 조정'!C155*'밸런스 조정'!C148*(1+('몬스터 성장'!G6/'몬스터 성장'!F6-1)*(U209/'밸런스 조정'!C119)^'몬스터 성장'!H6)</f>
        <v>810.013297078</v>
      </c>
      <c r="P209">
        <v>0</v>
      </c>
      <c r="Q209">
        <v>0</v>
      </c>
      <c r="R209">
        <v>62</v>
      </c>
      <c r="S209" t="inlineStr">
        <is>
          <t>Box</t>
        </is>
      </c>
      <c r="T209" t="inlineStr">
        <is>
          <t>Jam</t>
        </is>
      </c>
      <c r="U209">
        <v>811.2203</v>
      </c>
      <c r="V209">
        <v>1</v>
      </c>
      <c r="W209">
        <v>729.2203</v>
      </c>
      <c r="X209">
        <v>0</v>
      </c>
      <c r="Y209">
        <v>0</v>
      </c>
    </row>
    <row r="210">
      <c r="B210">
        <v>218</v>
      </c>
      <c r="C210" t="inlineStr">
        <is>
          <t>HighWay</t>
        </is>
      </c>
      <c r="D210" t="inlineStr">
        <is>
          <t>HWY2_084_Sedan</t>
        </is>
      </c>
      <c r="E210">
        <v>1</v>
      </c>
      <c r="F210" t="inlineStr">
        <is>
          <t>공격 반복</t>
        </is>
      </c>
      <c r="G210">
        <v>4.8</v>
      </c>
      <c r="H210">
        <v>0</v>
      </c>
      <c r="I210">
        <v>150</v>
      </c>
      <c r="J210">
        <v>0</v>
      </c>
      <c r="K210">
        <v>0</v>
      </c>
      <c r="L210" t="inlineStr">
        <is>
          <t>차량 적 · 원본 전투/성장/코인 시스템</t>
        </is>
      </c>
      <c r="M210" t="inlineStr">
        <is>
          <t>Normal</t>
        </is>
      </c>
      <c r="N210">
        <v>0</v>
      </c>
      <c r="O210">
        <f>'밸런스 조정'!C154*'밸런스 조정'!C155*'밸런스 조정'!C145*(1+('몬스터 성장'!G6/'몬스터 성장'!F6-1)*(U210/'밸런스 조정'!C119)^'몬스터 성장'!H6)</f>
        <v>515.992534703</v>
      </c>
      <c r="P210">
        <v>0</v>
      </c>
      <c r="Q210">
        <v>0</v>
      </c>
      <c r="R210">
        <v>62</v>
      </c>
      <c r="S210" t="inlineStr">
        <is>
          <t>Sedan</t>
        </is>
      </c>
      <c r="T210" t="inlineStr">
        <is>
          <t>Jam</t>
        </is>
      </c>
      <c r="U210">
        <v>826.0932</v>
      </c>
      <c r="V210">
        <v>1</v>
      </c>
      <c r="W210">
        <v>744.0932</v>
      </c>
      <c r="X210">
        <v>0</v>
      </c>
      <c r="Y210">
        <v>0</v>
      </c>
    </row>
    <row r="211">
      <c r="B211">
        <v>219</v>
      </c>
      <c r="C211" t="inlineStr">
        <is>
          <t>HighWay</t>
        </is>
      </c>
      <c r="D211" t="inlineStr">
        <is>
          <t>HWY2_085_Tanker</t>
        </is>
      </c>
      <c r="E211">
        <v>1</v>
      </c>
      <c r="F211" t="inlineStr">
        <is>
          <t>공격 반복</t>
        </is>
      </c>
      <c r="G211">
        <v>4</v>
      </c>
      <c r="H211">
        <v>0</v>
      </c>
      <c r="I211">
        <v>150</v>
      </c>
      <c r="J211">
        <v>0</v>
      </c>
      <c r="K211">
        <v>0</v>
      </c>
      <c r="L211" t="inlineStr">
        <is>
          <t>차량 적 · 원본 전투/성장/코인 시스템</t>
        </is>
      </c>
      <c r="M211" t="inlineStr">
        <is>
          <t>Normal</t>
        </is>
      </c>
      <c r="N211">
        <v>0</v>
      </c>
      <c r="O211">
        <f>'밸런스 조정'!C154*'밸런스 조정'!C155*'밸런스 조정'!C149*(1+('몬스터 성장'!G6/'몬스터 성장'!F6-1)*(U211/'밸런스 조정'!C119)^'몬스터 성장'!H6)</f>
        <v>1051.80720893</v>
      </c>
      <c r="P211">
        <v>0</v>
      </c>
      <c r="Q211">
        <v>0</v>
      </c>
      <c r="R211">
        <v>124</v>
      </c>
      <c r="S211" t="inlineStr">
        <is>
          <t>Tanker</t>
        </is>
      </c>
      <c r="T211" t="inlineStr">
        <is>
          <t>Jam</t>
        </is>
      </c>
      <c r="U211">
        <v>840.9661</v>
      </c>
      <c r="V211">
        <v>1</v>
      </c>
      <c r="W211">
        <v>758.9661</v>
      </c>
      <c r="X211">
        <v>0</v>
      </c>
      <c r="Y211">
        <v>0</v>
      </c>
    </row>
    <row r="212">
      <c r="B212">
        <v>220</v>
      </c>
      <c r="C212" t="inlineStr">
        <is>
          <t>HighWay</t>
        </is>
      </c>
      <c r="D212" t="inlineStr">
        <is>
          <t>HWY2_086_Sedan</t>
        </is>
      </c>
      <c r="E212">
        <v>1</v>
      </c>
      <c r="F212" t="inlineStr">
        <is>
          <t>공격 반복</t>
        </is>
      </c>
      <c r="G212">
        <v>3.2</v>
      </c>
      <c r="H212">
        <v>0</v>
      </c>
      <c r="I212">
        <v>150</v>
      </c>
      <c r="J212">
        <v>0</v>
      </c>
      <c r="K212">
        <v>0</v>
      </c>
      <c r="L212" t="inlineStr">
        <is>
          <t>차량 적 · 원본 전투/성장/코인 시스템</t>
        </is>
      </c>
      <c r="M212" t="inlineStr">
        <is>
          <t>Normal</t>
        </is>
      </c>
      <c r="N212">
        <v>0</v>
      </c>
      <c r="O212">
        <f>'밸런스 조정'!C154*'밸런스 조정'!C155*'밸런스 조정'!C145*(1+('몬스터 성장'!G6/'몬스터 성장'!F6-1)*(U212/'밸런스 조정'!C119)^'몬스터 성장'!H6)</f>
        <v>535.991519964</v>
      </c>
      <c r="P212">
        <v>0</v>
      </c>
      <c r="Q212">
        <v>0</v>
      </c>
      <c r="R212">
        <v>62</v>
      </c>
      <c r="S212" t="inlineStr">
        <is>
          <t>Sedan</t>
        </is>
      </c>
      <c r="T212" t="inlineStr">
        <is>
          <t>Jam</t>
        </is>
      </c>
      <c r="U212">
        <v>855.839</v>
      </c>
      <c r="V212">
        <v>1</v>
      </c>
      <c r="W212">
        <v>773.839</v>
      </c>
      <c r="X212">
        <v>0</v>
      </c>
      <c r="Y212">
        <v>0</v>
      </c>
    </row>
    <row r="213">
      <c r="B213">
        <v>221</v>
      </c>
      <c r="C213" t="inlineStr">
        <is>
          <t>HighWay</t>
        </is>
      </c>
      <c r="D213" t="inlineStr">
        <is>
          <t>HWY2_087_Taxi</t>
        </is>
      </c>
      <c r="E213">
        <v>1</v>
      </c>
      <c r="F213" t="inlineStr">
        <is>
          <t>공격 반복</t>
        </is>
      </c>
      <c r="G213">
        <v>4.6</v>
      </c>
      <c r="H213">
        <v>0</v>
      </c>
      <c r="I213">
        <v>150</v>
      </c>
      <c r="J213">
        <v>0</v>
      </c>
      <c r="K213">
        <v>0</v>
      </c>
      <c r="L213" t="inlineStr">
        <is>
          <t>차량 적 · 원본 전투/성장/코인 시스템</t>
        </is>
      </c>
      <c r="M213" t="inlineStr">
        <is>
          <t>Normal</t>
        </is>
      </c>
      <c r="N213">
        <v>0</v>
      </c>
      <c r="O213">
        <f>'밸런스 조정'!C154*'밸런스 조정'!C155*'밸런스 조정'!C146*(1+('몬스터 성장'!G6/'몬스터 성장'!F6-1)*(U213/'밸런스 조정'!C119)^'몬스터 성장'!H6)</f>
        <v>546.256281195</v>
      </c>
      <c r="P213">
        <v>0</v>
      </c>
      <c r="Q213">
        <v>0</v>
      </c>
      <c r="R213">
        <v>62</v>
      </c>
      <c r="S213" t="inlineStr">
        <is>
          <t>Taxi</t>
        </is>
      </c>
      <c r="T213" t="inlineStr">
        <is>
          <t>Jam</t>
        </is>
      </c>
      <c r="U213">
        <v>870.7119</v>
      </c>
      <c r="V213">
        <v>1</v>
      </c>
      <c r="W213">
        <v>788.7119</v>
      </c>
      <c r="X213">
        <v>0</v>
      </c>
      <c r="Y213">
        <v>0</v>
      </c>
    </row>
    <row r="214">
      <c r="B214">
        <v>222</v>
      </c>
      <c r="C214" t="inlineStr">
        <is>
          <t>HighWay</t>
        </is>
      </c>
      <c r="D214" t="inlineStr">
        <is>
          <t>HWY2_088_OneTon</t>
        </is>
      </c>
      <c r="E214">
        <v>1</v>
      </c>
      <c r="F214" t="inlineStr">
        <is>
          <t>공격 반복</t>
        </is>
      </c>
      <c r="G214">
        <v>3.8</v>
      </c>
      <c r="H214">
        <v>0</v>
      </c>
      <c r="I214">
        <v>150</v>
      </c>
      <c r="J214">
        <v>0</v>
      </c>
      <c r="K214">
        <v>0</v>
      </c>
      <c r="L214" t="inlineStr">
        <is>
          <t>차량 적 · 원본 전투/성장/코인 시스템</t>
        </is>
      </c>
      <c r="M214" t="inlineStr">
        <is>
          <t>Normal</t>
        </is>
      </c>
      <c r="N214">
        <v>0</v>
      </c>
      <c r="O214">
        <f>'밸런스 조정'!C154*'밸런스 조정'!C155*'밸런스 조정'!C147*(1+('몬스터 성장'!G6/'몬스터 성장'!F6-1)*(U214/'밸런스 조정'!C119)^'몬스터 성장'!H6)</f>
        <v>723.707254609</v>
      </c>
      <c r="P214">
        <v>0</v>
      </c>
      <c r="Q214">
        <v>0</v>
      </c>
      <c r="R214">
        <v>62</v>
      </c>
      <c r="S214" t="inlineStr">
        <is>
          <t>OneTon</t>
        </is>
      </c>
      <c r="T214" t="inlineStr">
        <is>
          <t>Jam</t>
        </is>
      </c>
      <c r="U214">
        <v>885.5847</v>
      </c>
      <c r="V214">
        <v>1</v>
      </c>
      <c r="W214">
        <v>803.5847</v>
      </c>
      <c r="X214">
        <v>0</v>
      </c>
      <c r="Y214">
        <v>0</v>
      </c>
    </row>
    <row r="215">
      <c r="B215">
        <v>223</v>
      </c>
      <c r="C215" t="inlineStr">
        <is>
          <t>HighWay</t>
        </is>
      </c>
      <c r="D215" t="inlineStr">
        <is>
          <t>HWY2_089_Box</t>
        </is>
      </c>
      <c r="E215">
        <v>1</v>
      </c>
      <c r="F215" t="inlineStr">
        <is>
          <t>공격 반복</t>
        </is>
      </c>
      <c r="G215">
        <v>3</v>
      </c>
      <c r="H215">
        <v>0</v>
      </c>
      <c r="I215">
        <v>150</v>
      </c>
      <c r="J215">
        <v>0</v>
      </c>
      <c r="K215">
        <v>0</v>
      </c>
      <c r="L215" t="inlineStr">
        <is>
          <t>차량 적 · 원본 전투/성장/코인 시스템</t>
        </is>
      </c>
      <c r="M215" t="inlineStr">
        <is>
          <t>Normal</t>
        </is>
      </c>
      <c r="N215">
        <v>0</v>
      </c>
      <c r="O215">
        <f>'밸런스 조정'!C154*'밸런스 조정'!C155*'밸런스 조정'!C148*(1+('몬스터 성장'!G6/'몬스터 성장'!F6-1)*(U215/'밸런스 조정'!C119)^'몬스터 성장'!H6)</f>
        <v>907.706145375</v>
      </c>
      <c r="P215">
        <v>0</v>
      </c>
      <c r="Q215">
        <v>0</v>
      </c>
      <c r="R215">
        <v>62</v>
      </c>
      <c r="S215" t="inlineStr">
        <is>
          <t>Box</t>
        </is>
      </c>
      <c r="T215" t="inlineStr">
        <is>
          <t>Jam</t>
        </is>
      </c>
      <c r="U215">
        <v>900.4576</v>
      </c>
      <c r="V215">
        <v>1</v>
      </c>
      <c r="W215">
        <v>818.4576</v>
      </c>
      <c r="X215">
        <v>0</v>
      </c>
      <c r="Y215">
        <v>0</v>
      </c>
    </row>
    <row r="216">
      <c r="B216">
        <v>224</v>
      </c>
      <c r="C216" t="inlineStr">
        <is>
          <t>HighWay</t>
        </is>
      </c>
      <c r="D216" t="inlineStr">
        <is>
          <t>HWY2_090_Sedan</t>
        </is>
      </c>
      <c r="E216">
        <v>1</v>
      </c>
      <c r="F216" t="inlineStr">
        <is>
          <t>공격 반복</t>
        </is>
      </c>
      <c r="G216">
        <v>4.4</v>
      </c>
      <c r="H216">
        <v>0</v>
      </c>
      <c r="I216">
        <v>150</v>
      </c>
      <c r="J216">
        <v>0</v>
      </c>
      <c r="K216">
        <v>0</v>
      </c>
      <c r="L216" t="inlineStr">
        <is>
          <t>차량 적 · 원본 전투/성장/코인 시스템</t>
        </is>
      </c>
      <c r="M216" t="inlineStr">
        <is>
          <t>Normal</t>
        </is>
      </c>
      <c r="N216">
        <v>0</v>
      </c>
      <c r="O216">
        <f>'밸런스 조정'!C154*'밸런스 조정'!C155*'밸런스 조정'!C145*(1+('몬스터 성장'!G6/'몬스터 성장'!F6-1)*(U216/'밸런스 조정'!C119)^'몬스터 성장'!H6)</f>
        <v>578.111639293</v>
      </c>
      <c r="P216">
        <v>0</v>
      </c>
      <c r="Q216">
        <v>0</v>
      </c>
      <c r="R216">
        <v>62</v>
      </c>
      <c r="S216" t="inlineStr">
        <is>
          <t>Sedan</t>
        </is>
      </c>
      <c r="T216" t="inlineStr">
        <is>
          <t>Jam</t>
        </is>
      </c>
      <c r="U216">
        <v>915.3305</v>
      </c>
      <c r="V216">
        <v>1</v>
      </c>
      <c r="W216">
        <v>833.3305</v>
      </c>
      <c r="X216">
        <v>0</v>
      </c>
      <c r="Y216">
        <v>0</v>
      </c>
    </row>
    <row r="217">
      <c r="B217">
        <v>225</v>
      </c>
      <c r="C217" t="inlineStr">
        <is>
          <t>HighWay</t>
        </is>
      </c>
      <c r="D217" t="inlineStr">
        <is>
          <t>HWY2_091_Tanker</t>
        </is>
      </c>
      <c r="E217">
        <v>1</v>
      </c>
      <c r="F217" t="inlineStr">
        <is>
          <t>공격 반복</t>
        </is>
      </c>
      <c r="G217">
        <v>3.6</v>
      </c>
      <c r="H217">
        <v>0</v>
      </c>
      <c r="I217">
        <v>150</v>
      </c>
      <c r="J217">
        <v>0</v>
      </c>
      <c r="K217">
        <v>0</v>
      </c>
      <c r="L217" t="inlineStr">
        <is>
          <t>차량 적 · 원본 전투/성장/코인 시스템</t>
        </is>
      </c>
      <c r="M217" t="inlineStr">
        <is>
          <t>Normal</t>
        </is>
      </c>
      <c r="N217">
        <v>0</v>
      </c>
      <c r="O217">
        <f>'밸런스 조정'!C154*'밸런스 조정'!C155*'밸런스 조정'!C149*(1+('몬스터 성장'!G6/'몬스터 성장'!F6-1)*(U217/'밸런스 조정'!C119)^'몬스터 성장'!H6)</f>
        <v>1178.16756692</v>
      </c>
      <c r="P217">
        <v>0</v>
      </c>
      <c r="Q217">
        <v>0</v>
      </c>
      <c r="R217">
        <v>124</v>
      </c>
      <c r="S217" t="inlineStr">
        <is>
          <t>Tanker</t>
        </is>
      </c>
      <c r="T217" t="inlineStr">
        <is>
          <t>Jam</t>
        </is>
      </c>
      <c r="U217">
        <v>930.2034</v>
      </c>
      <c r="V217">
        <v>1</v>
      </c>
      <c r="W217">
        <v>848.2034</v>
      </c>
      <c r="X217">
        <v>0</v>
      </c>
      <c r="Y217">
        <v>0</v>
      </c>
    </row>
    <row r="218">
      <c r="B218">
        <v>226</v>
      </c>
      <c r="C218" t="inlineStr">
        <is>
          <t>HighWay</t>
        </is>
      </c>
      <c r="D218" t="inlineStr">
        <is>
          <t>HWY2_092_Sedan</t>
        </is>
      </c>
      <c r="E218">
        <v>1</v>
      </c>
      <c r="F218" t="inlineStr">
        <is>
          <t>공격 반복</t>
        </is>
      </c>
      <c r="G218">
        <v>5</v>
      </c>
      <c r="H218">
        <v>0</v>
      </c>
      <c r="I218">
        <v>150</v>
      </c>
      <c r="J218">
        <v>0</v>
      </c>
      <c r="K218">
        <v>0</v>
      </c>
      <c r="L218" t="inlineStr">
        <is>
          <t>차량 적 · 원본 전투/성장/코인 시스템</t>
        </is>
      </c>
      <c r="M218" t="inlineStr">
        <is>
          <t>Normal</t>
        </is>
      </c>
      <c r="N218">
        <v>0</v>
      </c>
      <c r="O218">
        <f>'밸런스 조정'!C154*'밸런스 조정'!C155*'밸런스 조정'!C145*(1+('몬스터 성장'!G6/'몬스터 성장'!F6-1)*(U218/'밸런스 조정'!C119)^'몬스터 성장'!H6)</f>
        <v>600.232773361</v>
      </c>
      <c r="P218">
        <v>0</v>
      </c>
      <c r="Q218">
        <v>0</v>
      </c>
      <c r="R218">
        <v>62</v>
      </c>
      <c r="S218" t="inlineStr">
        <is>
          <t>Sedan</t>
        </is>
      </c>
      <c r="T218" t="inlineStr">
        <is>
          <t>Jam</t>
        </is>
      </c>
      <c r="U218">
        <v>945.0763</v>
      </c>
      <c r="V218">
        <v>1</v>
      </c>
      <c r="W218">
        <v>863.0763</v>
      </c>
      <c r="X218">
        <v>0</v>
      </c>
      <c r="Y218">
        <v>0</v>
      </c>
    </row>
    <row r="219">
      <c r="B219">
        <v>227</v>
      </c>
      <c r="C219" t="inlineStr">
        <is>
          <t>HighWay</t>
        </is>
      </c>
      <c r="D219" t="inlineStr">
        <is>
          <t>HWY2_093_Taxi</t>
        </is>
      </c>
      <c r="E219">
        <v>1</v>
      </c>
      <c r="F219" t="inlineStr">
        <is>
          <t>공격 반복</t>
        </is>
      </c>
      <c r="G219">
        <v>4.2</v>
      </c>
      <c r="H219">
        <v>0</v>
      </c>
      <c r="I219">
        <v>150</v>
      </c>
      <c r="J219">
        <v>0</v>
      </c>
      <c r="K219">
        <v>0</v>
      </c>
      <c r="L219" t="inlineStr">
        <is>
          <t>차량 적 · 원본 전투/성장/코인 시스템</t>
        </is>
      </c>
      <c r="M219" t="inlineStr">
        <is>
          <t>Normal</t>
        </is>
      </c>
      <c r="N219">
        <v>0</v>
      </c>
      <c r="O219">
        <f>'밸런스 조정'!C154*'밸런스 조정'!C155*'밸런스 조정'!C146*(1+('몬스터 성장'!G6/'몬스터 성장'!F6-1)*(U219/'밸런스 조정'!C119)^'몬스터 성장'!H6)</f>
        <v>611.558608997</v>
      </c>
      <c r="P219">
        <v>0</v>
      </c>
      <c r="Q219">
        <v>0</v>
      </c>
      <c r="R219">
        <v>62</v>
      </c>
      <c r="S219" t="inlineStr">
        <is>
          <t>Taxi</t>
        </is>
      </c>
      <c r="T219" t="inlineStr">
        <is>
          <t>Jam</t>
        </is>
      </c>
      <c r="U219">
        <v>959.9492</v>
      </c>
      <c r="V219">
        <v>1</v>
      </c>
      <c r="W219">
        <v>877.9492</v>
      </c>
      <c r="X219">
        <v>0</v>
      </c>
      <c r="Y219">
        <v>0</v>
      </c>
    </row>
    <row r="220">
      <c r="B220">
        <v>228</v>
      </c>
      <c r="C220" t="inlineStr">
        <is>
          <t>HighWay</t>
        </is>
      </c>
      <c r="D220" t="inlineStr">
        <is>
          <t>HWY2_094_OneTon</t>
        </is>
      </c>
      <c r="E220">
        <v>1</v>
      </c>
      <c r="F220" t="inlineStr">
        <is>
          <t>공격 반복</t>
        </is>
      </c>
      <c r="G220">
        <v>3.4</v>
      </c>
      <c r="H220">
        <v>0</v>
      </c>
      <c r="I220">
        <v>150</v>
      </c>
      <c r="J220">
        <v>0</v>
      </c>
      <c r="K220">
        <v>0</v>
      </c>
      <c r="L220" t="inlineStr">
        <is>
          <t>차량 적 · 원본 전투/성장/코인 시스템</t>
        </is>
      </c>
      <c r="M220" t="inlineStr">
        <is>
          <t>Normal</t>
        </is>
      </c>
      <c r="N220">
        <v>0</v>
      </c>
      <c r="O220">
        <f>'밸런스 조정'!C154*'밸런스 조정'!C155*'밸런스 조정'!C147*(1+('몬스터 성장'!G6/'몬스터 성장'!F6-1)*(U220/'밸런스 조정'!C119)^'몬스터 성장'!H6)</f>
        <v>809.979677476</v>
      </c>
      <c r="P220">
        <v>0</v>
      </c>
      <c r="Q220">
        <v>0</v>
      </c>
      <c r="R220">
        <v>62</v>
      </c>
      <c r="S220" t="inlineStr">
        <is>
          <t>OneTon</t>
        </is>
      </c>
      <c r="T220" t="inlineStr">
        <is>
          <t>Jam</t>
        </is>
      </c>
      <c r="U220">
        <v>974.822</v>
      </c>
      <c r="V220">
        <v>1</v>
      </c>
      <c r="W220">
        <v>892.822</v>
      </c>
      <c r="X220">
        <v>0</v>
      </c>
      <c r="Y220">
        <v>0</v>
      </c>
    </row>
    <row r="221">
      <c r="B221">
        <v>229</v>
      </c>
      <c r="C221" t="inlineStr">
        <is>
          <t>HighWay</t>
        </is>
      </c>
      <c r="D221" t="inlineStr">
        <is>
          <t>HWY2_095_Box</t>
        </is>
      </c>
      <c r="E221">
        <v>1</v>
      </c>
      <c r="F221" t="inlineStr">
        <is>
          <t>공격 반복</t>
        </is>
      </c>
      <c r="G221">
        <v>4.8</v>
      </c>
      <c r="H221">
        <v>0</v>
      </c>
      <c r="I221">
        <v>150</v>
      </c>
      <c r="J221">
        <v>0</v>
      </c>
      <c r="K221">
        <v>0</v>
      </c>
      <c r="L221" t="inlineStr">
        <is>
          <t>차량 적 · 원본 전투/성장/코인 시스템</t>
        </is>
      </c>
      <c r="M221" t="inlineStr">
        <is>
          <t>Normal</t>
        </is>
      </c>
      <c r="N221">
        <v>0</v>
      </c>
      <c r="O221">
        <f>'밸런스 조정'!C154*'밸런스 조정'!C155*'밸런스 조정'!C148*(1+('몬스터 성장'!G6/'몬스터 성장'!F6-1)*(U221/'밸런스 조정'!C119)^'몬스터 성장'!H6)</f>
        <v>1015.58530795</v>
      </c>
      <c r="P221">
        <v>0</v>
      </c>
      <c r="Q221">
        <v>0</v>
      </c>
      <c r="R221">
        <v>62</v>
      </c>
      <c r="S221" t="inlineStr">
        <is>
          <t>Box</t>
        </is>
      </c>
      <c r="T221" t="inlineStr">
        <is>
          <t>Jam</t>
        </is>
      </c>
      <c r="U221">
        <v>989.6949</v>
      </c>
      <c r="V221">
        <v>1</v>
      </c>
      <c r="W221">
        <v>907.6949</v>
      </c>
      <c r="X221">
        <v>0</v>
      </c>
      <c r="Y221">
        <v>0</v>
      </c>
    </row>
    <row r="222">
      <c r="B222">
        <v>230</v>
      </c>
      <c r="C222" t="inlineStr">
        <is>
          <t>HighWay</t>
        </is>
      </c>
      <c r="D222" t="inlineStr">
        <is>
          <t>HWY2_096_Sedan</t>
        </is>
      </c>
      <c r="E222">
        <v>1</v>
      </c>
      <c r="F222" t="inlineStr">
        <is>
          <t>공격 반복</t>
        </is>
      </c>
      <c r="G222">
        <v>4</v>
      </c>
      <c r="H222">
        <v>0</v>
      </c>
      <c r="I222">
        <v>150</v>
      </c>
      <c r="J222">
        <v>0</v>
      </c>
      <c r="K222">
        <v>0</v>
      </c>
      <c r="L222" t="inlineStr">
        <is>
          <t>차량 적 · 원본 전투/성장/코인 시스템</t>
        </is>
      </c>
      <c r="M222" t="inlineStr">
        <is>
          <t>Normal</t>
        </is>
      </c>
      <c r="N222">
        <v>0</v>
      </c>
      <c r="O222">
        <f>'밸런스 조정'!C154*'밸런스 조정'!C155*'밸런스 조정'!C145*(1+('몬스터 성장'!G6/'몬스터 성장'!F6-1)*(U222/'밸런스 조정'!C119)^'몬스터 성장'!H6)</f>
        <v>646.597190306</v>
      </c>
      <c r="P222">
        <v>0</v>
      </c>
      <c r="Q222">
        <v>0</v>
      </c>
      <c r="R222">
        <v>62</v>
      </c>
      <c r="S222" t="inlineStr">
        <is>
          <t>Sedan</t>
        </is>
      </c>
      <c r="T222" t="inlineStr">
        <is>
          <t>Jam</t>
        </is>
      </c>
      <c r="U222">
        <v>1004.5678</v>
      </c>
      <c r="V222">
        <v>1</v>
      </c>
      <c r="W222">
        <v>922.5678</v>
      </c>
      <c r="X222">
        <v>0</v>
      </c>
      <c r="Y222">
        <v>0</v>
      </c>
    </row>
    <row r="223">
      <c r="B223">
        <v>231</v>
      </c>
      <c r="C223" t="inlineStr">
        <is>
          <t>HighWay</t>
        </is>
      </c>
      <c r="D223" t="inlineStr">
        <is>
          <t>HWY2_097_Tanker</t>
        </is>
      </c>
      <c r="E223">
        <v>1</v>
      </c>
      <c r="F223" t="inlineStr">
        <is>
          <t>공격 반복</t>
        </is>
      </c>
      <c r="G223">
        <v>3.2</v>
      </c>
      <c r="H223">
        <v>0</v>
      </c>
      <c r="I223">
        <v>150</v>
      </c>
      <c r="J223">
        <v>0</v>
      </c>
      <c r="K223">
        <v>0</v>
      </c>
      <c r="L223" t="inlineStr">
        <is>
          <t>차량 적 · 원본 전투/성장/코인 시스템</t>
        </is>
      </c>
      <c r="M223" t="inlineStr">
        <is>
          <t>Normal</t>
        </is>
      </c>
      <c r="N223">
        <v>0</v>
      </c>
      <c r="O223">
        <f>'밸런스 조정'!C154*'밸런스 조정'!C155*'밸런스 조정'!C149*(1+('몬스터 성장'!G6/'몬스터 성장'!F6-1)*(U223/'밸런스 조정'!C119)^'몬스터 성장'!H6)</f>
        <v>1317.26081775</v>
      </c>
      <c r="P223">
        <v>0</v>
      </c>
      <c r="Q223">
        <v>0</v>
      </c>
      <c r="R223">
        <v>124</v>
      </c>
      <c r="S223" t="inlineStr">
        <is>
          <t>Tanker</t>
        </is>
      </c>
      <c r="T223" t="inlineStr">
        <is>
          <t>Jam</t>
        </is>
      </c>
      <c r="U223">
        <v>1019.4407</v>
      </c>
      <c r="V223">
        <v>1</v>
      </c>
      <c r="W223">
        <v>937.4407</v>
      </c>
      <c r="X223">
        <v>0</v>
      </c>
      <c r="Y223">
        <v>0</v>
      </c>
    </row>
    <row r="224">
      <c r="B224">
        <v>232</v>
      </c>
      <c r="C224" t="inlineStr">
        <is>
          <t>HighWay</t>
        </is>
      </c>
      <c r="D224" t="inlineStr">
        <is>
          <t>HWY2_098_Sedan</t>
        </is>
      </c>
      <c r="E224">
        <v>1</v>
      </c>
      <c r="F224" t="inlineStr">
        <is>
          <t>공격 반복</t>
        </is>
      </c>
      <c r="G224">
        <v>4.6</v>
      </c>
      <c r="H224">
        <v>0</v>
      </c>
      <c r="I224">
        <v>150</v>
      </c>
      <c r="J224">
        <v>0</v>
      </c>
      <c r="K224">
        <v>0</v>
      </c>
      <c r="L224" t="inlineStr">
        <is>
          <t>차량 적 · 원본 전투/성장/코인 시스템</t>
        </is>
      </c>
      <c r="M224" t="inlineStr">
        <is>
          <t>Normal</t>
        </is>
      </c>
      <c r="N224">
        <v>0</v>
      </c>
      <c r="O224">
        <f>'밸런스 조정'!C154*'밸런스 조정'!C155*'밸런스 조정'!C145*(1+('몬스터 성장'!G6/'몬스터 성장'!F6-1)*(U224/'밸런스 조정'!C119)^'몬스터 성장'!H6)</f>
        <v>670.840473182</v>
      </c>
      <c r="P224">
        <v>0</v>
      </c>
      <c r="Q224">
        <v>0</v>
      </c>
      <c r="R224">
        <v>62</v>
      </c>
      <c r="S224" t="inlineStr">
        <is>
          <t>Sedan</t>
        </is>
      </c>
      <c r="T224" t="inlineStr">
        <is>
          <t>Jam</t>
        </is>
      </c>
      <c r="U224">
        <v>1034.3136</v>
      </c>
      <c r="V224">
        <v>1</v>
      </c>
      <c r="W224">
        <v>952.3136</v>
      </c>
      <c r="X224">
        <v>0</v>
      </c>
      <c r="Y224">
        <v>0</v>
      </c>
    </row>
    <row r="225">
      <c r="B225">
        <v>233</v>
      </c>
      <c r="C225" t="inlineStr">
        <is>
          <t>HighWay</t>
        </is>
      </c>
      <c r="D225" t="inlineStr">
        <is>
          <t>HWY2_099_Taxi</t>
        </is>
      </c>
      <c r="E225">
        <v>1</v>
      </c>
      <c r="F225" t="inlineStr">
        <is>
          <t>공격 반복</t>
        </is>
      </c>
      <c r="G225">
        <v>3.8</v>
      </c>
      <c r="H225">
        <v>0</v>
      </c>
      <c r="I225">
        <v>150</v>
      </c>
      <c r="J225">
        <v>0</v>
      </c>
      <c r="K225">
        <v>0</v>
      </c>
      <c r="L225" t="inlineStr">
        <is>
          <t>차량 적 · 원본 전투/성장/코인 시스템</t>
        </is>
      </c>
      <c r="M225" t="inlineStr">
        <is>
          <t>Normal</t>
        </is>
      </c>
      <c r="N225">
        <v>0</v>
      </c>
      <c r="O225">
        <f>'밸런스 조정'!C154*'밸런스 조정'!C155*'밸런스 조정'!C146*(1+('몬스터 성장'!G6/'몬스터 성장'!F6-1)*(U225/'밸런스 조정'!C119)^'몬스터 성장'!H6)</f>
        <v>683.227383222</v>
      </c>
      <c r="P225">
        <v>0</v>
      </c>
      <c r="Q225">
        <v>0</v>
      </c>
      <c r="R225">
        <v>62</v>
      </c>
      <c r="S225" t="inlineStr">
        <is>
          <t>Taxi</t>
        </is>
      </c>
      <c r="T225" t="inlineStr">
        <is>
          <t>Jam</t>
        </is>
      </c>
      <c r="U225">
        <v>1049.1864</v>
      </c>
      <c r="V225">
        <v>1</v>
      </c>
      <c r="W225">
        <v>967.1864</v>
      </c>
      <c r="X225">
        <v>0</v>
      </c>
      <c r="Y225">
        <v>0</v>
      </c>
    </row>
    <row r="226">
      <c r="B226">
        <v>234</v>
      </c>
      <c r="C226" t="inlineStr">
        <is>
          <t>HighWay</t>
        </is>
      </c>
      <c r="D226" t="inlineStr">
        <is>
          <t>HWY2_100_OneTon</t>
        </is>
      </c>
      <c r="E226">
        <v>1</v>
      </c>
      <c r="F226" t="inlineStr">
        <is>
          <t>공격 반복</t>
        </is>
      </c>
      <c r="G226">
        <v>3</v>
      </c>
      <c r="H226">
        <v>0</v>
      </c>
      <c r="I226">
        <v>150</v>
      </c>
      <c r="J226">
        <v>0</v>
      </c>
      <c r="K226">
        <v>0</v>
      </c>
      <c r="L226" t="inlineStr">
        <is>
          <t>차량 적 · 원본 전투/성장/코인 시스템</t>
        </is>
      </c>
      <c r="M226" t="inlineStr">
        <is>
          <t>Normal</t>
        </is>
      </c>
      <c r="N226">
        <v>0</v>
      </c>
      <c r="O226">
        <f>'밸런스 조정'!C154*'밸런스 조정'!C155*'밸런스 조정'!C147*(1+('몬스터 성장'!G6/'몬스터 성장'!F6-1)*(U226/'밸런스 조정'!C119)^'몬스터 성장'!H6)</f>
        <v>904.528480693</v>
      </c>
      <c r="P226">
        <v>0</v>
      </c>
      <c r="Q226">
        <v>0</v>
      </c>
      <c r="R226">
        <v>62</v>
      </c>
      <c r="S226" t="inlineStr">
        <is>
          <t>OneTon</t>
        </is>
      </c>
      <c r="T226" t="inlineStr">
        <is>
          <t>Jam</t>
        </is>
      </c>
      <c r="U226">
        <v>1064.0593</v>
      </c>
      <c r="V226">
        <v>1</v>
      </c>
      <c r="W226">
        <v>982.0593</v>
      </c>
      <c r="X226">
        <v>0</v>
      </c>
      <c r="Y226">
        <v>0</v>
      </c>
    </row>
    <row r="227">
      <c r="B227">
        <v>235</v>
      </c>
      <c r="C227" t="inlineStr">
        <is>
          <t>HighWay</t>
        </is>
      </c>
      <c r="D227" t="inlineStr">
        <is>
          <t>HWY2_101_Bus</t>
        </is>
      </c>
      <c r="E227">
        <v>1</v>
      </c>
      <c r="F227" t="inlineStr">
        <is>
          <t>공격 반복</t>
        </is>
      </c>
      <c r="G227">
        <v>4.4</v>
      </c>
      <c r="H227">
        <v>0</v>
      </c>
      <c r="I227">
        <v>150</v>
      </c>
      <c r="J227">
        <v>0</v>
      </c>
      <c r="K227">
        <v>0</v>
      </c>
      <c r="L227" t="inlineStr">
        <is>
          <t>차량 적 · 원본 전투/성장/코인 시스템</t>
        </is>
      </c>
      <c r="M227" t="inlineStr">
        <is>
          <t>Normal</t>
        </is>
      </c>
      <c r="N227">
        <v>0</v>
      </c>
      <c r="O227">
        <f>'밸런스 조정'!C154*'밸런스 조정'!C155*'밸런스 조정'!C150*(1+('몬스터 성장'!G6/'몬스터 성장'!F6-1)*(U227/'밸런스 조정'!C119)^'몬스터 성장'!H6)</f>
        <v>2125.59522151</v>
      </c>
      <c r="P227">
        <v>0</v>
      </c>
      <c r="Q227">
        <v>0</v>
      </c>
      <c r="R227">
        <v>124</v>
      </c>
      <c r="S227" t="inlineStr">
        <is>
          <t>Bus</t>
        </is>
      </c>
      <c r="T227" t="inlineStr">
        <is>
          <t>Jam</t>
        </is>
      </c>
      <c r="U227">
        <v>1078.9322</v>
      </c>
      <c r="V227">
        <v>1.5</v>
      </c>
      <c r="W227">
        <v>996.9322</v>
      </c>
      <c r="X227">
        <v>0</v>
      </c>
      <c r="Y227">
        <v>0</v>
      </c>
    </row>
    <row r="228">
      <c r="B228">
        <v>236</v>
      </c>
      <c r="C228" t="inlineStr">
        <is>
          <t>HighWay</t>
        </is>
      </c>
      <c r="D228" t="inlineStr">
        <is>
          <t>HWY2_102_Sedan</t>
        </is>
      </c>
      <c r="E228">
        <v>1</v>
      </c>
      <c r="F228" t="inlineStr">
        <is>
          <t>공격 반복</t>
        </is>
      </c>
      <c r="G228">
        <v>3.6</v>
      </c>
      <c r="H228">
        <v>0</v>
      </c>
      <c r="I228">
        <v>150</v>
      </c>
      <c r="J228">
        <v>0</v>
      </c>
      <c r="K228">
        <v>0</v>
      </c>
      <c r="L228" t="inlineStr">
        <is>
          <t>차량 적 · 원본 전투/성장/코인 시스템</t>
        </is>
      </c>
      <c r="M228" t="inlineStr">
        <is>
          <t>Normal</t>
        </is>
      </c>
      <c r="N228">
        <v>0</v>
      </c>
      <c r="O228">
        <f>'밸런스 조정'!C154*'밸런스 조정'!C155*'밸런스 조정'!C145*(1+('몬스터 성장'!G6/'몬스터 성장'!F6-1)*(U228/'밸런스 조정'!C119)^'몬스터 성장'!H6)</f>
        <v>721.449187743</v>
      </c>
      <c r="P228">
        <v>0</v>
      </c>
      <c r="Q228">
        <v>0</v>
      </c>
      <c r="R228">
        <v>62</v>
      </c>
      <c r="S228" t="inlineStr">
        <is>
          <t>Sedan</t>
        </is>
      </c>
      <c r="T228" t="inlineStr">
        <is>
          <t>Jam</t>
        </is>
      </c>
      <c r="U228">
        <v>1093.8051</v>
      </c>
      <c r="V228">
        <v>1</v>
      </c>
      <c r="W228">
        <v>1011.8051</v>
      </c>
      <c r="X228">
        <v>0</v>
      </c>
      <c r="Y228">
        <v>0</v>
      </c>
    </row>
    <row r="229">
      <c r="B229">
        <v>237</v>
      </c>
      <c r="C229" t="inlineStr">
        <is>
          <t>HighWay</t>
        </is>
      </c>
      <c r="D229" t="inlineStr">
        <is>
          <t>HWY2_103_Tanker</t>
        </is>
      </c>
      <c r="E229">
        <v>1</v>
      </c>
      <c r="F229" t="inlineStr">
        <is>
          <t>공격 반복</t>
        </is>
      </c>
      <c r="G229">
        <v>5</v>
      </c>
      <c r="H229">
        <v>0</v>
      </c>
      <c r="I229">
        <v>150</v>
      </c>
      <c r="J229">
        <v>0</v>
      </c>
      <c r="K229">
        <v>0</v>
      </c>
      <c r="L229" t="inlineStr">
        <is>
          <t>차량 적 · 원본 전투/성장/코인 시스템</t>
        </is>
      </c>
      <c r="M229" t="inlineStr">
        <is>
          <t>Normal</t>
        </is>
      </c>
      <c r="N229">
        <v>0</v>
      </c>
      <c r="O229">
        <f>'밸런스 조정'!C154*'밸런스 조정'!C155*'밸런스 조정'!C149*(1+('몬스터 성장'!G6/'몬스터 성장'!F6-1)*(U229/'밸런스 조정'!C119)^'몬스터 성장'!H6)</f>
        <v>1469.08696144</v>
      </c>
      <c r="P229">
        <v>0</v>
      </c>
      <c r="Q229">
        <v>0</v>
      </c>
      <c r="R229">
        <v>124</v>
      </c>
      <c r="S229" t="inlineStr">
        <is>
          <t>Tanker</t>
        </is>
      </c>
      <c r="T229" t="inlineStr">
        <is>
          <t>Jam</t>
        </is>
      </c>
      <c r="U229">
        <v>1108.678</v>
      </c>
      <c r="V229">
        <v>1</v>
      </c>
      <c r="W229">
        <v>1026.678</v>
      </c>
      <c r="X229">
        <v>0</v>
      </c>
      <c r="Y229">
        <v>0</v>
      </c>
    </row>
    <row r="230">
      <c r="B230">
        <v>238</v>
      </c>
      <c r="C230" t="inlineStr">
        <is>
          <t>HighWay</t>
        </is>
      </c>
      <c r="D230" t="inlineStr">
        <is>
          <t>HWY2_104_Sedan</t>
        </is>
      </c>
      <c r="E230">
        <v>1</v>
      </c>
      <c r="F230" t="inlineStr">
        <is>
          <t>공격 반복</t>
        </is>
      </c>
      <c r="G230">
        <v>4.2</v>
      </c>
      <c r="H230">
        <v>0</v>
      </c>
      <c r="I230">
        <v>150</v>
      </c>
      <c r="J230">
        <v>0</v>
      </c>
      <c r="K230">
        <v>0</v>
      </c>
      <c r="L230" t="inlineStr">
        <is>
          <t>차량 적 · 원본 전투/성장/코인 시스템</t>
        </is>
      </c>
      <c r="M230" t="inlineStr">
        <is>
          <t>Normal</t>
        </is>
      </c>
      <c r="N230">
        <v>0</v>
      </c>
      <c r="O230">
        <f>'밸런스 조정'!C154*'밸런스 조정'!C155*'밸런스 조정'!C145*(1+('몬스터 성장'!G6/'몬스터 성장'!F6-1)*(U230/'밸런스 조정'!C119)^'몬스터 성장'!H6)</f>
        <v>747.814619427</v>
      </c>
      <c r="P230">
        <v>0</v>
      </c>
      <c r="Q230">
        <v>0</v>
      </c>
      <c r="R230">
        <v>62</v>
      </c>
      <c r="S230" t="inlineStr">
        <is>
          <t>Sedan</t>
        </is>
      </c>
      <c r="T230" t="inlineStr">
        <is>
          <t>Jam</t>
        </is>
      </c>
      <c r="U230">
        <v>1123.5508</v>
      </c>
      <c r="V230">
        <v>1</v>
      </c>
      <c r="W230">
        <v>1041.5508</v>
      </c>
      <c r="X230">
        <v>0</v>
      </c>
      <c r="Y230">
        <v>0</v>
      </c>
    </row>
    <row r="231">
      <c r="B231">
        <v>239</v>
      </c>
      <c r="C231" t="inlineStr">
        <is>
          <t>HighWay</t>
        </is>
      </c>
      <c r="D231" t="inlineStr">
        <is>
          <t>HWY2_105_Taxi</t>
        </is>
      </c>
      <c r="E231">
        <v>1</v>
      </c>
      <c r="F231" t="inlineStr">
        <is>
          <t>공격 반복</t>
        </is>
      </c>
      <c r="G231">
        <v>3.4</v>
      </c>
      <c r="H231">
        <v>0</v>
      </c>
      <c r="I231">
        <v>150</v>
      </c>
      <c r="J231">
        <v>0</v>
      </c>
      <c r="K231">
        <v>0</v>
      </c>
      <c r="L231" t="inlineStr">
        <is>
          <t>차량 적 · 원본 전투/성장/코인 시스템</t>
        </is>
      </c>
      <c r="M231" t="inlineStr">
        <is>
          <t>Normal</t>
        </is>
      </c>
      <c r="N231">
        <v>0</v>
      </c>
      <c r="O231">
        <f>'밸런스 조정'!C154*'밸런스 조정'!C155*'밸런스 조정'!C146*(1+('몬스터 성장'!G6/'몬스터 성장'!F6-1)*(U231/'밸런스 조정'!C119)^'몬스터 성장'!H6)</f>
        <v>761.26260387</v>
      </c>
      <c r="P231">
        <v>0</v>
      </c>
      <c r="Q231">
        <v>0</v>
      </c>
      <c r="R231">
        <v>62</v>
      </c>
      <c r="S231" t="inlineStr">
        <is>
          <t>Taxi</t>
        </is>
      </c>
      <c r="T231" t="inlineStr">
        <is>
          <t>Jam</t>
        </is>
      </c>
      <c r="U231">
        <v>1138.4237</v>
      </c>
      <c r="V231">
        <v>1</v>
      </c>
      <c r="W231">
        <v>1056.4237</v>
      </c>
      <c r="X231">
        <v>0</v>
      </c>
      <c r="Y231">
        <v>0</v>
      </c>
    </row>
    <row r="232">
      <c r="B232">
        <v>240</v>
      </c>
      <c r="C232" t="inlineStr">
        <is>
          <t>HighWay</t>
        </is>
      </c>
      <c r="D232" t="inlineStr">
        <is>
          <t>HWY2_106_OneTon</t>
        </is>
      </c>
      <c r="E232">
        <v>1</v>
      </c>
      <c r="F232" t="inlineStr">
        <is>
          <t>공격 반복</t>
        </is>
      </c>
      <c r="G232">
        <v>4.8</v>
      </c>
      <c r="H232">
        <v>0</v>
      </c>
      <c r="I232">
        <v>150</v>
      </c>
      <c r="J232">
        <v>0</v>
      </c>
      <c r="K232">
        <v>0</v>
      </c>
      <c r="L232" t="inlineStr">
        <is>
          <t>차량 적 · 원본 전투/성장/코인 시스템</t>
        </is>
      </c>
      <c r="M232" t="inlineStr">
        <is>
          <t>Normal</t>
        </is>
      </c>
      <c r="N232">
        <v>0</v>
      </c>
      <c r="O232">
        <f>'밸런스 조정'!C154*'밸런스 조정'!C155*'밸런스 조정'!C147*(1+('몬스터 성장'!G6/'몬스터 성장'!F6-1)*(U232/'밸런스 조정'!C119)^'몬스터 성장'!H6)</f>
        <v>1007.35366426</v>
      </c>
      <c r="P232">
        <v>0</v>
      </c>
      <c r="Q232">
        <v>0</v>
      </c>
      <c r="R232">
        <v>62</v>
      </c>
      <c r="S232" t="inlineStr">
        <is>
          <t>OneTon</t>
        </is>
      </c>
      <c r="T232" t="inlineStr">
        <is>
          <t>Jam</t>
        </is>
      </c>
      <c r="U232">
        <v>1153.2966</v>
      </c>
      <c r="V232">
        <v>1</v>
      </c>
      <c r="W232">
        <v>1071.2966</v>
      </c>
      <c r="X232">
        <v>0</v>
      </c>
      <c r="Y232">
        <v>0</v>
      </c>
    </row>
    <row r="233">
      <c r="B233">
        <v>241</v>
      </c>
      <c r="C233" t="inlineStr">
        <is>
          <t>HighWay</t>
        </is>
      </c>
      <c r="D233" t="inlineStr">
        <is>
          <t>HWY2_107_Box</t>
        </is>
      </c>
      <c r="E233">
        <v>1</v>
      </c>
      <c r="F233" t="inlineStr">
        <is>
          <t>공격 반복</t>
        </is>
      </c>
      <c r="G233">
        <v>4</v>
      </c>
      <c r="H233">
        <v>0</v>
      </c>
      <c r="I233">
        <v>150</v>
      </c>
      <c r="J233">
        <v>0</v>
      </c>
      <c r="K233">
        <v>0</v>
      </c>
      <c r="L233" t="inlineStr">
        <is>
          <t>차량 적 · 원본 전투/성장/코인 시스템</t>
        </is>
      </c>
      <c r="M233" t="inlineStr">
        <is>
          <t>Normal</t>
        </is>
      </c>
      <c r="N233">
        <v>0</v>
      </c>
      <c r="O233">
        <f>'밸런스 조정'!C154*'밸런스 조정'!C155*'밸런스 조정'!C148*(1+('몬스터 성장'!G6/'몬스터 성장'!F6-1)*(U233/'밸런스 조정'!C119)^'몬스터 성장'!H6)</f>
        <v>1261.90257593</v>
      </c>
      <c r="P233">
        <v>0</v>
      </c>
      <c r="Q233">
        <v>0</v>
      </c>
      <c r="R233">
        <v>62</v>
      </c>
      <c r="S233" t="inlineStr">
        <is>
          <t>Box</t>
        </is>
      </c>
      <c r="T233" t="inlineStr">
        <is>
          <t>Jam</t>
        </is>
      </c>
      <c r="U233">
        <v>1168.1695</v>
      </c>
      <c r="V233">
        <v>1</v>
      </c>
      <c r="W233">
        <v>1086.1695</v>
      </c>
      <c r="X233">
        <v>0</v>
      </c>
      <c r="Y233">
        <v>0</v>
      </c>
    </row>
    <row r="234">
      <c r="B234">
        <v>242</v>
      </c>
      <c r="C234" t="inlineStr">
        <is>
          <t>HighWay</t>
        </is>
      </c>
      <c r="D234" t="inlineStr">
        <is>
          <t>HWY2_108_OneTon</t>
        </is>
      </c>
      <c r="E234">
        <v>1</v>
      </c>
      <c r="F234" t="inlineStr">
        <is>
          <t>공격 반복</t>
        </is>
      </c>
      <c r="G234">
        <v>4.2</v>
      </c>
      <c r="H234">
        <v>0</v>
      </c>
      <c r="I234">
        <v>150</v>
      </c>
      <c r="J234">
        <v>0</v>
      </c>
      <c r="K234">
        <v>0</v>
      </c>
      <c r="L234" t="inlineStr">
        <is>
          <t>차량 적 · 원본 전투/성장/코인 시스템</t>
        </is>
      </c>
      <c r="M234" t="inlineStr">
        <is>
          <t>Normal</t>
        </is>
      </c>
      <c r="N234">
        <v>0</v>
      </c>
      <c r="O234">
        <f>'밸런스 조정'!C154*'밸런스 조정'!C155*'밸런스 조정'!C147*(1+('몬스터 성장'!G6/'몬스터 성장'!F6-1)*(U234/'밸런스 조정'!C119)^'몬스터 성장'!H6)</f>
        <v>510.159288889</v>
      </c>
      <c r="P234">
        <v>0</v>
      </c>
      <c r="Q234">
        <v>0</v>
      </c>
      <c r="R234">
        <v>62</v>
      </c>
      <c r="S234" t="inlineStr">
        <is>
          <t>OneTon</t>
        </is>
      </c>
      <c r="T234" t="inlineStr">
        <is>
          <t>Jam</t>
        </is>
      </c>
      <c r="U234">
        <v>611</v>
      </c>
      <c r="V234">
        <v>2</v>
      </c>
      <c r="W234">
        <v>529</v>
      </c>
      <c r="X234">
        <v>0</v>
      </c>
      <c r="Y234">
        <v>0</v>
      </c>
    </row>
    <row r="235">
      <c r="B235">
        <v>243</v>
      </c>
      <c r="C235" t="inlineStr">
        <is>
          <t>HighWay</t>
        </is>
      </c>
      <c r="D235" t="inlineStr">
        <is>
          <t>HWY2_109_Box</t>
        </is>
      </c>
      <c r="E235">
        <v>1</v>
      </c>
      <c r="F235" t="inlineStr">
        <is>
          <t>공격 반복</t>
        </is>
      </c>
      <c r="G235">
        <v>3.4</v>
      </c>
      <c r="H235">
        <v>0</v>
      </c>
      <c r="I235">
        <v>150</v>
      </c>
      <c r="J235">
        <v>0</v>
      </c>
      <c r="K235">
        <v>0</v>
      </c>
      <c r="L235" t="inlineStr">
        <is>
          <t>차량 적 · 원본 전투/성장/코인 시스템</t>
        </is>
      </c>
      <c r="M235" t="inlineStr">
        <is>
          <t>Normal</t>
        </is>
      </c>
      <c r="N235">
        <v>0</v>
      </c>
      <c r="O235">
        <f>'밸런스 조정'!C154*'밸런스 조정'!C155*'밸런스 조정'!C148*(1+('몬스터 성장'!G6/'몬스터 성장'!F6-1)*(U235/'밸런스 조정'!C119)^'몬스터 성장'!H6)</f>
        <v>639.653967736</v>
      </c>
      <c r="P235">
        <v>0</v>
      </c>
      <c r="Q235">
        <v>0</v>
      </c>
      <c r="R235">
        <v>62</v>
      </c>
      <c r="S235" t="inlineStr">
        <is>
          <t>Box</t>
        </is>
      </c>
      <c r="T235" t="inlineStr">
        <is>
          <t>Jam</t>
        </is>
      </c>
      <c r="U235">
        <v>625.8729</v>
      </c>
      <c r="V235">
        <v>2</v>
      </c>
      <c r="W235">
        <v>543.8729</v>
      </c>
      <c r="X235">
        <v>0</v>
      </c>
      <c r="Y235">
        <v>0</v>
      </c>
    </row>
    <row r="236">
      <c r="B236">
        <v>244</v>
      </c>
      <c r="C236" t="inlineStr">
        <is>
          <t>HighWay</t>
        </is>
      </c>
      <c r="D236" t="inlineStr">
        <is>
          <t>HWY2_110_Sedan</t>
        </is>
      </c>
      <c r="E236">
        <v>1</v>
      </c>
      <c r="F236" t="inlineStr">
        <is>
          <t>공격 반복</t>
        </is>
      </c>
      <c r="G236">
        <v>4.8</v>
      </c>
      <c r="H236">
        <v>0</v>
      </c>
      <c r="I236">
        <v>150</v>
      </c>
      <c r="J236">
        <v>0</v>
      </c>
      <c r="K236">
        <v>0</v>
      </c>
      <c r="L236" t="inlineStr">
        <is>
          <t>차량 적 · 원본 전투/성장/코인 시스템</t>
        </is>
      </c>
      <c r="M236" t="inlineStr">
        <is>
          <t>Normal</t>
        </is>
      </c>
      <c r="N236">
        <v>0</v>
      </c>
      <c r="O236">
        <f>'밸런스 조정'!C154*'밸런스 조정'!C155*'밸런스 조정'!C145*(1+('몬스터 성장'!G6/'몬스터 성장'!F6-1)*(U236/'밸런스 조정'!C119)^'몬스터 성장'!H6)</f>
        <v>407.314083182</v>
      </c>
      <c r="P236">
        <v>0</v>
      </c>
      <c r="Q236">
        <v>0</v>
      </c>
      <c r="R236">
        <v>62</v>
      </c>
      <c r="S236" t="inlineStr">
        <is>
          <t>Sedan</t>
        </is>
      </c>
      <c r="T236" t="inlineStr">
        <is>
          <t>Jam</t>
        </is>
      </c>
      <c r="U236">
        <v>640.7458</v>
      </c>
      <c r="V236">
        <v>2</v>
      </c>
      <c r="W236">
        <v>558.7458</v>
      </c>
      <c r="X236">
        <v>0</v>
      </c>
      <c r="Y236">
        <v>0</v>
      </c>
    </row>
    <row r="237">
      <c r="B237">
        <v>245</v>
      </c>
      <c r="C237" t="inlineStr">
        <is>
          <t>HighWay</t>
        </is>
      </c>
      <c r="D237" t="inlineStr">
        <is>
          <t>HWY2_111_Tanker</t>
        </is>
      </c>
      <c r="E237">
        <v>1</v>
      </c>
      <c r="F237" t="inlineStr">
        <is>
          <t>공격 반복</t>
        </is>
      </c>
      <c r="G237">
        <v>4</v>
      </c>
      <c r="H237">
        <v>0</v>
      </c>
      <c r="I237">
        <v>150</v>
      </c>
      <c r="J237">
        <v>0</v>
      </c>
      <c r="K237">
        <v>0</v>
      </c>
      <c r="L237" t="inlineStr">
        <is>
          <t>차량 적 · 원본 전투/성장/코인 시스템</t>
        </is>
      </c>
      <c r="M237" t="inlineStr">
        <is>
          <t>Normal</t>
        </is>
      </c>
      <c r="N237">
        <v>0</v>
      </c>
      <c r="O237">
        <f>'밸런스 조정'!C154*'밸런스 조정'!C155*'밸런스 조정'!C149*(1+('몬스터 성장'!G6/'몬스터 성장'!F6-1)*(U237/'밸런스 조정'!C119)^'몬스터 성장'!H6)</f>
        <v>830.042564525</v>
      </c>
      <c r="P237">
        <v>0</v>
      </c>
      <c r="Q237">
        <v>0</v>
      </c>
      <c r="R237">
        <v>124</v>
      </c>
      <c r="S237" t="inlineStr">
        <is>
          <t>Tanker</t>
        </is>
      </c>
      <c r="T237" t="inlineStr">
        <is>
          <t>Jam</t>
        </is>
      </c>
      <c r="U237">
        <v>655.6186</v>
      </c>
      <c r="V237">
        <v>2</v>
      </c>
      <c r="W237">
        <v>573.6186</v>
      </c>
      <c r="X237">
        <v>0</v>
      </c>
      <c r="Y237">
        <v>0</v>
      </c>
    </row>
    <row r="238">
      <c r="B238">
        <v>246</v>
      </c>
      <c r="C238" t="inlineStr">
        <is>
          <t>HighWay</t>
        </is>
      </c>
      <c r="D238" t="inlineStr">
        <is>
          <t>HWY2_112_Sedan</t>
        </is>
      </c>
      <c r="E238">
        <v>1</v>
      </c>
      <c r="F238" t="inlineStr">
        <is>
          <t>공격 반복</t>
        </is>
      </c>
      <c r="G238">
        <v>3.2</v>
      </c>
      <c r="H238">
        <v>0</v>
      </c>
      <c r="I238">
        <v>150</v>
      </c>
      <c r="J238">
        <v>0</v>
      </c>
      <c r="K238">
        <v>0</v>
      </c>
      <c r="L238" t="inlineStr">
        <is>
          <t>차량 적 · 원본 전투/성장/코인 시스템</t>
        </is>
      </c>
      <c r="M238" t="inlineStr">
        <is>
          <t>Normal</t>
        </is>
      </c>
      <c r="N238">
        <v>0</v>
      </c>
      <c r="O238">
        <f>'밸런스 조정'!C154*'밸런스 조정'!C155*'밸런스 조정'!C145*(1+('몬스터 성장'!G6/'몬스터 성장'!F6-1)*(U238/'밸런스 조정'!C119)^'몬스터 성장'!H6)</f>
        <v>422.905327077</v>
      </c>
      <c r="P238">
        <v>0</v>
      </c>
      <c r="Q238">
        <v>0</v>
      </c>
      <c r="R238">
        <v>62</v>
      </c>
      <c r="S238" t="inlineStr">
        <is>
          <t>Sedan</t>
        </is>
      </c>
      <c r="T238" t="inlineStr">
        <is>
          <t>Jam</t>
        </is>
      </c>
      <c r="U238">
        <v>670.4915</v>
      </c>
      <c r="V238">
        <v>2</v>
      </c>
      <c r="W238">
        <v>588.4915</v>
      </c>
      <c r="X238">
        <v>0</v>
      </c>
      <c r="Y238">
        <v>0</v>
      </c>
    </row>
    <row r="239">
      <c r="B239">
        <v>247</v>
      </c>
      <c r="C239" t="inlineStr">
        <is>
          <t>HighWay</t>
        </is>
      </c>
      <c r="D239" t="inlineStr">
        <is>
          <t>HWY2_113_Taxi</t>
        </is>
      </c>
      <c r="E239">
        <v>1</v>
      </c>
      <c r="F239" t="inlineStr">
        <is>
          <t>공격 반복</t>
        </is>
      </c>
      <c r="G239">
        <v>4.6</v>
      </c>
      <c r="H239">
        <v>0</v>
      </c>
      <c r="I239">
        <v>150</v>
      </c>
      <c r="J239">
        <v>0</v>
      </c>
      <c r="K239">
        <v>0</v>
      </c>
      <c r="L239" t="inlineStr">
        <is>
          <t>차량 적 · 원본 전투/성장/코인 시스템</t>
        </is>
      </c>
      <c r="M239" t="inlineStr">
        <is>
          <t>Normal</t>
        </is>
      </c>
      <c r="N239">
        <v>0</v>
      </c>
      <c r="O239">
        <f>'밸런스 조정'!C154*'밸런스 조정'!C155*'밸런스 조정'!C146*(1+('몬스터 성장'!G6/'몬스터 성장'!F6-1)*(U239/'밸런스 조정'!C119)^'몬스터 성장'!H6)</f>
        <v>430.966217626</v>
      </c>
      <c r="P239">
        <v>0</v>
      </c>
      <c r="Q239">
        <v>0</v>
      </c>
      <c r="R239">
        <v>62</v>
      </c>
      <c r="S239" t="inlineStr">
        <is>
          <t>Taxi</t>
        </is>
      </c>
      <c r="T239" t="inlineStr">
        <is>
          <t>Jam</t>
        </is>
      </c>
      <c r="U239">
        <v>685.3644</v>
      </c>
      <c r="V239">
        <v>2</v>
      </c>
      <c r="W239">
        <v>603.3644</v>
      </c>
      <c r="X239">
        <v>0</v>
      </c>
      <c r="Y239">
        <v>0</v>
      </c>
    </row>
    <row r="240">
      <c r="B240">
        <v>248</v>
      </c>
      <c r="C240" t="inlineStr">
        <is>
          <t>HighWay</t>
        </is>
      </c>
      <c r="D240" t="inlineStr">
        <is>
          <t>HWY2_114_OneTon</t>
        </is>
      </c>
      <c r="E240">
        <v>1</v>
      </c>
      <c r="F240" t="inlineStr">
        <is>
          <t>공격 반복</t>
        </is>
      </c>
      <c r="G240">
        <v>3.8</v>
      </c>
      <c r="H240">
        <v>0</v>
      </c>
      <c r="I240">
        <v>150</v>
      </c>
      <c r="J240">
        <v>0</v>
      </c>
      <c r="K240">
        <v>0</v>
      </c>
      <c r="L240" t="inlineStr">
        <is>
          <t>차량 적 · 원본 전투/성장/코인 시스템</t>
        </is>
      </c>
      <c r="M240" t="inlineStr">
        <is>
          <t>Normal</t>
        </is>
      </c>
      <c r="N240">
        <v>0</v>
      </c>
      <c r="O240">
        <f>'밸런스 조정'!C154*'밸런스 조정'!C155*'밸런스 조정'!C147*(1+('몬스터 성장'!G6/'몬스터 성장'!F6-1)*(U240/'밸런스 조정'!C119)^'몬스터 성장'!H6)</f>
        <v>570.965140081</v>
      </c>
      <c r="P240">
        <v>0</v>
      </c>
      <c r="Q240">
        <v>0</v>
      </c>
      <c r="R240">
        <v>62</v>
      </c>
      <c r="S240" t="inlineStr">
        <is>
          <t>OneTon</t>
        </is>
      </c>
      <c r="T240" t="inlineStr">
        <is>
          <t>Jam</t>
        </is>
      </c>
      <c r="U240">
        <v>700.2373</v>
      </c>
      <c r="V240">
        <v>2</v>
      </c>
      <c r="W240">
        <v>618.2373</v>
      </c>
      <c r="X240">
        <v>0</v>
      </c>
      <c r="Y240">
        <v>0</v>
      </c>
    </row>
    <row r="241">
      <c r="B241">
        <v>249</v>
      </c>
      <c r="C241" t="inlineStr">
        <is>
          <t>HighWay</t>
        </is>
      </c>
      <c r="D241" t="inlineStr">
        <is>
          <t>HWY2_115_Box</t>
        </is>
      </c>
      <c r="E241">
        <v>1</v>
      </c>
      <c r="F241" t="inlineStr">
        <is>
          <t>공격 반복</t>
        </is>
      </c>
      <c r="G241">
        <v>3</v>
      </c>
      <c r="H241">
        <v>0</v>
      </c>
      <c r="I241">
        <v>150</v>
      </c>
      <c r="J241">
        <v>0</v>
      </c>
      <c r="K241">
        <v>0</v>
      </c>
      <c r="L241" t="inlineStr">
        <is>
          <t>차량 적 · 원본 전투/성장/코인 시스템</t>
        </is>
      </c>
      <c r="M241" t="inlineStr">
        <is>
          <t>Normal</t>
        </is>
      </c>
      <c r="N241">
        <v>0</v>
      </c>
      <c r="O241">
        <f>'밸런스 조정'!C154*'밸런스 조정'!C155*'밸런스 조정'!C148*(1+('몬스터 성장'!G6/'몬스터 성장'!F6-1)*(U241/'밸런스 조정'!C119)^'몬스터 성장'!H6)</f>
        <v>716.18965748</v>
      </c>
      <c r="P241">
        <v>0</v>
      </c>
      <c r="Q241">
        <v>0</v>
      </c>
      <c r="R241">
        <v>62</v>
      </c>
      <c r="S241" t="inlineStr">
        <is>
          <t>Box</t>
        </is>
      </c>
      <c r="T241" t="inlineStr">
        <is>
          <t>Jam</t>
        </is>
      </c>
      <c r="U241">
        <v>715.1102</v>
      </c>
      <c r="V241">
        <v>2</v>
      </c>
      <c r="W241">
        <v>633.1102</v>
      </c>
      <c r="X241">
        <v>0</v>
      </c>
      <c r="Y241">
        <v>0</v>
      </c>
    </row>
    <row r="242">
      <c r="B242">
        <v>250</v>
      </c>
      <c r="C242" t="inlineStr">
        <is>
          <t>HighWay</t>
        </is>
      </c>
      <c r="D242" t="inlineStr">
        <is>
          <t>HWY2_116_Sedan</t>
        </is>
      </c>
      <c r="E242">
        <v>1</v>
      </c>
      <c r="F242" t="inlineStr">
        <is>
          <t>공격 반복</t>
        </is>
      </c>
      <c r="G242">
        <v>4.4</v>
      </c>
      <c r="H242">
        <v>0</v>
      </c>
      <c r="I242">
        <v>150</v>
      </c>
      <c r="J242">
        <v>0</v>
      </c>
      <c r="K242">
        <v>0</v>
      </c>
      <c r="L242" t="inlineStr">
        <is>
          <t>차량 적 · 원본 전투/성장/코인 시스템</t>
        </is>
      </c>
      <c r="M242" t="inlineStr">
        <is>
          <t>Normal</t>
        </is>
      </c>
      <c r="N242">
        <v>0</v>
      </c>
      <c r="O242">
        <f>'밸런스 조정'!C154*'밸런스 조정'!C155*'밸런스 조정'!C145*(1+('몬스터 성장'!G6/'몬스터 성장'!F6-1)*(U242/'밸런스 조정'!C119)^'몬스터 성장'!H6)</f>
        <v>456.209963676</v>
      </c>
      <c r="P242">
        <v>0</v>
      </c>
      <c r="Q242">
        <v>0</v>
      </c>
      <c r="R242">
        <v>62</v>
      </c>
      <c r="S242" t="inlineStr">
        <is>
          <t>Sedan</t>
        </is>
      </c>
      <c r="T242" t="inlineStr">
        <is>
          <t>Jam</t>
        </is>
      </c>
      <c r="U242">
        <v>729.9831</v>
      </c>
      <c r="V242">
        <v>2</v>
      </c>
      <c r="W242">
        <v>647.9831</v>
      </c>
      <c r="X242">
        <v>0</v>
      </c>
      <c r="Y242">
        <v>0</v>
      </c>
    </row>
    <row r="243">
      <c r="B243">
        <v>251</v>
      </c>
      <c r="C243" t="inlineStr">
        <is>
          <t>HighWay</t>
        </is>
      </c>
      <c r="D243" t="inlineStr">
        <is>
          <t>HWY2_117_Tanker</t>
        </is>
      </c>
      <c r="E243">
        <v>1</v>
      </c>
      <c r="F243" t="inlineStr">
        <is>
          <t>공격 반복</t>
        </is>
      </c>
      <c r="G243">
        <v>3.6</v>
      </c>
      <c r="H243">
        <v>0</v>
      </c>
      <c r="I243">
        <v>150</v>
      </c>
      <c r="J243">
        <v>0</v>
      </c>
      <c r="K243">
        <v>0</v>
      </c>
      <c r="L243" t="inlineStr">
        <is>
          <t>차량 적 · 원본 전투/성장/코인 시스템</t>
        </is>
      </c>
      <c r="M243" t="inlineStr">
        <is>
          <t>Normal</t>
        </is>
      </c>
      <c r="N243">
        <v>0</v>
      </c>
      <c r="O243">
        <f>'밸런스 조정'!C154*'밸런스 조정'!C155*'밸런스 조정'!C149*(1+('몬스터 성장'!G6/'몬스터 성장'!F6-1)*(U243/'밸런스 조정'!C119)^'몬스터 성장'!H6)</f>
        <v>929.956474321</v>
      </c>
      <c r="P243">
        <v>0</v>
      </c>
      <c r="Q243">
        <v>0</v>
      </c>
      <c r="R243">
        <v>124</v>
      </c>
      <c r="S243" t="inlineStr">
        <is>
          <t>Tanker</t>
        </is>
      </c>
      <c r="T243" t="inlineStr">
        <is>
          <t>Jam</t>
        </is>
      </c>
      <c r="U243">
        <v>744.8559</v>
      </c>
      <c r="V243">
        <v>2</v>
      </c>
      <c r="W243">
        <v>662.8559</v>
      </c>
      <c r="X243">
        <v>0</v>
      </c>
      <c r="Y243">
        <v>0</v>
      </c>
    </row>
    <row r="244">
      <c r="B244">
        <v>252</v>
      </c>
      <c r="C244" t="inlineStr">
        <is>
          <t>HighWay</t>
        </is>
      </c>
      <c r="D244" t="inlineStr">
        <is>
          <t>HWY2_118_Sedan</t>
        </is>
      </c>
      <c r="E244">
        <v>1</v>
      </c>
      <c r="F244" t="inlineStr">
        <is>
          <t>공격 반복</t>
        </is>
      </c>
      <c r="G244">
        <v>5</v>
      </c>
      <c r="H244">
        <v>0</v>
      </c>
      <c r="I244">
        <v>150</v>
      </c>
      <c r="J244">
        <v>0</v>
      </c>
      <c r="K244">
        <v>0</v>
      </c>
      <c r="L244" t="inlineStr">
        <is>
          <t>차량 적 · 원본 전투/성장/코인 시스템</t>
        </is>
      </c>
      <c r="M244" t="inlineStr">
        <is>
          <t>Normal</t>
        </is>
      </c>
      <c r="N244">
        <v>0</v>
      </c>
      <c r="O244">
        <f>'밸런스 조정'!C154*'밸런스 조정'!C155*'밸런스 조정'!C145*(1+('몬스터 성장'!G6/'몬스터 성장'!F6-1)*(U244/'밸런스 조정'!C119)^'몬스터 성장'!H6)</f>
        <v>473.923356379</v>
      </c>
      <c r="P244">
        <v>0</v>
      </c>
      <c r="Q244">
        <v>0</v>
      </c>
      <c r="R244">
        <v>62</v>
      </c>
      <c r="S244" t="inlineStr">
        <is>
          <t>Sedan</t>
        </is>
      </c>
      <c r="T244" t="inlineStr">
        <is>
          <t>Jam</t>
        </is>
      </c>
      <c r="U244">
        <v>759.7288</v>
      </c>
      <c r="V244">
        <v>2</v>
      </c>
      <c r="W244">
        <v>677.7288</v>
      </c>
      <c r="X244">
        <v>0</v>
      </c>
      <c r="Y244">
        <v>0</v>
      </c>
    </row>
    <row r="245">
      <c r="B245">
        <v>253</v>
      </c>
      <c r="C245" t="inlineStr">
        <is>
          <t>HighWay</t>
        </is>
      </c>
      <c r="D245" t="inlineStr">
        <is>
          <t>HWY2_119_Taxi</t>
        </is>
      </c>
      <c r="E245">
        <v>1</v>
      </c>
      <c r="F245" t="inlineStr">
        <is>
          <t>공격 반복</t>
        </is>
      </c>
      <c r="G245">
        <v>4.2</v>
      </c>
      <c r="H245">
        <v>0</v>
      </c>
      <c r="I245">
        <v>150</v>
      </c>
      <c r="J245">
        <v>0</v>
      </c>
      <c r="K245">
        <v>0</v>
      </c>
      <c r="L245" t="inlineStr">
        <is>
          <t>차량 적 · 원본 전투/성장/코인 시스템</t>
        </is>
      </c>
      <c r="M245" t="inlineStr">
        <is>
          <t>Normal</t>
        </is>
      </c>
      <c r="N245">
        <v>0</v>
      </c>
      <c r="O245">
        <f>'밸런스 조정'!C154*'밸런스 조정'!C155*'밸런스 조정'!C146*(1+('몬스터 성장'!G6/'몬스터 성장'!F6-1)*(U245/'밸런스 조정'!C119)^'몬스터 성장'!H6)</f>
        <v>483.045321332</v>
      </c>
      <c r="P245">
        <v>0</v>
      </c>
      <c r="Q245">
        <v>0</v>
      </c>
      <c r="R245">
        <v>62</v>
      </c>
      <c r="S245" t="inlineStr">
        <is>
          <t>Taxi</t>
        </is>
      </c>
      <c r="T245" t="inlineStr">
        <is>
          <t>Jam</t>
        </is>
      </c>
      <c r="U245">
        <v>774.6017</v>
      </c>
      <c r="V245">
        <v>2</v>
      </c>
      <c r="W245">
        <v>692.6017</v>
      </c>
      <c r="X245">
        <v>0</v>
      </c>
      <c r="Y245">
        <v>0</v>
      </c>
    </row>
    <row r="246">
      <c r="B246">
        <v>254</v>
      </c>
      <c r="C246" t="inlineStr">
        <is>
          <t>HighWay</t>
        </is>
      </c>
      <c r="D246" t="inlineStr">
        <is>
          <t>HWY2_120_OneTon</t>
        </is>
      </c>
      <c r="E246">
        <v>1</v>
      </c>
      <c r="F246" t="inlineStr">
        <is>
          <t>공격 반복</t>
        </is>
      </c>
      <c r="G246">
        <v>3.4</v>
      </c>
      <c r="H246">
        <v>0</v>
      </c>
      <c r="I246">
        <v>150</v>
      </c>
      <c r="J246">
        <v>0</v>
      </c>
      <c r="K246">
        <v>0</v>
      </c>
      <c r="L246" t="inlineStr">
        <is>
          <t>차량 적 · 원본 전투/성장/코인 시스템</t>
        </is>
      </c>
      <c r="M246" t="inlineStr">
        <is>
          <t>Normal</t>
        </is>
      </c>
      <c r="N246">
        <v>0</v>
      </c>
      <c r="O246">
        <f>'밸런스 조정'!C154*'밸런스 조정'!C155*'밸런스 조정'!C147*(1+('몬스터 성장'!G6/'몬스터 성장'!F6-1)*(U246/'밸런스 조정'!C119)^'몬스터 성장'!H6)</f>
        <v>640.047371624</v>
      </c>
      <c r="P246">
        <v>0</v>
      </c>
      <c r="Q246">
        <v>0</v>
      </c>
      <c r="R246">
        <v>62</v>
      </c>
      <c r="S246" t="inlineStr">
        <is>
          <t>OneTon</t>
        </is>
      </c>
      <c r="T246" t="inlineStr">
        <is>
          <t>Jam</t>
        </is>
      </c>
      <c r="U246">
        <v>789.4746</v>
      </c>
      <c r="V246">
        <v>2</v>
      </c>
      <c r="W246">
        <v>707.4746</v>
      </c>
      <c r="X246">
        <v>0</v>
      </c>
      <c r="Y246">
        <v>0</v>
      </c>
    </row>
    <row r="247">
      <c r="B247">
        <v>255</v>
      </c>
      <c r="C247" t="inlineStr">
        <is>
          <t>HighWay</t>
        </is>
      </c>
      <c r="D247" t="inlineStr">
        <is>
          <t>HWY2_121_Box</t>
        </is>
      </c>
      <c r="E247">
        <v>1</v>
      </c>
      <c r="F247" t="inlineStr">
        <is>
          <t>공격 반복</t>
        </is>
      </c>
      <c r="G247">
        <v>4.8</v>
      </c>
      <c r="H247">
        <v>0</v>
      </c>
      <c r="I247">
        <v>150</v>
      </c>
      <c r="J247">
        <v>0</v>
      </c>
      <c r="K247">
        <v>0</v>
      </c>
      <c r="L247" t="inlineStr">
        <is>
          <t>차량 적 · 원본 전투/성장/코인 시스템</t>
        </is>
      </c>
      <c r="M247" t="inlineStr">
        <is>
          <t>Normal</t>
        </is>
      </c>
      <c r="N247">
        <v>0</v>
      </c>
      <c r="O247">
        <f>'밸런스 조정'!C154*'밸런스 조정'!C155*'밸런스 조정'!C148*(1+('몬스터 성장'!G6/'몬스터 성장'!F6-1)*(U247/'밸런스 조정'!C119)^'몬스터 성장'!H6)</f>
        <v>802.911661502</v>
      </c>
      <c r="P247">
        <v>0</v>
      </c>
      <c r="Q247">
        <v>0</v>
      </c>
      <c r="R247">
        <v>62</v>
      </c>
      <c r="S247" t="inlineStr">
        <is>
          <t>Box</t>
        </is>
      </c>
      <c r="T247" t="inlineStr">
        <is>
          <t>Jam</t>
        </is>
      </c>
      <c r="U247">
        <v>804.3475</v>
      </c>
      <c r="V247">
        <v>2</v>
      </c>
      <c r="W247">
        <v>722.3475</v>
      </c>
      <c r="X247">
        <v>0</v>
      </c>
      <c r="Y247">
        <v>0</v>
      </c>
    </row>
    <row r="248">
      <c r="B248">
        <v>256</v>
      </c>
      <c r="C248" t="inlineStr">
        <is>
          <t>HighWay</t>
        </is>
      </c>
      <c r="D248" t="inlineStr">
        <is>
          <t>HWY2_122_Sedan</t>
        </is>
      </c>
      <c r="E248">
        <v>1</v>
      </c>
      <c r="F248" t="inlineStr">
        <is>
          <t>공격 반복</t>
        </is>
      </c>
      <c r="G248">
        <v>4</v>
      </c>
      <c r="H248">
        <v>0</v>
      </c>
      <c r="I248">
        <v>150</v>
      </c>
      <c r="J248">
        <v>0</v>
      </c>
      <c r="K248">
        <v>0</v>
      </c>
      <c r="L248" t="inlineStr">
        <is>
          <t>차량 적 · 원본 전투/성장/코인 시스템</t>
        </is>
      </c>
      <c r="M248" t="inlineStr">
        <is>
          <t>Normal</t>
        </is>
      </c>
      <c r="N248">
        <v>0</v>
      </c>
      <c r="O248">
        <f>'밸런스 조정'!C154*'밸런스 조정'!C155*'밸런스 조정'!C145*(1+('몬스터 성장'!G6/'몬스터 성장'!F6-1)*(U248/'밸런스 조정'!C119)^'몬스터 성장'!H6)</f>
        <v>511.472290593</v>
      </c>
      <c r="P248">
        <v>0</v>
      </c>
      <c r="Q248">
        <v>0</v>
      </c>
      <c r="R248">
        <v>62</v>
      </c>
      <c r="S248" t="inlineStr">
        <is>
          <t>Sedan</t>
        </is>
      </c>
      <c r="T248" t="inlineStr">
        <is>
          <t>Jam</t>
        </is>
      </c>
      <c r="U248">
        <v>819.2203</v>
      </c>
      <c r="V248">
        <v>2</v>
      </c>
      <c r="W248">
        <v>737.2203</v>
      </c>
      <c r="X248">
        <v>0</v>
      </c>
      <c r="Y248">
        <v>0</v>
      </c>
    </row>
    <row r="249">
      <c r="B249">
        <v>257</v>
      </c>
      <c r="C249" t="inlineStr">
        <is>
          <t>HighWay</t>
        </is>
      </c>
      <c r="D249" t="inlineStr">
        <is>
          <t>HWY2_123_Tanker</t>
        </is>
      </c>
      <c r="E249">
        <v>1</v>
      </c>
      <c r="F249" t="inlineStr">
        <is>
          <t>공격 반복</t>
        </is>
      </c>
      <c r="G249">
        <v>3.2</v>
      </c>
      <c r="H249">
        <v>0</v>
      </c>
      <c r="I249">
        <v>150</v>
      </c>
      <c r="J249">
        <v>0</v>
      </c>
      <c r="K249">
        <v>0</v>
      </c>
      <c r="L249" t="inlineStr">
        <is>
          <t>차량 적 · 원본 전투/성장/코인 시스템</t>
        </is>
      </c>
      <c r="M249" t="inlineStr">
        <is>
          <t>Normal</t>
        </is>
      </c>
      <c r="N249">
        <v>0</v>
      </c>
      <c r="O249">
        <f>'밸런스 조정'!C154*'밸런스 조정'!C155*'밸런스 조정'!C149*(1+('몬스터 성장'!G6/'몬스터 성장'!F6-1)*(U249/'밸런스 조정'!C119)^'몬스터 성장'!H6)</f>
        <v>1042.60327696</v>
      </c>
      <c r="P249">
        <v>0</v>
      </c>
      <c r="Q249">
        <v>0</v>
      </c>
      <c r="R249">
        <v>124</v>
      </c>
      <c r="S249" t="inlineStr">
        <is>
          <t>Tanker</t>
        </is>
      </c>
      <c r="T249" t="inlineStr">
        <is>
          <t>Jam</t>
        </is>
      </c>
      <c r="U249">
        <v>834.0932</v>
      </c>
      <c r="V249">
        <v>2</v>
      </c>
      <c r="W249">
        <v>752.0932</v>
      </c>
      <c r="X249">
        <v>0</v>
      </c>
      <c r="Y249">
        <v>0</v>
      </c>
    </row>
    <row r="250">
      <c r="B250">
        <v>258</v>
      </c>
      <c r="C250" t="inlineStr">
        <is>
          <t>HighWay</t>
        </is>
      </c>
      <c r="D250" t="inlineStr">
        <is>
          <t>HWY2_124_Sedan</t>
        </is>
      </c>
      <c r="E250">
        <v>1</v>
      </c>
      <c r="F250" t="inlineStr">
        <is>
          <t>공격 반복</t>
        </is>
      </c>
      <c r="G250">
        <v>4.6</v>
      </c>
      <c r="H250">
        <v>0</v>
      </c>
      <c r="I250">
        <v>150</v>
      </c>
      <c r="J250">
        <v>0</v>
      </c>
      <c r="K250">
        <v>0</v>
      </c>
      <c r="L250" t="inlineStr">
        <is>
          <t>차량 적 · 원본 전투/성장/코인 시스템</t>
        </is>
      </c>
      <c r="M250" t="inlineStr">
        <is>
          <t>Normal</t>
        </is>
      </c>
      <c r="N250">
        <v>0</v>
      </c>
      <c r="O250">
        <f>'밸런스 조정'!C154*'밸런스 조정'!C155*'밸런스 조정'!C145*(1+('몬스터 성장'!G6/'몬스터 성장'!F6-1)*(U250/'밸런스 조정'!C119)^'몬스터 성장'!H6)</f>
        <v>531.307832104</v>
      </c>
      <c r="P250">
        <v>0</v>
      </c>
      <c r="Q250">
        <v>0</v>
      </c>
      <c r="R250">
        <v>62</v>
      </c>
      <c r="S250" t="inlineStr">
        <is>
          <t>Sedan</t>
        </is>
      </c>
      <c r="T250" t="inlineStr">
        <is>
          <t>Jam</t>
        </is>
      </c>
      <c r="U250">
        <v>848.9661</v>
      </c>
      <c r="V250">
        <v>2</v>
      </c>
      <c r="W250">
        <v>766.9661</v>
      </c>
      <c r="X250">
        <v>0</v>
      </c>
      <c r="Y250">
        <v>0</v>
      </c>
    </row>
    <row r="251">
      <c r="B251">
        <v>259</v>
      </c>
      <c r="C251" t="inlineStr">
        <is>
          <t>HighWay</t>
        </is>
      </c>
      <c r="D251" t="inlineStr">
        <is>
          <t>HWY2_125_Taxi</t>
        </is>
      </c>
      <c r="E251">
        <v>1</v>
      </c>
      <c r="F251" t="inlineStr">
        <is>
          <t>공격 반복</t>
        </is>
      </c>
      <c r="G251">
        <v>3.8</v>
      </c>
      <c r="H251">
        <v>0</v>
      </c>
      <c r="I251">
        <v>150</v>
      </c>
      <c r="J251">
        <v>0</v>
      </c>
      <c r="K251">
        <v>0</v>
      </c>
      <c r="L251" t="inlineStr">
        <is>
          <t>차량 적 · 원본 전투/성장/코인 시스템</t>
        </is>
      </c>
      <c r="M251" t="inlineStr">
        <is>
          <t>Normal</t>
        </is>
      </c>
      <c r="N251">
        <v>0</v>
      </c>
      <c r="O251">
        <f>'밸런스 조정'!C154*'밸런스 조정'!C155*'밸런스 조정'!C146*(1+('몬스터 성장'!G6/'몬스터 성장'!F6-1)*(U251/'밸런스 조정'!C119)^'몬스터 성장'!H6)</f>
        <v>541.490871461</v>
      </c>
      <c r="P251">
        <v>0</v>
      </c>
      <c r="Q251">
        <v>0</v>
      </c>
      <c r="R251">
        <v>62</v>
      </c>
      <c r="S251" t="inlineStr">
        <is>
          <t>Taxi</t>
        </is>
      </c>
      <c r="T251" t="inlineStr">
        <is>
          <t>Jam</t>
        </is>
      </c>
      <c r="U251">
        <v>863.839</v>
      </c>
      <c r="V251">
        <v>2</v>
      </c>
      <c r="W251">
        <v>781.839</v>
      </c>
      <c r="X251">
        <v>0</v>
      </c>
      <c r="Y251">
        <v>0</v>
      </c>
    </row>
    <row r="252">
      <c r="B252">
        <v>260</v>
      </c>
      <c r="C252" t="inlineStr">
        <is>
          <t>HighWay</t>
        </is>
      </c>
      <c r="D252" t="inlineStr">
        <is>
          <t>HWY2_126_OneTon</t>
        </is>
      </c>
      <c r="E252">
        <v>1</v>
      </c>
      <c r="F252" t="inlineStr">
        <is>
          <t>공격 반복</t>
        </is>
      </c>
      <c r="G252">
        <v>3</v>
      </c>
      <c r="H252">
        <v>0</v>
      </c>
      <c r="I252">
        <v>150</v>
      </c>
      <c r="J252">
        <v>0</v>
      </c>
      <c r="K252">
        <v>0</v>
      </c>
      <c r="L252" t="inlineStr">
        <is>
          <t>차량 적 · 원본 전투/성장/코인 시스템</t>
        </is>
      </c>
      <c r="M252" t="inlineStr">
        <is>
          <t>Normal</t>
        </is>
      </c>
      <c r="N252">
        <v>0</v>
      </c>
      <c r="O252">
        <f>'밸런스 조정'!C154*'밸런스 조정'!C155*'밸런스 조정'!C147*(1+('몬스터 성장'!G6/'몬스터 성장'!F6-1)*(U252/'밸런스 조정'!C119)^'몬스터 성장'!H6)</f>
        <v>717.405983517</v>
      </c>
      <c r="P252">
        <v>0</v>
      </c>
      <c r="Q252">
        <v>0</v>
      </c>
      <c r="R252">
        <v>62</v>
      </c>
      <c r="S252" t="inlineStr">
        <is>
          <t>OneTon</t>
        </is>
      </c>
      <c r="T252" t="inlineStr">
        <is>
          <t>Jam</t>
        </is>
      </c>
      <c r="U252">
        <v>878.7119</v>
      </c>
      <c r="V252">
        <v>2</v>
      </c>
      <c r="W252">
        <v>796.7119</v>
      </c>
      <c r="X252">
        <v>0</v>
      </c>
      <c r="Y252">
        <v>0</v>
      </c>
    </row>
    <row r="253">
      <c r="B253">
        <v>261</v>
      </c>
      <c r="C253" t="inlineStr">
        <is>
          <t>HighWay</t>
        </is>
      </c>
      <c r="D253" t="inlineStr">
        <is>
          <t>HWY2_127_Box</t>
        </is>
      </c>
      <c r="E253">
        <v>1</v>
      </c>
      <c r="F253" t="inlineStr">
        <is>
          <t>공격 반복</t>
        </is>
      </c>
      <c r="G253">
        <v>4.4</v>
      </c>
      <c r="H253">
        <v>0</v>
      </c>
      <c r="I253">
        <v>150</v>
      </c>
      <c r="J253">
        <v>0</v>
      </c>
      <c r="K253">
        <v>0</v>
      </c>
      <c r="L253" t="inlineStr">
        <is>
          <t>차량 적 · 원본 전투/성장/코인 시스템</t>
        </is>
      </c>
      <c r="M253" t="inlineStr">
        <is>
          <t>Normal</t>
        </is>
      </c>
      <c r="N253">
        <v>0</v>
      </c>
      <c r="O253">
        <f>'밸런스 조정'!C154*'밸런스 조정'!C155*'밸런스 조정'!C148*(1+('몬스터 성장'!G6/'몬스터 성장'!F6-1)*(U253/'밸런스 조정'!C119)^'몬스터 성장'!H6)</f>
        <v>899.819979801</v>
      </c>
      <c r="P253">
        <v>0</v>
      </c>
      <c r="Q253">
        <v>0</v>
      </c>
      <c r="R253">
        <v>62</v>
      </c>
      <c r="S253" t="inlineStr">
        <is>
          <t>Box</t>
        </is>
      </c>
      <c r="T253" t="inlineStr">
        <is>
          <t>Jam</t>
        </is>
      </c>
      <c r="U253">
        <v>893.5847</v>
      </c>
      <c r="V253">
        <v>2</v>
      </c>
      <c r="W253">
        <v>811.5847</v>
      </c>
      <c r="X253">
        <v>0</v>
      </c>
      <c r="Y253">
        <v>0</v>
      </c>
    </row>
    <row r="254">
      <c r="B254">
        <v>262</v>
      </c>
      <c r="C254" t="inlineStr">
        <is>
          <t>HighWay</t>
        </is>
      </c>
      <c r="D254" t="inlineStr">
        <is>
          <t>HWY2_128_Sedan</t>
        </is>
      </c>
      <c r="E254">
        <v>1</v>
      </c>
      <c r="F254" t="inlineStr">
        <is>
          <t>공격 반복</t>
        </is>
      </c>
      <c r="G254">
        <v>3.6</v>
      </c>
      <c r="H254">
        <v>0</v>
      </c>
      <c r="I254">
        <v>150</v>
      </c>
      <c r="J254">
        <v>0</v>
      </c>
      <c r="K254">
        <v>0</v>
      </c>
      <c r="L254" t="inlineStr">
        <is>
          <t>차량 적 · 원본 전투/성장/코인 시스템</t>
        </is>
      </c>
      <c r="M254" t="inlineStr">
        <is>
          <t>Normal</t>
        </is>
      </c>
      <c r="N254">
        <v>0</v>
      </c>
      <c r="O254">
        <f>'밸런스 조정'!C154*'밸런스 조정'!C155*'밸런스 조정'!C145*(1+('몬스터 성장'!G6/'몬스터 성장'!F6-1)*(U254/'밸런스 조정'!C119)^'몬스터 성장'!H6)</f>
        <v>573.101063934</v>
      </c>
      <c r="P254">
        <v>0</v>
      </c>
      <c r="Q254">
        <v>0</v>
      </c>
      <c r="R254">
        <v>62</v>
      </c>
      <c r="S254" t="inlineStr">
        <is>
          <t>Sedan</t>
        </is>
      </c>
      <c r="T254" t="inlineStr">
        <is>
          <t>Jam</t>
        </is>
      </c>
      <c r="U254">
        <v>908.4576</v>
      </c>
      <c r="V254">
        <v>2</v>
      </c>
      <c r="W254">
        <v>826.4576</v>
      </c>
      <c r="X254">
        <v>0</v>
      </c>
      <c r="Y254">
        <v>0</v>
      </c>
    </row>
    <row r="255">
      <c r="B255">
        <v>263</v>
      </c>
      <c r="C255" t="inlineStr">
        <is>
          <t>HighWay</t>
        </is>
      </c>
      <c r="D255" t="inlineStr">
        <is>
          <t>HWY2_129_Tanker</t>
        </is>
      </c>
      <c r="E255">
        <v>1</v>
      </c>
      <c r="F255" t="inlineStr">
        <is>
          <t>공격 반복</t>
        </is>
      </c>
      <c r="G255">
        <v>5</v>
      </c>
      <c r="H255">
        <v>0</v>
      </c>
      <c r="I255">
        <v>150</v>
      </c>
      <c r="J255">
        <v>0</v>
      </c>
      <c r="K255">
        <v>0</v>
      </c>
      <c r="L255" t="inlineStr">
        <is>
          <t>차량 적 · 원본 전투/성장/코인 시스템</t>
        </is>
      </c>
      <c r="M255" t="inlineStr">
        <is>
          <t>Normal</t>
        </is>
      </c>
      <c r="N255">
        <v>0</v>
      </c>
      <c r="O255">
        <f>'밸런스 조정'!C154*'밸런스 조정'!C155*'밸런스 조정'!C149*(1+('몬스터 성장'!G6/'몬스터 성장'!F6-1)*(U255/'밸런스 조정'!C119)^'몬스터 성장'!H6)</f>
        <v>1167.98297245</v>
      </c>
      <c r="P255">
        <v>0</v>
      </c>
      <c r="Q255">
        <v>0</v>
      </c>
      <c r="R255">
        <v>124</v>
      </c>
      <c r="S255" t="inlineStr">
        <is>
          <t>Tanker</t>
        </is>
      </c>
      <c r="T255" t="inlineStr">
        <is>
          <t>Jam</t>
        </is>
      </c>
      <c r="U255">
        <v>923.3305</v>
      </c>
      <c r="V255">
        <v>2</v>
      </c>
      <c r="W255">
        <v>841.3305</v>
      </c>
      <c r="X255">
        <v>0</v>
      </c>
      <c r="Y255">
        <v>0</v>
      </c>
    </row>
    <row r="256">
      <c r="B256">
        <v>264</v>
      </c>
      <c r="C256" t="inlineStr">
        <is>
          <t>HighWay</t>
        </is>
      </c>
      <c r="D256" t="inlineStr">
        <is>
          <t>HWY2_130_Sedan</t>
        </is>
      </c>
      <c r="E256">
        <v>1</v>
      </c>
      <c r="F256" t="inlineStr">
        <is>
          <t>공격 반복</t>
        </is>
      </c>
      <c r="G256">
        <v>4.2</v>
      </c>
      <c r="H256">
        <v>0</v>
      </c>
      <c r="I256">
        <v>150</v>
      </c>
      <c r="J256">
        <v>0</v>
      </c>
      <c r="K256">
        <v>0</v>
      </c>
      <c r="L256" t="inlineStr">
        <is>
          <t>차량 적 · 원본 전투/성장/코인 시스템</t>
        </is>
      </c>
      <c r="M256" t="inlineStr">
        <is>
          <t>Normal</t>
        </is>
      </c>
      <c r="N256">
        <v>0</v>
      </c>
      <c r="O256">
        <f>'밸런스 조정'!C154*'밸런스 조정'!C155*'밸런스 조정'!C145*(1+('몬스터 성장'!G6/'몬스터 성장'!F6-1)*(U256/'밸런스 조정'!C119)^'몬스터 성장'!H6)</f>
        <v>595.058754253</v>
      </c>
      <c r="P256">
        <v>0</v>
      </c>
      <c r="Q256">
        <v>0</v>
      </c>
      <c r="R256">
        <v>62</v>
      </c>
      <c r="S256" t="inlineStr">
        <is>
          <t>Sedan</t>
        </is>
      </c>
      <c r="T256" t="inlineStr">
        <is>
          <t>Jam</t>
        </is>
      </c>
      <c r="U256">
        <v>938.2034</v>
      </c>
      <c r="V256">
        <v>2</v>
      </c>
      <c r="W256">
        <v>856.2034</v>
      </c>
      <c r="X256">
        <v>0</v>
      </c>
      <c r="Y256">
        <v>0</v>
      </c>
    </row>
    <row r="257">
      <c r="B257">
        <v>265</v>
      </c>
      <c r="C257" t="inlineStr">
        <is>
          <t>HighWay</t>
        </is>
      </c>
      <c r="D257" t="inlineStr">
        <is>
          <t>HWY2_131_Taxi</t>
        </is>
      </c>
      <c r="E257">
        <v>1</v>
      </c>
      <c r="F257" t="inlineStr">
        <is>
          <t>공격 반복</t>
        </is>
      </c>
      <c r="G257">
        <v>3.4</v>
      </c>
      <c r="H257">
        <v>0</v>
      </c>
      <c r="I257">
        <v>150</v>
      </c>
      <c r="J257">
        <v>0</v>
      </c>
      <c r="K257">
        <v>0</v>
      </c>
      <c r="L257" t="inlineStr">
        <is>
          <t>차량 적 · 원본 전투/성장/코인 시스템</t>
        </is>
      </c>
      <c r="M257" t="inlineStr">
        <is>
          <t>Normal</t>
        </is>
      </c>
      <c r="N257">
        <v>0</v>
      </c>
      <c r="O257">
        <f>'밸런스 조정'!C154*'밸런스 조정'!C155*'밸런스 조정'!C146*(1+('몬스터 성장'!G6/'몬스터 성장'!F6-1)*(U257/'밸런스 조정'!C119)^'몬스터 성장'!H6)</f>
        <v>606.302868014</v>
      </c>
      <c r="P257">
        <v>0</v>
      </c>
      <c r="Q257">
        <v>0</v>
      </c>
      <c r="R257">
        <v>62</v>
      </c>
      <c r="S257" t="inlineStr">
        <is>
          <t>Taxi</t>
        </is>
      </c>
      <c r="T257" t="inlineStr">
        <is>
          <t>Jam</t>
        </is>
      </c>
      <c r="U257">
        <v>953.0763</v>
      </c>
      <c r="V257">
        <v>2</v>
      </c>
      <c r="W257">
        <v>871.0763</v>
      </c>
      <c r="X257">
        <v>0</v>
      </c>
      <c r="Y257">
        <v>0</v>
      </c>
    </row>
    <row r="258">
      <c r="B258">
        <v>266</v>
      </c>
      <c r="C258" t="inlineStr">
        <is>
          <t>HighWay</t>
        </is>
      </c>
      <c r="D258" t="inlineStr">
        <is>
          <t>HWY2_132_OneTon</t>
        </is>
      </c>
      <c r="E258">
        <v>1</v>
      </c>
      <c r="F258" t="inlineStr">
        <is>
          <t>공격 반복</t>
        </is>
      </c>
      <c r="G258">
        <v>4.8</v>
      </c>
      <c r="H258">
        <v>0</v>
      </c>
      <c r="I258">
        <v>150</v>
      </c>
      <c r="J258">
        <v>0</v>
      </c>
      <c r="K258">
        <v>0</v>
      </c>
      <c r="L258" t="inlineStr">
        <is>
          <t>차량 적 · 원본 전투/성장/코인 시스템</t>
        </is>
      </c>
      <c r="M258" t="inlineStr">
        <is>
          <t>Normal</t>
        </is>
      </c>
      <c r="N258">
        <v>0</v>
      </c>
      <c r="O258">
        <f>'밸런스 조정'!C154*'밸런스 조정'!C155*'밸런스 조정'!C147*(1+('몬스터 성장'!G6/'몬스터 성장'!F6-1)*(U258/'밸런스 조정'!C119)^'몬스터 성장'!H6)</f>
        <v>803.04097576</v>
      </c>
      <c r="P258">
        <v>0</v>
      </c>
      <c r="Q258">
        <v>0</v>
      </c>
      <c r="R258">
        <v>62</v>
      </c>
      <c r="S258" t="inlineStr">
        <is>
          <t>OneTon</t>
        </is>
      </c>
      <c r="T258" t="inlineStr">
        <is>
          <t>Jam</t>
        </is>
      </c>
      <c r="U258">
        <v>967.9492</v>
      </c>
      <c r="V258">
        <v>2</v>
      </c>
      <c r="W258">
        <v>885.9492</v>
      </c>
      <c r="X258">
        <v>0</v>
      </c>
      <c r="Y258">
        <v>0</v>
      </c>
    </row>
    <row r="259">
      <c r="B259">
        <v>267</v>
      </c>
      <c r="C259" t="inlineStr">
        <is>
          <t>HighWay</t>
        </is>
      </c>
      <c r="D259" t="inlineStr">
        <is>
          <t>HWY2_133_Box</t>
        </is>
      </c>
      <c r="E259">
        <v>1</v>
      </c>
      <c r="F259" t="inlineStr">
        <is>
          <t>공격 반복</t>
        </is>
      </c>
      <c r="G259">
        <v>4</v>
      </c>
      <c r="H259">
        <v>0</v>
      </c>
      <c r="I259">
        <v>150</v>
      </c>
      <c r="J259">
        <v>0</v>
      </c>
      <c r="K259">
        <v>0</v>
      </c>
      <c r="L259" t="inlineStr">
        <is>
          <t>차량 적 · 원본 전투/성장/코인 시스템</t>
        </is>
      </c>
      <c r="M259" t="inlineStr">
        <is>
          <t>Normal</t>
        </is>
      </c>
      <c r="N259">
        <v>0</v>
      </c>
      <c r="O259">
        <f>'밸런스 조정'!C154*'밸런스 조정'!C155*'밸런스 조정'!C148*(1+('몬스터 성장'!G6/'몬스터 성장'!F6-1)*(U259/'밸런스 조정'!C119)^'몬스터 성장'!H6)</f>
        <v>1006.91461238</v>
      </c>
      <c r="P259">
        <v>0</v>
      </c>
      <c r="Q259">
        <v>0</v>
      </c>
      <c r="R259">
        <v>62</v>
      </c>
      <c r="S259" t="inlineStr">
        <is>
          <t>Box</t>
        </is>
      </c>
      <c r="T259" t="inlineStr">
        <is>
          <t>Jam</t>
        </is>
      </c>
      <c r="U259">
        <v>982.822</v>
      </c>
      <c r="V259">
        <v>2</v>
      </c>
      <c r="W259">
        <v>900.822</v>
      </c>
      <c r="X259">
        <v>0</v>
      </c>
      <c r="Y259">
        <v>0</v>
      </c>
    </row>
    <row r="260">
      <c r="B260">
        <v>268</v>
      </c>
      <c r="C260" t="inlineStr">
        <is>
          <t>HighWay</t>
        </is>
      </c>
      <c r="D260" t="inlineStr">
        <is>
          <t>HWY2_134_Sedan</t>
        </is>
      </c>
      <c r="E260">
        <v>1</v>
      </c>
      <c r="F260" t="inlineStr">
        <is>
          <t>공격 반복</t>
        </is>
      </c>
      <c r="G260">
        <v>3.2</v>
      </c>
      <c r="H260">
        <v>0</v>
      </c>
      <c r="I260">
        <v>150</v>
      </c>
      <c r="J260">
        <v>0</v>
      </c>
      <c r="K260">
        <v>0</v>
      </c>
      <c r="L260" t="inlineStr">
        <is>
          <t>차량 적 · 원본 전투/성장/코인 시스템</t>
        </is>
      </c>
      <c r="M260" t="inlineStr">
        <is>
          <t>Normal</t>
        </is>
      </c>
      <c r="N260">
        <v>0</v>
      </c>
      <c r="O260">
        <f>'밸런스 조정'!C154*'밸런스 조정'!C155*'밸런스 조정'!C145*(1+('몬스터 성장'!G6/'몬스터 성장'!F6-1)*(U260/'밸런스 조정'!C119)^'몬스터 성장'!H6)</f>
        <v>641.096283699</v>
      </c>
      <c r="P260">
        <v>0</v>
      </c>
      <c r="Q260">
        <v>0</v>
      </c>
      <c r="R260">
        <v>62</v>
      </c>
      <c r="S260" t="inlineStr">
        <is>
          <t>Sedan</t>
        </is>
      </c>
      <c r="T260" t="inlineStr">
        <is>
          <t>Jam</t>
        </is>
      </c>
      <c r="U260">
        <v>997.6949</v>
      </c>
      <c r="V260">
        <v>2</v>
      </c>
      <c r="W260">
        <v>915.6949</v>
      </c>
      <c r="X260">
        <v>0</v>
      </c>
      <c r="Y260">
        <v>0</v>
      </c>
    </row>
    <row r="261">
      <c r="B261">
        <v>269</v>
      </c>
      <c r="C261" t="inlineStr">
        <is>
          <t>HighWay</t>
        </is>
      </c>
      <c r="D261" t="inlineStr">
        <is>
          <t>HWY2_135_Tanker</t>
        </is>
      </c>
      <c r="E261">
        <v>1</v>
      </c>
      <c r="F261" t="inlineStr">
        <is>
          <t>공격 반복</t>
        </is>
      </c>
      <c r="G261">
        <v>4.6</v>
      </c>
      <c r="H261">
        <v>0</v>
      </c>
      <c r="I261">
        <v>150</v>
      </c>
      <c r="J261">
        <v>0</v>
      </c>
      <c r="K261">
        <v>0</v>
      </c>
      <c r="L261" t="inlineStr">
        <is>
          <t>차량 적 · 원본 전투/성장/코인 시스템</t>
        </is>
      </c>
      <c r="M261" t="inlineStr">
        <is>
          <t>Normal</t>
        </is>
      </c>
      <c r="N261">
        <v>0</v>
      </c>
      <c r="O261">
        <f>'밸런스 조정'!C154*'밸런스 조정'!C155*'밸런스 조정'!C149*(1+('몬스터 성장'!G6/'몬스터 성장'!F6-1)*(U261/'밸런스 조정'!C119)^'몬스터 성장'!H6)</f>
        <v>1306.09556079</v>
      </c>
      <c r="P261">
        <v>0</v>
      </c>
      <c r="Q261">
        <v>0</v>
      </c>
      <c r="R261">
        <v>124</v>
      </c>
      <c r="S261" t="inlineStr">
        <is>
          <t>Tanker</t>
        </is>
      </c>
      <c r="T261" t="inlineStr">
        <is>
          <t>Jam</t>
        </is>
      </c>
      <c r="U261">
        <v>1012.5678</v>
      </c>
      <c r="V261">
        <v>2</v>
      </c>
      <c r="W261">
        <v>930.5678</v>
      </c>
      <c r="X261">
        <v>0</v>
      </c>
      <c r="Y261">
        <v>0</v>
      </c>
    </row>
    <row r="262">
      <c r="B262">
        <v>270</v>
      </c>
      <c r="C262" t="inlineStr">
        <is>
          <t>HighWay</t>
        </is>
      </c>
      <c r="D262" t="inlineStr">
        <is>
          <t>HWY2_136_Sedan</t>
        </is>
      </c>
      <c r="E262">
        <v>1</v>
      </c>
      <c r="F262" t="inlineStr">
        <is>
          <t>공격 반복</t>
        </is>
      </c>
      <c r="G262">
        <v>3.8</v>
      </c>
      <c r="H262">
        <v>0</v>
      </c>
      <c r="I262">
        <v>150</v>
      </c>
      <c r="J262">
        <v>0</v>
      </c>
      <c r="K262">
        <v>0</v>
      </c>
      <c r="L262" t="inlineStr">
        <is>
          <t>차량 적 · 원본 전투/성장/코인 시스템</t>
        </is>
      </c>
      <c r="M262" t="inlineStr">
        <is>
          <t>Normal</t>
        </is>
      </c>
      <c r="N262">
        <v>0</v>
      </c>
      <c r="O262">
        <f>'밸런스 조정'!C154*'밸런스 조정'!C155*'밸런스 조정'!C145*(1+('몬스터 성장'!G6/'몬스터 성장'!F6-1)*(U262/'밸런스 조정'!C119)^'몬스터 성장'!H6)</f>
        <v>665.176122825</v>
      </c>
      <c r="P262">
        <v>0</v>
      </c>
      <c r="Q262">
        <v>0</v>
      </c>
      <c r="R262">
        <v>62</v>
      </c>
      <c r="S262" t="inlineStr">
        <is>
          <t>Sedan</t>
        </is>
      </c>
      <c r="T262" t="inlineStr">
        <is>
          <t>Jam</t>
        </is>
      </c>
      <c r="U262">
        <v>1027.4407</v>
      </c>
      <c r="V262">
        <v>2</v>
      </c>
      <c r="W262">
        <v>945.4407</v>
      </c>
      <c r="X262">
        <v>0</v>
      </c>
      <c r="Y262">
        <v>0</v>
      </c>
    </row>
    <row r="263">
      <c r="B263">
        <v>271</v>
      </c>
      <c r="C263" t="inlineStr">
        <is>
          <t>HighWay</t>
        </is>
      </c>
      <c r="D263" t="inlineStr">
        <is>
          <t>HWY2_137_Taxi</t>
        </is>
      </c>
      <c r="E263">
        <v>1</v>
      </c>
      <c r="F263" t="inlineStr">
        <is>
          <t>공격 반복</t>
        </is>
      </c>
      <c r="G263">
        <v>3</v>
      </c>
      <c r="H263">
        <v>0</v>
      </c>
      <c r="I263">
        <v>150</v>
      </c>
      <c r="J263">
        <v>0</v>
      </c>
      <c r="K263">
        <v>0</v>
      </c>
      <c r="L263" t="inlineStr">
        <is>
          <t>차량 적 · 원본 전투/성장/코인 시스템</t>
        </is>
      </c>
      <c r="M263" t="inlineStr">
        <is>
          <t>Normal</t>
        </is>
      </c>
      <c r="N263">
        <v>0</v>
      </c>
      <c r="O263">
        <f>'밸런스 조정'!C154*'밸런스 조정'!C155*'밸런스 조정'!C146*(1+('몬스터 성장'!G6/'몬스터 성장'!F6-1)*(U263/'밸런스 조정'!C119)^'몬스터 성장'!H6)</f>
        <v>677.48131099</v>
      </c>
      <c r="P263">
        <v>0</v>
      </c>
      <c r="Q263">
        <v>0</v>
      </c>
      <c r="R263">
        <v>62</v>
      </c>
      <c r="S263" t="inlineStr">
        <is>
          <t>Taxi</t>
        </is>
      </c>
      <c r="T263" t="inlineStr">
        <is>
          <t>Jam</t>
        </is>
      </c>
      <c r="U263">
        <v>1042.3136</v>
      </c>
      <c r="V263">
        <v>2</v>
      </c>
      <c r="W263">
        <v>960.3136</v>
      </c>
      <c r="X263">
        <v>0</v>
      </c>
      <c r="Y263">
        <v>0</v>
      </c>
    </row>
    <row r="264">
      <c r="B264">
        <v>272</v>
      </c>
      <c r="C264" t="inlineStr">
        <is>
          <t>HighWay</t>
        </is>
      </c>
      <c r="D264" t="inlineStr">
        <is>
          <t>HWY2_138_OneTon</t>
        </is>
      </c>
      <c r="E264">
        <v>1</v>
      </c>
      <c r="F264" t="inlineStr">
        <is>
          <t>공격 반복</t>
        </is>
      </c>
      <c r="G264">
        <v>4.4</v>
      </c>
      <c r="H264">
        <v>0</v>
      </c>
      <c r="I264">
        <v>150</v>
      </c>
      <c r="J264">
        <v>0</v>
      </c>
      <c r="K264">
        <v>0</v>
      </c>
      <c r="L264" t="inlineStr">
        <is>
          <t>차량 적 · 원본 전투/성장/코인 시스템</t>
        </is>
      </c>
      <c r="M264" t="inlineStr">
        <is>
          <t>Normal</t>
        </is>
      </c>
      <c r="N264">
        <v>0</v>
      </c>
      <c r="O264">
        <f>'밸런스 조정'!C154*'밸런스 조정'!C155*'밸런스 조정'!C147*(1+('몬스터 성장'!G6/'몬스터 성장'!F6-1)*(U264/'밸런스 조정'!C119)^'몬스터 성장'!H6)</f>
        <v>896.952348355</v>
      </c>
      <c r="P264">
        <v>0</v>
      </c>
      <c r="Q264">
        <v>0</v>
      </c>
      <c r="R264">
        <v>62</v>
      </c>
      <c r="S264" t="inlineStr">
        <is>
          <t>OneTon</t>
        </is>
      </c>
      <c r="T264" t="inlineStr">
        <is>
          <t>Jam</t>
        </is>
      </c>
      <c r="U264">
        <v>1057.1864</v>
      </c>
      <c r="V264">
        <v>2</v>
      </c>
      <c r="W264">
        <v>975.1864</v>
      </c>
      <c r="X264">
        <v>0</v>
      </c>
      <c r="Y264">
        <v>0</v>
      </c>
    </row>
    <row r="265">
      <c r="B265">
        <v>273</v>
      </c>
      <c r="C265" t="inlineStr">
        <is>
          <t>HighWay</t>
        </is>
      </c>
      <c r="D265" t="inlineStr">
        <is>
          <t>HWY2_139_Box</t>
        </is>
      </c>
      <c r="E265">
        <v>1</v>
      </c>
      <c r="F265" t="inlineStr">
        <is>
          <t>공격 반복</t>
        </is>
      </c>
      <c r="G265">
        <v>3.6</v>
      </c>
      <c r="H265">
        <v>0</v>
      </c>
      <c r="I265">
        <v>150</v>
      </c>
      <c r="J265">
        <v>0</v>
      </c>
      <c r="K265">
        <v>0</v>
      </c>
      <c r="L265" t="inlineStr">
        <is>
          <t>차량 적 · 원본 전투/성장/코인 시스템</t>
        </is>
      </c>
      <c r="M265" t="inlineStr">
        <is>
          <t>Normal</t>
        </is>
      </c>
      <c r="N265">
        <v>0</v>
      </c>
      <c r="O265">
        <f>'밸런스 조정'!C154*'밸런스 조정'!C155*'밸런스 조정'!C148*(1+('몬스터 성장'!G6/'몬스터 성장'!F6-1)*(U265/'밸런스 조정'!C119)^'몬스터 성장'!H6)</f>
        <v>1124.19555923</v>
      </c>
      <c r="P265">
        <v>0</v>
      </c>
      <c r="Q265">
        <v>0</v>
      </c>
      <c r="R265">
        <v>62</v>
      </c>
      <c r="S265" t="inlineStr">
        <is>
          <t>Box</t>
        </is>
      </c>
      <c r="T265" t="inlineStr">
        <is>
          <t>Jam</t>
        </is>
      </c>
      <c r="U265">
        <v>1072.0593</v>
      </c>
      <c r="V265">
        <v>2</v>
      </c>
      <c r="W265">
        <v>990.0593</v>
      </c>
      <c r="X265">
        <v>0</v>
      </c>
      <c r="Y265">
        <v>0</v>
      </c>
    </row>
    <row r="266">
      <c r="B266">
        <v>274</v>
      </c>
      <c r="C266" t="inlineStr">
        <is>
          <t>HighWay</t>
        </is>
      </c>
      <c r="D266" t="inlineStr">
        <is>
          <t>HWY2_140_Sedan</t>
        </is>
      </c>
      <c r="E266">
        <v>1</v>
      </c>
      <c r="F266" t="inlineStr">
        <is>
          <t>공격 반복</t>
        </is>
      </c>
      <c r="G266">
        <v>5</v>
      </c>
      <c r="H266">
        <v>0</v>
      </c>
      <c r="I266">
        <v>150</v>
      </c>
      <c r="J266">
        <v>0</v>
      </c>
      <c r="K266">
        <v>0</v>
      </c>
      <c r="L266" t="inlineStr">
        <is>
          <t>차량 적 · 원본 전투/성장/코인 시스템</t>
        </is>
      </c>
      <c r="M266" t="inlineStr">
        <is>
          <t>Normal</t>
        </is>
      </c>
      <c r="N266">
        <v>0</v>
      </c>
      <c r="O266">
        <f>'밸런스 조정'!C154*'밸런스 조정'!C155*'밸런스 조정'!C145*(1+('몬스터 성장'!G6/'몬스터 성장'!F6-1)*(U266/'밸런스 조정'!C119)^'몬스터 성장'!H6)</f>
        <v>715.457949887</v>
      </c>
      <c r="P266">
        <v>0</v>
      </c>
      <c r="Q266">
        <v>0</v>
      </c>
      <c r="R266">
        <v>62</v>
      </c>
      <c r="S266" t="inlineStr">
        <is>
          <t>Sedan</t>
        </is>
      </c>
      <c r="T266" t="inlineStr">
        <is>
          <t>Jam</t>
        </is>
      </c>
      <c r="U266">
        <v>1086.9322</v>
      </c>
      <c r="V266">
        <v>2</v>
      </c>
      <c r="W266">
        <v>1004.9322</v>
      </c>
      <c r="X266">
        <v>0</v>
      </c>
      <c r="Y266">
        <v>0</v>
      </c>
    </row>
    <row r="267">
      <c r="B267">
        <v>275</v>
      </c>
      <c r="C267" t="inlineStr">
        <is>
          <t>HighWay</t>
        </is>
      </c>
      <c r="D267" t="inlineStr">
        <is>
          <t>HWY2_141_Tanker</t>
        </is>
      </c>
      <c r="E267">
        <v>1</v>
      </c>
      <c r="F267" t="inlineStr">
        <is>
          <t>공격 반복</t>
        </is>
      </c>
      <c r="G267">
        <v>4.2</v>
      </c>
      <c r="H267">
        <v>0</v>
      </c>
      <c r="I267">
        <v>150</v>
      </c>
      <c r="J267">
        <v>0</v>
      </c>
      <c r="K267">
        <v>0</v>
      </c>
      <c r="L267" t="inlineStr">
        <is>
          <t>차량 적 · 원본 전투/성장/코인 시스템</t>
        </is>
      </c>
      <c r="M267" t="inlineStr">
        <is>
          <t>Normal</t>
        </is>
      </c>
      <c r="N267">
        <v>0</v>
      </c>
      <c r="O267">
        <f>'밸런스 조정'!C154*'밸런스 조정'!C155*'밸런스 조정'!C149*(1+('몬스터 성장'!G6/'몬스터 성장'!F6-1)*(U267/'밸런스 조정'!C119)^'몬스터 성장'!H6)</f>
        <v>1456.94104197</v>
      </c>
      <c r="P267">
        <v>0</v>
      </c>
      <c r="Q267">
        <v>0</v>
      </c>
      <c r="R267">
        <v>124</v>
      </c>
      <c r="S267" t="inlineStr">
        <is>
          <t>Tanker</t>
        </is>
      </c>
      <c r="T267" t="inlineStr">
        <is>
          <t>Jam</t>
        </is>
      </c>
      <c r="U267">
        <v>1101.8051</v>
      </c>
      <c r="V267">
        <v>2</v>
      </c>
      <c r="W267">
        <v>1019.8051</v>
      </c>
      <c r="X267">
        <v>0</v>
      </c>
      <c r="Y267">
        <v>0</v>
      </c>
    </row>
    <row r="268">
      <c r="B268">
        <v>276</v>
      </c>
      <c r="C268" t="inlineStr">
        <is>
          <t>HighWay</t>
        </is>
      </c>
      <c r="D268" t="inlineStr">
        <is>
          <t>HWY2_142_Sedan</t>
        </is>
      </c>
      <c r="E268">
        <v>1</v>
      </c>
      <c r="F268" t="inlineStr">
        <is>
          <t>공격 반복</t>
        </is>
      </c>
      <c r="G268">
        <v>3.4</v>
      </c>
      <c r="H268">
        <v>0</v>
      </c>
      <c r="I268">
        <v>150</v>
      </c>
      <c r="J268">
        <v>0</v>
      </c>
      <c r="K268">
        <v>0</v>
      </c>
      <c r="L268" t="inlineStr">
        <is>
          <t>차량 적 · 원본 전투/성장/코인 시스템</t>
        </is>
      </c>
      <c r="M268" t="inlineStr">
        <is>
          <t>Normal</t>
        </is>
      </c>
      <c r="N268">
        <v>0</v>
      </c>
      <c r="O268">
        <f>'밸런스 조정'!C154*'밸런스 조정'!C155*'밸런스 조정'!C145*(1+('몬스터 성장'!G6/'몬스터 성장'!F6-1)*(U268/'밸런스 조정'!C119)^'몬스터 성장'!H6)</f>
        <v>741.659937821</v>
      </c>
      <c r="P268">
        <v>0</v>
      </c>
      <c r="Q268">
        <v>0</v>
      </c>
      <c r="R268">
        <v>62</v>
      </c>
      <c r="S268" t="inlineStr">
        <is>
          <t>Sedan</t>
        </is>
      </c>
      <c r="T268" t="inlineStr">
        <is>
          <t>Jam</t>
        </is>
      </c>
      <c r="U268">
        <v>1116.678</v>
      </c>
      <c r="V268">
        <v>2</v>
      </c>
      <c r="W268">
        <v>1034.678</v>
      </c>
      <c r="X268">
        <v>0</v>
      </c>
      <c r="Y268">
        <v>0</v>
      </c>
    </row>
    <row r="269">
      <c r="B269">
        <v>277</v>
      </c>
      <c r="C269" t="inlineStr">
        <is>
          <t>HighWay</t>
        </is>
      </c>
      <c r="D269" t="inlineStr">
        <is>
          <t>HWY2_143_Taxi</t>
        </is>
      </c>
      <c r="E269">
        <v>1</v>
      </c>
      <c r="F269" t="inlineStr">
        <is>
          <t>공격 반복</t>
        </is>
      </c>
      <c r="G269">
        <v>4.8</v>
      </c>
      <c r="H269">
        <v>0</v>
      </c>
      <c r="I269">
        <v>150</v>
      </c>
      <c r="J269">
        <v>0</v>
      </c>
      <c r="K269">
        <v>0</v>
      </c>
      <c r="L269" t="inlineStr">
        <is>
          <t>차량 적 · 원본 전투/성장/코인 시스템</t>
        </is>
      </c>
      <c r="M269" t="inlineStr">
        <is>
          <t>Normal</t>
        </is>
      </c>
      <c r="N269">
        <v>0</v>
      </c>
      <c r="O269">
        <f>'밸런스 조정'!C154*'밸런스 조정'!C155*'밸런스 조정'!C146*(1+('몬스터 성장'!G6/'몬스터 성장'!F6-1)*(U269/'밸런스 조정'!C119)^'몬스터 성장'!H6)</f>
        <v>755.026200389</v>
      </c>
      <c r="P269">
        <v>0</v>
      </c>
      <c r="Q269">
        <v>0</v>
      </c>
      <c r="R269">
        <v>62</v>
      </c>
      <c r="S269" t="inlineStr">
        <is>
          <t>Taxi</t>
        </is>
      </c>
      <c r="T269" t="inlineStr">
        <is>
          <t>Jam</t>
        </is>
      </c>
      <c r="U269">
        <v>1131.5508</v>
      </c>
      <c r="V269">
        <v>2</v>
      </c>
      <c r="W269">
        <v>1049.5508</v>
      </c>
      <c r="X269">
        <v>0</v>
      </c>
      <c r="Y269">
        <v>0</v>
      </c>
    </row>
    <row r="270">
      <c r="B270">
        <v>278</v>
      </c>
      <c r="C270" t="inlineStr">
        <is>
          <t>HighWay</t>
        </is>
      </c>
      <c r="D270" t="inlineStr">
        <is>
          <t>HWY2_144_OneTon</t>
        </is>
      </c>
      <c r="E270">
        <v>1</v>
      </c>
      <c r="F270" t="inlineStr">
        <is>
          <t>공격 반복</t>
        </is>
      </c>
      <c r="G270">
        <v>4</v>
      </c>
      <c r="H270">
        <v>0</v>
      </c>
      <c r="I270">
        <v>150</v>
      </c>
      <c r="J270">
        <v>0</v>
      </c>
      <c r="K270">
        <v>0</v>
      </c>
      <c r="L270" t="inlineStr">
        <is>
          <t>차량 적 · 원본 전투/성장/코인 시스템</t>
        </is>
      </c>
      <c r="M270" t="inlineStr">
        <is>
          <t>Normal</t>
        </is>
      </c>
      <c r="N270">
        <v>0</v>
      </c>
      <c r="O270">
        <f>'밸런스 조정'!C154*'밸런스 조정'!C155*'밸런스 조정'!C147*(1+('몬스터 성장'!G6/'몬스터 성장'!F6-1)*(U270/'밸런스 조정'!C119)^'몬스터 성장'!H6)</f>
        <v>999.140101299</v>
      </c>
      <c r="P270">
        <v>0</v>
      </c>
      <c r="Q270">
        <v>0</v>
      </c>
      <c r="R270">
        <v>62</v>
      </c>
      <c r="S270" t="inlineStr">
        <is>
          <t>OneTon</t>
        </is>
      </c>
      <c r="T270" t="inlineStr">
        <is>
          <t>Jam</t>
        </is>
      </c>
      <c r="U270">
        <v>1146.4237</v>
      </c>
      <c r="V270">
        <v>2</v>
      </c>
      <c r="W270">
        <v>1064.4237</v>
      </c>
      <c r="X270">
        <v>0</v>
      </c>
      <c r="Y270">
        <v>0</v>
      </c>
    </row>
    <row r="271">
      <c r="B271">
        <v>279</v>
      </c>
      <c r="C271" t="inlineStr">
        <is>
          <t>HighWay</t>
        </is>
      </c>
      <c r="D271" t="inlineStr">
        <is>
          <t>HWY2_145_Box</t>
        </is>
      </c>
      <c r="E271">
        <v>1</v>
      </c>
      <c r="F271" t="inlineStr">
        <is>
          <t>공격 반복</t>
        </is>
      </c>
      <c r="G271">
        <v>3.2</v>
      </c>
      <c r="H271">
        <v>0</v>
      </c>
      <c r="I271">
        <v>150</v>
      </c>
      <c r="J271">
        <v>0</v>
      </c>
      <c r="K271">
        <v>0</v>
      </c>
      <c r="L271" t="inlineStr">
        <is>
          <t>차량 적 · 원본 전투/성장/코인 시스템</t>
        </is>
      </c>
      <c r="M271" t="inlineStr">
        <is>
          <t>Normal</t>
        </is>
      </c>
      <c r="N271">
        <v>0</v>
      </c>
      <c r="O271">
        <f>'밸런스 조정'!C154*'밸런스 조정'!C155*'밸런스 조정'!C148*(1+('몬스터 성장'!G6/'몬스터 성장'!F6-1)*(U271/'밸런스 조정'!C119)^'몬스터 성장'!H6)</f>
        <v>1251.66282036</v>
      </c>
      <c r="P271">
        <v>0</v>
      </c>
      <c r="Q271">
        <v>0</v>
      </c>
      <c r="R271">
        <v>62</v>
      </c>
      <c r="S271" t="inlineStr">
        <is>
          <t>Box</t>
        </is>
      </c>
      <c r="T271" t="inlineStr">
        <is>
          <t>Jam</t>
        </is>
      </c>
      <c r="U271">
        <v>1161.2966</v>
      </c>
      <c r="V271">
        <v>2</v>
      </c>
      <c r="W271">
        <v>1079.2966</v>
      </c>
      <c r="X271">
        <v>0</v>
      </c>
      <c r="Y271">
        <v>0</v>
      </c>
    </row>
    <row r="272">
      <c r="B272">
        <v>280</v>
      </c>
      <c r="C272" t="inlineStr">
        <is>
          <t>HighWay</t>
        </is>
      </c>
      <c r="D272" t="inlineStr">
        <is>
          <t>HWY2_146_Sedan</t>
        </is>
      </c>
      <c r="E272">
        <v>1</v>
      </c>
      <c r="F272" t="inlineStr">
        <is>
          <t>공격 반복</t>
        </is>
      </c>
      <c r="G272">
        <v>4.6</v>
      </c>
      <c r="H272">
        <v>0</v>
      </c>
      <c r="I272">
        <v>150</v>
      </c>
      <c r="J272">
        <v>0</v>
      </c>
      <c r="K272">
        <v>0</v>
      </c>
      <c r="L272" t="inlineStr">
        <is>
          <t>차량 적 · 원본 전투/성장/코인 시스템</t>
        </is>
      </c>
      <c r="M272" t="inlineStr">
        <is>
          <t>Normal</t>
        </is>
      </c>
      <c r="N272">
        <v>0</v>
      </c>
      <c r="O272">
        <f>'밸런스 조정'!C154*'밸런스 조정'!C155*'밸런스 조정'!C145*(1+('몬스터 성장'!G6/'몬스터 성장'!F6-1)*(U272/'밸런스 조정'!C119)^'몬스터 성장'!H6)</f>
        <v>796.186062498</v>
      </c>
      <c r="P272">
        <v>0</v>
      </c>
      <c r="Q272">
        <v>0</v>
      </c>
      <c r="R272">
        <v>62</v>
      </c>
      <c r="S272" t="inlineStr">
        <is>
          <t>Sedan</t>
        </is>
      </c>
      <c r="T272" t="inlineStr">
        <is>
          <t>Jam</t>
        </is>
      </c>
      <c r="U272">
        <v>1176.1695</v>
      </c>
      <c r="V272">
        <v>2</v>
      </c>
      <c r="W272">
        <v>1094.1695</v>
      </c>
      <c r="X272">
        <v>0</v>
      </c>
      <c r="Y272">
        <v>0</v>
      </c>
    </row>
    <row r="273">
      <c r="B273">
        <v>281</v>
      </c>
      <c r="C273" t="inlineStr">
        <is>
          <t>HighWay</t>
        </is>
      </c>
      <c r="D273" t="inlineStr">
        <is>
          <t>HWY2_147_Sedan</t>
        </is>
      </c>
      <c r="E273">
        <v>1</v>
      </c>
      <c r="F273" t="inlineStr">
        <is>
          <t>공격 반복</t>
        </is>
      </c>
      <c r="G273">
        <v>22</v>
      </c>
      <c r="H273">
        <v>0</v>
      </c>
      <c r="I273">
        <v>150</v>
      </c>
      <c r="J273">
        <v>0</v>
      </c>
      <c r="K273">
        <v>0</v>
      </c>
      <c r="L273" t="inlineStr">
        <is>
          <t>차량 적 · 원본 전투/성장/코인 시스템</t>
        </is>
      </c>
      <c r="M273" t="inlineStr">
        <is>
          <t>Normal</t>
        </is>
      </c>
      <c r="N273">
        <v>0</v>
      </c>
      <c r="O273">
        <f>'밸런스 조정'!C154*'밸런스 조정'!C155*'밸런스 조정'!C145*(1+('몬스터 성장'!G6/'몬스터 성장'!F6-1)*(U273/'밸런스 조정'!C119)^'몬스터 성장'!H6)</f>
        <v>384.716896778</v>
      </c>
      <c r="P273">
        <v>0</v>
      </c>
      <c r="Q273">
        <v>0</v>
      </c>
      <c r="R273">
        <v>62</v>
      </c>
      <c r="S273" t="inlineStr">
        <is>
          <t>Sedan</t>
        </is>
      </c>
      <c r="T273" t="inlineStr">
        <is>
          <t>Open</t>
        </is>
      </c>
      <c r="U273">
        <v>595</v>
      </c>
      <c r="V273">
        <v>0</v>
      </c>
      <c r="W273">
        <v>513</v>
      </c>
      <c r="X273">
        <v>0</v>
      </c>
      <c r="Y273">
        <v>0</v>
      </c>
    </row>
    <row r="274">
      <c r="B274">
        <v>282</v>
      </c>
      <c r="C274" t="inlineStr">
        <is>
          <t>HighWay</t>
        </is>
      </c>
      <c r="D274" t="inlineStr">
        <is>
          <t>HWY2_148_Taxi</t>
        </is>
      </c>
      <c r="E274">
        <v>1</v>
      </c>
      <c r="F274" t="inlineStr">
        <is>
          <t>공격 반복</t>
        </is>
      </c>
      <c r="G274">
        <v>24.8</v>
      </c>
      <c r="H274">
        <v>0</v>
      </c>
      <c r="I274">
        <v>150</v>
      </c>
      <c r="J274">
        <v>0</v>
      </c>
      <c r="K274">
        <v>0</v>
      </c>
      <c r="L274" t="inlineStr">
        <is>
          <t>차량 적 · 원본 전투/성장/코인 시스템</t>
        </is>
      </c>
      <c r="M274" t="inlineStr">
        <is>
          <t>Normal</t>
        </is>
      </c>
      <c r="N274">
        <v>0</v>
      </c>
      <c r="O274">
        <f>'밸런스 조정'!C154*'밸런스 조정'!C155*'밸런스 조정'!C146*(1+('몬스터 성장'!G6/'몬스터 성장'!F6-1)*(U274/'밸런스 조정'!C119)^'몬스터 성장'!H6)</f>
        <v>399.947452676</v>
      </c>
      <c r="P274">
        <v>0</v>
      </c>
      <c r="Q274">
        <v>0</v>
      </c>
      <c r="R274">
        <v>62</v>
      </c>
      <c r="S274" t="inlineStr">
        <is>
          <t>Taxi</t>
        </is>
      </c>
      <c r="T274" t="inlineStr">
        <is>
          <t>Open</t>
        </is>
      </c>
      <c r="U274">
        <v>626.2</v>
      </c>
      <c r="V274">
        <v>0</v>
      </c>
      <c r="W274">
        <v>544.2</v>
      </c>
      <c r="X274">
        <v>0</v>
      </c>
      <c r="Y274">
        <v>0</v>
      </c>
    </row>
    <row r="275">
      <c r="B275">
        <v>283</v>
      </c>
      <c r="C275" t="inlineStr">
        <is>
          <t>HighWay</t>
        </is>
      </c>
      <c r="D275" t="inlineStr">
        <is>
          <t>HWY2_149_OneTon</t>
        </is>
      </c>
      <c r="E275">
        <v>1</v>
      </c>
      <c r="F275" t="inlineStr">
        <is>
          <t>공격 반복</t>
        </is>
      </c>
      <c r="G275">
        <v>23.2</v>
      </c>
      <c r="H275">
        <v>0</v>
      </c>
      <c r="I275">
        <v>150</v>
      </c>
      <c r="J275">
        <v>0</v>
      </c>
      <c r="K275">
        <v>0</v>
      </c>
      <c r="L275" t="inlineStr">
        <is>
          <t>차량 적 · 원본 전투/성장/코인 시스템</t>
        </is>
      </c>
      <c r="M275" t="inlineStr">
        <is>
          <t>Normal</t>
        </is>
      </c>
      <c r="N275">
        <v>0</v>
      </c>
      <c r="O275">
        <f>'밸런스 조정'!C154*'밸런스 조정'!C155*'밸런스 조정'!C147*(1+('몬스터 성장'!G6/'몬스터 성장'!F6-1)*(U275/'밸런스 조정'!C119)^'몬스터 성장'!H6)</f>
        <v>540.743123145</v>
      </c>
      <c r="P275">
        <v>0</v>
      </c>
      <c r="Q275">
        <v>0</v>
      </c>
      <c r="R275">
        <v>62</v>
      </c>
      <c r="S275" t="inlineStr">
        <is>
          <t>OneTon</t>
        </is>
      </c>
      <c r="T275" t="inlineStr">
        <is>
          <t>Open</t>
        </is>
      </c>
      <c r="U275">
        <v>657.4</v>
      </c>
      <c r="V275">
        <v>0</v>
      </c>
      <c r="W275">
        <v>575.4</v>
      </c>
      <c r="X275">
        <v>0</v>
      </c>
      <c r="Y275">
        <v>0</v>
      </c>
    </row>
    <row r="276">
      <c r="B276">
        <v>284</v>
      </c>
      <c r="C276" t="inlineStr">
        <is>
          <t>HighWay</t>
        </is>
      </c>
      <c r="D276" t="inlineStr">
        <is>
          <t>HWY2_150_Box</t>
        </is>
      </c>
      <c r="E276">
        <v>1</v>
      </c>
      <c r="F276" t="inlineStr">
        <is>
          <t>공격 반복</t>
        </is>
      </c>
      <c r="G276">
        <v>26</v>
      </c>
      <c r="H276">
        <v>0</v>
      </c>
      <c r="I276">
        <v>150</v>
      </c>
      <c r="J276">
        <v>0</v>
      </c>
      <c r="K276">
        <v>0</v>
      </c>
      <c r="L276" t="inlineStr">
        <is>
          <t>차량 적 · 원본 전투/성장/코인 시스템</t>
        </is>
      </c>
      <c r="M276" t="inlineStr">
        <is>
          <t>Normal</t>
        </is>
      </c>
      <c r="N276">
        <v>0</v>
      </c>
      <c r="O276">
        <f>'밸런스 조정'!C154*'밸런스 조정'!C155*'밸런스 조정'!C148*(1+('몬스터 성장'!G6/'몬스터 성장'!F6-1)*(U276/'밸런스 조정'!C119)^'몬스터 성장'!H6)</f>
        <v>692.389255153</v>
      </c>
      <c r="P276">
        <v>0</v>
      </c>
      <c r="Q276">
        <v>0</v>
      </c>
      <c r="R276">
        <v>62</v>
      </c>
      <c r="S276" t="inlineStr">
        <is>
          <t>Box</t>
        </is>
      </c>
      <c r="T276" t="inlineStr">
        <is>
          <t>Open</t>
        </is>
      </c>
      <c r="U276">
        <v>688.6</v>
      </c>
      <c r="V276">
        <v>0</v>
      </c>
      <c r="W276">
        <v>606.6</v>
      </c>
      <c r="X276">
        <v>0</v>
      </c>
      <c r="Y276">
        <v>0</v>
      </c>
    </row>
    <row r="277">
      <c r="B277">
        <v>285</v>
      </c>
      <c r="C277" t="inlineStr">
        <is>
          <t>HighWay</t>
        </is>
      </c>
      <c r="D277" t="inlineStr">
        <is>
          <t>HWY2_151_Sedan</t>
        </is>
      </c>
      <c r="E277">
        <v>1</v>
      </c>
      <c r="F277" t="inlineStr">
        <is>
          <t>공격 반복</t>
        </is>
      </c>
      <c r="G277">
        <v>24.4</v>
      </c>
      <c r="H277">
        <v>0</v>
      </c>
      <c r="I277">
        <v>150</v>
      </c>
      <c r="J277">
        <v>0</v>
      </c>
      <c r="K277">
        <v>0</v>
      </c>
      <c r="L277" t="inlineStr">
        <is>
          <t>차량 적 · 원본 전투/성장/코인 시스템</t>
        </is>
      </c>
      <c r="M277" t="inlineStr">
        <is>
          <t>Normal</t>
        </is>
      </c>
      <c r="N277">
        <v>0</v>
      </c>
      <c r="O277">
        <f>'밸런스 조정'!C154*'밸런스 조정'!C155*'밸런스 조정'!C145*(1+('몬스터 성장'!G6/'몬스터 성장'!F6-1)*(U277/'밸런스 조정'!C119)^'몬스터 성장'!H6)</f>
        <v>450.308560368</v>
      </c>
      <c r="P277">
        <v>0</v>
      </c>
      <c r="Q277">
        <v>0</v>
      </c>
      <c r="R277">
        <v>62</v>
      </c>
      <c r="S277" t="inlineStr">
        <is>
          <t>Sedan</t>
        </is>
      </c>
      <c r="T277" t="inlineStr">
        <is>
          <t>Open</t>
        </is>
      </c>
      <c r="U277">
        <v>719.8</v>
      </c>
      <c r="V277">
        <v>0</v>
      </c>
      <c r="W277">
        <v>637.8</v>
      </c>
      <c r="X277">
        <v>0</v>
      </c>
      <c r="Y277">
        <v>0</v>
      </c>
    </row>
    <row r="278">
      <c r="B278">
        <v>286</v>
      </c>
      <c r="C278" t="inlineStr">
        <is>
          <t>HighWay</t>
        </is>
      </c>
      <c r="D278" t="inlineStr">
        <is>
          <t>HWY2_152_Tanker</t>
        </is>
      </c>
      <c r="E278">
        <v>1</v>
      </c>
      <c r="F278" t="inlineStr">
        <is>
          <t>공격 반복</t>
        </is>
      </c>
      <c r="G278">
        <v>22.8</v>
      </c>
      <c r="H278">
        <v>0</v>
      </c>
      <c r="I278">
        <v>150</v>
      </c>
      <c r="J278">
        <v>0</v>
      </c>
      <c r="K278">
        <v>0</v>
      </c>
      <c r="L278" t="inlineStr">
        <is>
          <t>차량 적 · 원본 전투/성장/코인 시스템</t>
        </is>
      </c>
      <c r="M278" t="inlineStr">
        <is>
          <t>Normal</t>
        </is>
      </c>
      <c r="N278">
        <v>0</v>
      </c>
      <c r="O278">
        <f>'밸런스 조정'!C154*'밸런스 조정'!C155*'밸런스 조정'!C149*(1+('몬스터 성장'!G6/'몬스터 성장'!F6-1)*(U278/'밸런스 조정'!C119)^'몬스터 성장'!H6)</f>
        <v>937.304152531</v>
      </c>
      <c r="P278">
        <v>0</v>
      </c>
      <c r="Q278">
        <v>0</v>
      </c>
      <c r="R278">
        <v>124</v>
      </c>
      <c r="S278" t="inlineStr">
        <is>
          <t>Tanker</t>
        </is>
      </c>
      <c r="T278" t="inlineStr">
        <is>
          <t>Open</t>
        </is>
      </c>
      <c r="U278">
        <v>751</v>
      </c>
      <c r="V278">
        <v>0</v>
      </c>
      <c r="W278">
        <v>669</v>
      </c>
      <c r="X278">
        <v>0</v>
      </c>
      <c r="Y278">
        <v>0</v>
      </c>
    </row>
    <row r="279">
      <c r="B279">
        <v>287</v>
      </c>
      <c r="C279" t="inlineStr">
        <is>
          <t>HighWay</t>
        </is>
      </c>
      <c r="D279" t="inlineStr">
        <is>
          <t>HWY2_153_Sedan</t>
        </is>
      </c>
      <c r="E279">
        <v>1</v>
      </c>
      <c r="F279" t="inlineStr">
        <is>
          <t>공격 반복</t>
        </is>
      </c>
      <c r="G279">
        <v>25.6</v>
      </c>
      <c r="H279">
        <v>0</v>
      </c>
      <c r="I279">
        <v>150</v>
      </c>
      <c r="J279">
        <v>0</v>
      </c>
      <c r="K279">
        <v>0</v>
      </c>
      <c r="L279" t="inlineStr">
        <is>
          <t>차량 적 · 원본 전투/성장/코인 시스템</t>
        </is>
      </c>
      <c r="M279" t="inlineStr">
        <is>
          <t>Normal</t>
        </is>
      </c>
      <c r="N279">
        <v>0</v>
      </c>
      <c r="O279">
        <f>'밸런스 조정'!C154*'밸런스 조정'!C155*'밸런스 조정'!C145*(1+('몬스터 성장'!G6/'몬스터 성장'!F6-1)*(U279/'밸런스 조정'!C119)^'몬스터 성장'!H6)</f>
        <v>487.773832163</v>
      </c>
      <c r="P279">
        <v>0</v>
      </c>
      <c r="Q279">
        <v>0</v>
      </c>
      <c r="R279">
        <v>62</v>
      </c>
      <c r="S279" t="inlineStr">
        <is>
          <t>Sedan</t>
        </is>
      </c>
      <c r="T279" t="inlineStr">
        <is>
          <t>Open</t>
        </is>
      </c>
      <c r="U279">
        <v>782.2</v>
      </c>
      <c r="V279">
        <v>0</v>
      </c>
      <c r="W279">
        <v>700.2</v>
      </c>
      <c r="X279">
        <v>0</v>
      </c>
      <c r="Y279">
        <v>0</v>
      </c>
    </row>
    <row r="280">
      <c r="B280">
        <v>288</v>
      </c>
      <c r="C280" t="inlineStr">
        <is>
          <t>HighWay</t>
        </is>
      </c>
      <c r="D280" t="inlineStr">
        <is>
          <t>HWY2_154_Taxi</t>
        </is>
      </c>
      <c r="E280">
        <v>1</v>
      </c>
      <c r="F280" t="inlineStr">
        <is>
          <t>공격 반복</t>
        </is>
      </c>
      <c r="G280">
        <v>24</v>
      </c>
      <c r="H280">
        <v>0</v>
      </c>
      <c r="I280">
        <v>150</v>
      </c>
      <c r="J280">
        <v>0</v>
      </c>
      <c r="K280">
        <v>0</v>
      </c>
      <c r="L280" t="inlineStr">
        <is>
          <t>차량 적 · 원본 전투/성장/코인 시스템</t>
        </is>
      </c>
      <c r="M280" t="inlineStr">
        <is>
          <t>Normal</t>
        </is>
      </c>
      <c r="N280">
        <v>0</v>
      </c>
      <c r="O280">
        <f>'밸런스 조정'!C154*'밸런스 조정'!C155*'밸런스 조정'!C146*(1+('몬스터 성장'!G6/'몬스터 성장'!F6-1)*(U280/'밸런스 조정'!C119)^'몬스터 성장'!H6)</f>
        <v>507.67382806</v>
      </c>
      <c r="P280">
        <v>0</v>
      </c>
      <c r="Q280">
        <v>0</v>
      </c>
      <c r="R280">
        <v>62</v>
      </c>
      <c r="S280" t="inlineStr">
        <is>
          <t>Taxi</t>
        </is>
      </c>
      <c r="T280" t="inlineStr">
        <is>
          <t>Open</t>
        </is>
      </c>
      <c r="U280">
        <v>813.4</v>
      </c>
      <c r="V280">
        <v>0</v>
      </c>
      <c r="W280">
        <v>731.4</v>
      </c>
      <c r="X280">
        <v>0</v>
      </c>
      <c r="Y280">
        <v>0</v>
      </c>
    </row>
    <row r="281">
      <c r="B281">
        <v>289</v>
      </c>
      <c r="C281" t="inlineStr">
        <is>
          <t>HighWay</t>
        </is>
      </c>
      <c r="D281" t="inlineStr">
        <is>
          <t>HWY2_155_OneTon</t>
        </is>
      </c>
      <c r="E281">
        <v>1</v>
      </c>
      <c r="F281" t="inlineStr">
        <is>
          <t>공격 반복</t>
        </is>
      </c>
      <c r="G281">
        <v>22.4</v>
      </c>
      <c r="H281">
        <v>0</v>
      </c>
      <c r="I281">
        <v>150</v>
      </c>
      <c r="J281">
        <v>0</v>
      </c>
      <c r="K281">
        <v>0</v>
      </c>
      <c r="L281" t="inlineStr">
        <is>
          <t>차량 적 · 원본 전투/성장/코인 시스템</t>
        </is>
      </c>
      <c r="M281" t="inlineStr">
        <is>
          <t>Normal</t>
        </is>
      </c>
      <c r="N281">
        <v>0</v>
      </c>
      <c r="O281">
        <f>'밸런스 조정'!C154*'밸런스 조정'!C155*'밸런스 조정'!C147*(1+('몬스터 성장'!G6/'몬스터 성장'!F6-1)*(U281/'밸런스 조정'!C119)^'몬스터 성장'!H6)</f>
        <v>686.857683145</v>
      </c>
      <c r="P281">
        <v>0</v>
      </c>
      <c r="Q281">
        <v>0</v>
      </c>
      <c r="R281">
        <v>62</v>
      </c>
      <c r="S281" t="inlineStr">
        <is>
          <t>OneTon</t>
        </is>
      </c>
      <c r="T281" t="inlineStr">
        <is>
          <t>Open</t>
        </is>
      </c>
      <c r="U281">
        <v>844.6</v>
      </c>
      <c r="V281">
        <v>0</v>
      </c>
      <c r="W281">
        <v>762.6</v>
      </c>
      <c r="X281">
        <v>0</v>
      </c>
      <c r="Y281">
        <v>0</v>
      </c>
    </row>
    <row r="282">
      <c r="B282">
        <v>290</v>
      </c>
      <c r="C282" t="inlineStr">
        <is>
          <t>HighWay</t>
        </is>
      </c>
      <c r="D282" t="inlineStr">
        <is>
          <t>HWY2_156_Box</t>
        </is>
      </c>
      <c r="E282">
        <v>1</v>
      </c>
      <c r="F282" t="inlineStr">
        <is>
          <t>공격 반복</t>
        </is>
      </c>
      <c r="G282">
        <v>25.2</v>
      </c>
      <c r="H282">
        <v>0</v>
      </c>
      <c r="I282">
        <v>150</v>
      </c>
      <c r="J282">
        <v>0</v>
      </c>
      <c r="K282">
        <v>0</v>
      </c>
      <c r="L282" t="inlineStr">
        <is>
          <t>차량 적 · 원본 전투/성장/코인 시스템</t>
        </is>
      </c>
      <c r="M282" t="inlineStr">
        <is>
          <t>Normal</t>
        </is>
      </c>
      <c r="N282">
        <v>0</v>
      </c>
      <c r="O282">
        <f>'밸런스 조정'!C154*'밸런스 조정'!C155*'밸런스 조정'!C148*(1+('몬스터 성장'!G6/'몬스터 성장'!F6-1)*(U282/'밸런스 조정'!C119)^'몬스터 성장'!H6)</f>
        <v>879.693663769</v>
      </c>
      <c r="P282">
        <v>0</v>
      </c>
      <c r="Q282">
        <v>0</v>
      </c>
      <c r="R282">
        <v>62</v>
      </c>
      <c r="S282" t="inlineStr">
        <is>
          <t>Box</t>
        </is>
      </c>
      <c r="T282" t="inlineStr">
        <is>
          <t>Open</t>
        </is>
      </c>
      <c r="U282">
        <v>875.8</v>
      </c>
      <c r="V282">
        <v>0</v>
      </c>
      <c r="W282">
        <v>793.8</v>
      </c>
      <c r="X282">
        <v>0</v>
      </c>
      <c r="Y282">
        <v>0</v>
      </c>
    </row>
    <row r="283">
      <c r="B283">
        <v>291</v>
      </c>
      <c r="C283" t="inlineStr">
        <is>
          <t>HighWay</t>
        </is>
      </c>
      <c r="D283" t="inlineStr">
        <is>
          <t>HWY2_157_Sedan</t>
        </is>
      </c>
      <c r="E283">
        <v>1</v>
      </c>
      <c r="F283" t="inlineStr">
        <is>
          <t>공격 반복</t>
        </is>
      </c>
      <c r="G283">
        <v>23.6</v>
      </c>
      <c r="H283">
        <v>0</v>
      </c>
      <c r="I283">
        <v>150</v>
      </c>
      <c r="J283">
        <v>0</v>
      </c>
      <c r="K283">
        <v>0</v>
      </c>
      <c r="L283" t="inlineStr">
        <is>
          <t>차량 적 · 원본 전투/성장/코인 시스템</t>
        </is>
      </c>
      <c r="M283" t="inlineStr">
        <is>
          <t>Normal</t>
        </is>
      </c>
      <c r="N283">
        <v>0</v>
      </c>
      <c r="O283">
        <f>'밸런스 조정'!C154*'밸런스 조정'!C155*'밸런스 조정'!C145*(1+('몬스터 성장'!G6/'몬스터 성장'!F6-1)*(U283/'밸런스 조정'!C119)^'몬스터 성장'!H6)</f>
        <v>572.043255753</v>
      </c>
      <c r="P283">
        <v>0</v>
      </c>
      <c r="Q283">
        <v>0</v>
      </c>
      <c r="R283">
        <v>62</v>
      </c>
      <c r="S283" t="inlineStr">
        <is>
          <t>Sedan</t>
        </is>
      </c>
      <c r="T283" t="inlineStr">
        <is>
          <t>Open</t>
        </is>
      </c>
      <c r="U283">
        <v>907</v>
      </c>
      <c r="V283">
        <v>0</v>
      </c>
      <c r="W283">
        <v>825</v>
      </c>
      <c r="X283">
        <v>0</v>
      </c>
      <c r="Y283">
        <v>0</v>
      </c>
    </row>
    <row r="284">
      <c r="B284">
        <v>292</v>
      </c>
      <c r="C284" t="inlineStr">
        <is>
          <t>HighWay</t>
        </is>
      </c>
      <c r="D284" t="inlineStr">
        <is>
          <t>HWY2_158_Tanker</t>
        </is>
      </c>
      <c r="E284">
        <v>1</v>
      </c>
      <c r="F284" t="inlineStr">
        <is>
          <t>공격 반복</t>
        </is>
      </c>
      <c r="G284">
        <v>22</v>
      </c>
      <c r="H284">
        <v>0</v>
      </c>
      <c r="I284">
        <v>150</v>
      </c>
      <c r="J284">
        <v>0</v>
      </c>
      <c r="K284">
        <v>0</v>
      </c>
      <c r="L284" t="inlineStr">
        <is>
          <t>차량 적 · 원본 전투/성장/코인 시스템</t>
        </is>
      </c>
      <c r="M284" t="inlineStr">
        <is>
          <t>Normal</t>
        </is>
      </c>
      <c r="N284">
        <v>0</v>
      </c>
      <c r="O284">
        <f>'밸런스 조정'!C154*'밸런스 조정'!C155*'밸런스 조정'!C149*(1+('몬스터 성장'!G6/'몬스터 성장'!F6-1)*(U284/'밸런스 조정'!C119)^'몬스터 성장'!H6)</f>
        <v>1190.1124233</v>
      </c>
      <c r="P284">
        <v>0</v>
      </c>
      <c r="Q284">
        <v>0</v>
      </c>
      <c r="R284">
        <v>124</v>
      </c>
      <c r="S284" t="inlineStr">
        <is>
          <t>Tanker</t>
        </is>
      </c>
      <c r="T284" t="inlineStr">
        <is>
          <t>Open</t>
        </is>
      </c>
      <c r="U284">
        <v>938.2</v>
      </c>
      <c r="V284">
        <v>0</v>
      </c>
      <c r="W284">
        <v>856.2</v>
      </c>
      <c r="X284">
        <v>0</v>
      </c>
      <c r="Y284">
        <v>0</v>
      </c>
    </row>
    <row r="285">
      <c r="B285">
        <v>293</v>
      </c>
      <c r="C285" t="inlineStr">
        <is>
          <t>HighWay</t>
        </is>
      </c>
      <c r="D285" t="inlineStr">
        <is>
          <t>HWY2_159_Sedan</t>
        </is>
      </c>
      <c r="E285">
        <v>1</v>
      </c>
      <c r="F285" t="inlineStr">
        <is>
          <t>공격 반복</t>
        </is>
      </c>
      <c r="G285">
        <v>24.8</v>
      </c>
      <c r="H285">
        <v>0</v>
      </c>
      <c r="I285">
        <v>150</v>
      </c>
      <c r="J285">
        <v>0</v>
      </c>
      <c r="K285">
        <v>0</v>
      </c>
      <c r="L285" t="inlineStr">
        <is>
          <t>차량 적 · 원본 전투/성장/코인 시스템</t>
        </is>
      </c>
      <c r="M285" t="inlineStr">
        <is>
          <t>Normal</t>
        </is>
      </c>
      <c r="N285">
        <v>0</v>
      </c>
      <c r="O285">
        <f>'밸런스 조정'!C154*'밸런스 조정'!C155*'밸런스 조정'!C145*(1+('몬스터 성장'!G6/'몬스터 성장'!F6-1)*(U285/'밸런스 조정'!C119)^'몬스터 성장'!H6)</f>
        <v>618.847407548</v>
      </c>
      <c r="P285">
        <v>0</v>
      </c>
      <c r="Q285">
        <v>0</v>
      </c>
      <c r="R285">
        <v>62</v>
      </c>
      <c r="S285" t="inlineStr">
        <is>
          <t>Sedan</t>
        </is>
      </c>
      <c r="T285" t="inlineStr">
        <is>
          <t>Open</t>
        </is>
      </c>
      <c r="U285">
        <v>969.4</v>
      </c>
      <c r="V285">
        <v>0</v>
      </c>
      <c r="W285">
        <v>887.4</v>
      </c>
      <c r="X285">
        <v>0</v>
      </c>
      <c r="Y285">
        <v>0</v>
      </c>
    </row>
    <row r="286">
      <c r="B286">
        <v>294</v>
      </c>
      <c r="C286" t="inlineStr">
        <is>
          <t>HighWay</t>
        </is>
      </c>
      <c r="D286" t="inlineStr">
        <is>
          <t>HWY2_160_Taxi</t>
        </is>
      </c>
      <c r="E286">
        <v>1</v>
      </c>
      <c r="F286" t="inlineStr">
        <is>
          <t>공격 반복</t>
        </is>
      </c>
      <c r="G286">
        <v>23.2</v>
      </c>
      <c r="H286">
        <v>0</v>
      </c>
      <c r="I286">
        <v>150</v>
      </c>
      <c r="J286">
        <v>0</v>
      </c>
      <c r="K286">
        <v>0</v>
      </c>
      <c r="L286" t="inlineStr">
        <is>
          <t>차량 적 · 원본 전투/성장/코인 시스템</t>
        </is>
      </c>
      <c r="M286" t="inlineStr">
        <is>
          <t>Normal</t>
        </is>
      </c>
      <c r="N286">
        <v>0</v>
      </c>
      <c r="O286">
        <f>'밸런스 조정'!C154*'밸런스 조정'!C155*'밸런스 조정'!C146*(1+('몬스터 성장'!G6/'몬스터 성장'!F6-1)*(U286/'밸런스 조정'!C119)^'몬스터 성장'!H6)</f>
        <v>643.416843445</v>
      </c>
      <c r="P286">
        <v>0</v>
      </c>
      <c r="Q286">
        <v>0</v>
      </c>
      <c r="R286">
        <v>62</v>
      </c>
      <c r="S286" t="inlineStr">
        <is>
          <t>Taxi</t>
        </is>
      </c>
      <c r="T286" t="inlineStr">
        <is>
          <t>Open</t>
        </is>
      </c>
      <c r="U286">
        <v>1000.6</v>
      </c>
      <c r="V286">
        <v>0</v>
      </c>
      <c r="W286">
        <v>918.6</v>
      </c>
      <c r="X286">
        <v>0</v>
      </c>
      <c r="Y286">
        <v>0</v>
      </c>
    </row>
    <row r="287">
      <c r="B287">
        <v>295</v>
      </c>
      <c r="C287" t="inlineStr">
        <is>
          <t>HighWay</t>
        </is>
      </c>
      <c r="D287" t="inlineStr">
        <is>
          <t>HWY2_161_OneTon</t>
        </is>
      </c>
      <c r="E287">
        <v>1</v>
      </c>
      <c r="F287" t="inlineStr">
        <is>
          <t>공격 반복</t>
        </is>
      </c>
      <c r="G287">
        <v>26</v>
      </c>
      <c r="H287">
        <v>0</v>
      </c>
      <c r="I287">
        <v>150</v>
      </c>
      <c r="J287">
        <v>0</v>
      </c>
      <c r="K287">
        <v>0</v>
      </c>
      <c r="L287" t="inlineStr">
        <is>
          <t>차량 적 · 원본 전투/성장/코인 시스템</t>
        </is>
      </c>
      <c r="M287" t="inlineStr">
        <is>
          <t>Normal</t>
        </is>
      </c>
      <c r="N287">
        <v>0</v>
      </c>
      <c r="O287">
        <f>'밸런스 조정'!C154*'밸런스 조정'!C155*'밸런스 조정'!C147*(1+('몬스터 성장'!G6/'몬스터 성장'!F6-1)*(U287/'밸런스 조정'!C119)^'몬스터 성장'!H6)</f>
        <v>869.393875145</v>
      </c>
      <c r="P287">
        <v>0</v>
      </c>
      <c r="Q287">
        <v>0</v>
      </c>
      <c r="R287">
        <v>62</v>
      </c>
      <c r="S287" t="inlineStr">
        <is>
          <t>OneTon</t>
        </is>
      </c>
      <c r="T287" t="inlineStr">
        <is>
          <t>Open</t>
        </is>
      </c>
      <c r="U287">
        <v>1031.8</v>
      </c>
      <c r="V287">
        <v>0</v>
      </c>
      <c r="W287">
        <v>949.8</v>
      </c>
      <c r="X287">
        <v>0</v>
      </c>
      <c r="Y287">
        <v>0</v>
      </c>
    </row>
    <row r="288">
      <c r="B288">
        <v>296</v>
      </c>
      <c r="C288" t="inlineStr">
        <is>
          <t>HighWay</t>
        </is>
      </c>
      <c r="D288" t="inlineStr">
        <is>
          <t>HWY2_162_Box</t>
        </is>
      </c>
      <c r="E288">
        <v>1</v>
      </c>
      <c r="F288" t="inlineStr">
        <is>
          <t>공격 반복</t>
        </is>
      </c>
      <c r="G288">
        <v>24.4</v>
      </c>
      <c r="H288">
        <v>0</v>
      </c>
      <c r="I288">
        <v>150</v>
      </c>
      <c r="J288">
        <v>0</v>
      </c>
      <c r="K288">
        <v>0</v>
      </c>
      <c r="L288" t="inlineStr">
        <is>
          <t>차량 적 · 원본 전투/성장/코인 시스템</t>
        </is>
      </c>
      <c r="M288" t="inlineStr">
        <is>
          <t>Normal</t>
        </is>
      </c>
      <c r="N288">
        <v>0</v>
      </c>
      <c r="O288">
        <f>'밸런스 조정'!C154*'밸런스 조정'!C155*'밸런스 조정'!C148*(1+('몬스터 성장'!G6/'몬스터 성장'!F6-1)*(U288/'밸런스 조정'!C119)^'몬스터 성장'!H6)</f>
        <v>1111.82469638</v>
      </c>
      <c r="P288">
        <v>0</v>
      </c>
      <c r="Q288">
        <v>0</v>
      </c>
      <c r="R288">
        <v>62</v>
      </c>
      <c r="S288" t="inlineStr">
        <is>
          <t>Box</t>
        </is>
      </c>
      <c r="T288" t="inlineStr">
        <is>
          <t>Open</t>
        </is>
      </c>
      <c r="U288">
        <v>1063</v>
      </c>
      <c r="V288">
        <v>0</v>
      </c>
      <c r="W288">
        <v>981</v>
      </c>
      <c r="X288">
        <v>0</v>
      </c>
      <c r="Y288">
        <v>0</v>
      </c>
    </row>
    <row r="289">
      <c r="B289">
        <v>297</v>
      </c>
      <c r="C289" t="inlineStr">
        <is>
          <t>HighWay</t>
        </is>
      </c>
      <c r="D289" t="inlineStr">
        <is>
          <t>HWY2_163_Sedan</t>
        </is>
      </c>
      <c r="E289">
        <v>1</v>
      </c>
      <c r="F289" t="inlineStr">
        <is>
          <t>공격 반복</t>
        </is>
      </c>
      <c r="G289">
        <v>22.8</v>
      </c>
      <c r="H289">
        <v>0</v>
      </c>
      <c r="I289">
        <v>150</v>
      </c>
      <c r="J289">
        <v>0</v>
      </c>
      <c r="K289">
        <v>0</v>
      </c>
      <c r="L289" t="inlineStr">
        <is>
          <t>차량 적 · 원본 전투/성장/코인 시스템</t>
        </is>
      </c>
      <c r="M289" t="inlineStr">
        <is>
          <t>Normal</t>
        </is>
      </c>
      <c r="N289">
        <v>0</v>
      </c>
      <c r="O289">
        <f>'밸런스 조정'!C154*'밸런스 조정'!C155*'밸런스 조정'!C145*(1+('몬스터 성장'!G6/'몬스터 성장'!F6-1)*(U289/'밸런스 조정'!C119)^'몬스터 성장'!H6)</f>
        <v>721.794591137</v>
      </c>
      <c r="P289">
        <v>0</v>
      </c>
      <c r="Q289">
        <v>0</v>
      </c>
      <c r="R289">
        <v>62</v>
      </c>
      <c r="S289" t="inlineStr">
        <is>
          <t>Sedan</t>
        </is>
      </c>
      <c r="T289" t="inlineStr">
        <is>
          <t>Open</t>
        </is>
      </c>
      <c r="U289">
        <v>1094.2</v>
      </c>
      <c r="V289">
        <v>0</v>
      </c>
      <c r="W289">
        <v>1012.2</v>
      </c>
      <c r="X289">
        <v>0</v>
      </c>
      <c r="Y289">
        <v>0</v>
      </c>
    </row>
    <row r="290">
      <c r="B290">
        <v>298</v>
      </c>
      <c r="C290" t="inlineStr">
        <is>
          <t>HighWay</t>
        </is>
      </c>
      <c r="D290" t="inlineStr">
        <is>
          <t>HWY2_164_Tanker</t>
        </is>
      </c>
      <c r="E290">
        <v>1</v>
      </c>
      <c r="F290" t="inlineStr">
        <is>
          <t>공격 반복</t>
        </is>
      </c>
      <c r="G290">
        <v>25.6</v>
      </c>
      <c r="H290">
        <v>0</v>
      </c>
      <c r="I290">
        <v>150</v>
      </c>
      <c r="J290">
        <v>0</v>
      </c>
      <c r="K290">
        <v>0</v>
      </c>
      <c r="L290" t="inlineStr">
        <is>
          <t>차량 적 · 원본 전투/성장/코인 시스템</t>
        </is>
      </c>
      <c r="M290" t="inlineStr">
        <is>
          <t>Normal</t>
        </is>
      </c>
      <c r="N290">
        <v>0</v>
      </c>
      <c r="O290">
        <f>'밸런스 조정'!C154*'밸런스 조정'!C155*'밸런스 조정'!C149*(1+('몬스터 성장'!G6/'몬스터 성장'!F6-1)*(U290/'밸런스 조정'!C119)^'몬스터 성장'!H6)</f>
        <v>1498.95397407</v>
      </c>
      <c r="P290">
        <v>0</v>
      </c>
      <c r="Q290">
        <v>0</v>
      </c>
      <c r="R290">
        <v>124</v>
      </c>
      <c r="S290" t="inlineStr">
        <is>
          <t>Tanker</t>
        </is>
      </c>
      <c r="T290" t="inlineStr">
        <is>
          <t>Open</t>
        </is>
      </c>
      <c r="U290">
        <v>1125.4</v>
      </c>
      <c r="V290">
        <v>0</v>
      </c>
      <c r="W290">
        <v>1043.4</v>
      </c>
      <c r="X290">
        <v>0</v>
      </c>
      <c r="Y290">
        <v>0</v>
      </c>
    </row>
    <row r="291">
      <c r="B291">
        <v>299</v>
      </c>
      <c r="C291" t="inlineStr">
        <is>
          <t>HighWay</t>
        </is>
      </c>
      <c r="D291" t="inlineStr">
        <is>
          <t>HWY2_165_Sedan</t>
        </is>
      </c>
      <c r="E291">
        <v>1</v>
      </c>
      <c r="F291" t="inlineStr">
        <is>
          <t>공격 반복</t>
        </is>
      </c>
      <c r="G291">
        <v>24</v>
      </c>
      <c r="H291">
        <v>0</v>
      </c>
      <c r="I291">
        <v>150</v>
      </c>
      <c r="J291">
        <v>0</v>
      </c>
      <c r="K291">
        <v>0</v>
      </c>
      <c r="L291" t="inlineStr">
        <is>
          <t>차량 적 · 원본 전투/성장/코인 시스템</t>
        </is>
      </c>
      <c r="M291" t="inlineStr">
        <is>
          <t>Normal</t>
        </is>
      </c>
      <c r="N291">
        <v>0</v>
      </c>
      <c r="O291">
        <f>'밸런스 조정'!C154*'밸런스 조정'!C155*'밸런스 조정'!C145*(1+('몬스터 성장'!G6/'몬스터 성장'!F6-1)*(U291/'밸런스 조정'!C119)^'몬스터 성장'!H6)</f>
        <v>777.937622932</v>
      </c>
      <c r="P291">
        <v>0</v>
      </c>
      <c r="Q291">
        <v>0</v>
      </c>
      <c r="R291">
        <v>62</v>
      </c>
      <c r="S291" t="inlineStr">
        <is>
          <t>Sedan</t>
        </is>
      </c>
      <c r="T291" t="inlineStr">
        <is>
          <t>Open</t>
        </is>
      </c>
      <c r="U291">
        <v>1156.6</v>
      </c>
      <c r="V291">
        <v>0</v>
      </c>
      <c r="W291">
        <v>1074.6</v>
      </c>
      <c r="X291">
        <v>0</v>
      </c>
      <c r="Y291">
        <v>0</v>
      </c>
    </row>
    <row r="292">
      <c r="B292">
        <v>300</v>
      </c>
      <c r="C292" t="inlineStr">
        <is>
          <t>HighWay</t>
        </is>
      </c>
      <c r="D292" t="inlineStr">
        <is>
          <t>HWY2_166_Taxi</t>
        </is>
      </c>
      <c r="E292">
        <v>1</v>
      </c>
      <c r="F292" t="inlineStr">
        <is>
          <t>공격 반복</t>
        </is>
      </c>
      <c r="G292">
        <v>23.2</v>
      </c>
      <c r="H292">
        <v>0</v>
      </c>
      <c r="I292">
        <v>150</v>
      </c>
      <c r="J292">
        <v>0</v>
      </c>
      <c r="K292">
        <v>0</v>
      </c>
      <c r="L292" t="inlineStr">
        <is>
          <t>차량 적 · 원본 전투/성장/코인 시스템</t>
        </is>
      </c>
      <c r="M292" t="inlineStr">
        <is>
          <t>Normal</t>
        </is>
      </c>
      <c r="N292">
        <v>0</v>
      </c>
      <c r="O292">
        <f>'밸런스 조정'!C154*'밸런스 조정'!C155*'밸런스 조정'!C146*(1+('몬스터 성장'!G6/'몬스터 성장'!F6-1)*(U292/'밸런스 조정'!C119)^'몬스터 성장'!H6)</f>
        <v>388.547976331</v>
      </c>
      <c r="P292">
        <v>0</v>
      </c>
      <c r="Q292">
        <v>0</v>
      </c>
      <c r="R292">
        <v>62</v>
      </c>
      <c r="S292" t="inlineStr">
        <is>
          <t>Taxi</t>
        </is>
      </c>
      <c r="T292" t="inlineStr">
        <is>
          <t>Open</t>
        </is>
      </c>
      <c r="U292">
        <v>603</v>
      </c>
      <c r="V292">
        <v>1</v>
      </c>
      <c r="W292">
        <v>521</v>
      </c>
      <c r="X292">
        <v>0</v>
      </c>
      <c r="Y292">
        <v>0</v>
      </c>
    </row>
    <row r="293">
      <c r="B293">
        <v>301</v>
      </c>
      <c r="C293" t="inlineStr">
        <is>
          <t>HighWay</t>
        </is>
      </c>
      <c r="D293" t="inlineStr">
        <is>
          <t>HWY2_167_OneTon</t>
        </is>
      </c>
      <c r="E293">
        <v>1</v>
      </c>
      <c r="F293" t="inlineStr">
        <is>
          <t>공격 반복</t>
        </is>
      </c>
      <c r="G293">
        <v>26</v>
      </c>
      <c r="H293">
        <v>0</v>
      </c>
      <c r="I293">
        <v>150</v>
      </c>
      <c r="J293">
        <v>0</v>
      </c>
      <c r="K293">
        <v>0</v>
      </c>
      <c r="L293" t="inlineStr">
        <is>
          <t>차량 적 · 원본 전투/성장/코인 시스템</t>
        </is>
      </c>
      <c r="M293" t="inlineStr">
        <is>
          <t>Normal</t>
        </is>
      </c>
      <c r="N293">
        <v>0</v>
      </c>
      <c r="O293">
        <f>'밸런스 조정'!C154*'밸런스 조정'!C155*'밸런스 조정'!C147*(1+('몬스터 성장'!G6/'몬스터 성장'!F6-1)*(U293/'밸런스 조정'!C119)^'몬스터 성장'!H6)</f>
        <v>525.171505231</v>
      </c>
      <c r="P293">
        <v>0</v>
      </c>
      <c r="Q293">
        <v>0</v>
      </c>
      <c r="R293">
        <v>62</v>
      </c>
      <c r="S293" t="inlineStr">
        <is>
          <t>OneTon</t>
        </is>
      </c>
      <c r="T293" t="inlineStr">
        <is>
          <t>Open</t>
        </is>
      </c>
      <c r="U293">
        <v>634.2</v>
      </c>
      <c r="V293">
        <v>1</v>
      </c>
      <c r="W293">
        <v>552.2</v>
      </c>
      <c r="X293">
        <v>0</v>
      </c>
      <c r="Y293">
        <v>0</v>
      </c>
    </row>
    <row r="294">
      <c r="B294">
        <v>302</v>
      </c>
      <c r="C294" t="inlineStr">
        <is>
          <t>HighWay</t>
        </is>
      </c>
      <c r="D294" t="inlineStr">
        <is>
          <t>HWY2_168_Box</t>
        </is>
      </c>
      <c r="E294">
        <v>1</v>
      </c>
      <c r="F294" t="inlineStr">
        <is>
          <t>공격 반복</t>
        </is>
      </c>
      <c r="G294">
        <v>24.4</v>
      </c>
      <c r="H294">
        <v>0</v>
      </c>
      <c r="I294">
        <v>150</v>
      </c>
      <c r="J294">
        <v>0</v>
      </c>
      <c r="K294">
        <v>0</v>
      </c>
      <c r="L294" t="inlineStr">
        <is>
          <t>차량 적 · 원본 전투/성장/코인 시스템</t>
        </is>
      </c>
      <c r="M294" t="inlineStr">
        <is>
          <t>Normal</t>
        </is>
      </c>
      <c r="N294">
        <v>0</v>
      </c>
      <c r="O294">
        <f>'밸런스 조정'!C154*'밸런스 조정'!C155*'밸런스 조정'!C148*(1+('몬스터 성장'!G6/'몬스터 성장'!F6-1)*(U294/'밸런스 조정'!C119)^'몬스터 성장'!H6)</f>
        <v>672.298280899</v>
      </c>
      <c r="P294">
        <v>0</v>
      </c>
      <c r="Q294">
        <v>0</v>
      </c>
      <c r="R294">
        <v>62</v>
      </c>
      <c r="S294" t="inlineStr">
        <is>
          <t>Box</t>
        </is>
      </c>
      <c r="T294" t="inlineStr">
        <is>
          <t>Open</t>
        </is>
      </c>
      <c r="U294">
        <v>665.4</v>
      </c>
      <c r="V294">
        <v>1</v>
      </c>
      <c r="W294">
        <v>583.4</v>
      </c>
      <c r="X294">
        <v>0</v>
      </c>
      <c r="Y294">
        <v>0</v>
      </c>
    </row>
    <row r="295">
      <c r="B295">
        <v>303</v>
      </c>
      <c r="C295" t="inlineStr">
        <is>
          <t>HighWay</t>
        </is>
      </c>
      <c r="D295" t="inlineStr">
        <is>
          <t>HWY2_169_Sedan</t>
        </is>
      </c>
      <c r="E295">
        <v>1</v>
      </c>
      <c r="F295" t="inlineStr">
        <is>
          <t>공격 반복</t>
        </is>
      </c>
      <c r="G295">
        <v>22.8</v>
      </c>
      <c r="H295">
        <v>0</v>
      </c>
      <c r="I295">
        <v>150</v>
      </c>
      <c r="J295">
        <v>0</v>
      </c>
      <c r="K295">
        <v>0</v>
      </c>
      <c r="L295" t="inlineStr">
        <is>
          <t>차량 적 · 원본 전투/성장/코인 시스템</t>
        </is>
      </c>
      <c r="M295" t="inlineStr">
        <is>
          <t>Normal</t>
        </is>
      </c>
      <c r="N295">
        <v>0</v>
      </c>
      <c r="O295">
        <f>'밸런스 조정'!C154*'밸런스 조정'!C155*'밸런스 조정'!C145*(1+('몬스터 성장'!G6/'몬스터 성장'!F6-1)*(U295/'밸런스 조정'!C119)^'몬스터 성장'!H6)</f>
        <v>437.173010178</v>
      </c>
      <c r="P295">
        <v>0</v>
      </c>
      <c r="Q295">
        <v>0</v>
      </c>
      <c r="R295">
        <v>62</v>
      </c>
      <c r="S295" t="inlineStr">
        <is>
          <t>Sedan</t>
        </is>
      </c>
      <c r="T295" t="inlineStr">
        <is>
          <t>Open</t>
        </is>
      </c>
      <c r="U295">
        <v>696.6</v>
      </c>
      <c r="V295">
        <v>1</v>
      </c>
      <c r="W295">
        <v>614.6</v>
      </c>
      <c r="X295">
        <v>0</v>
      </c>
      <c r="Y295">
        <v>0</v>
      </c>
    </row>
    <row r="296">
      <c r="B296">
        <v>304</v>
      </c>
      <c r="C296" t="inlineStr">
        <is>
          <t>HighWay</t>
        </is>
      </c>
      <c r="D296" t="inlineStr">
        <is>
          <t>HWY2_170_Tanker</t>
        </is>
      </c>
      <c r="E296">
        <v>1</v>
      </c>
      <c r="F296" t="inlineStr">
        <is>
          <t>공격 반복</t>
        </is>
      </c>
      <c r="G296">
        <v>25.6</v>
      </c>
      <c r="H296">
        <v>0</v>
      </c>
      <c r="I296">
        <v>150</v>
      </c>
      <c r="J296">
        <v>0</v>
      </c>
      <c r="K296">
        <v>0</v>
      </c>
      <c r="L296" t="inlineStr">
        <is>
          <t>차량 적 · 원본 전투/성장/코인 시스템</t>
        </is>
      </c>
      <c r="M296" t="inlineStr">
        <is>
          <t>Normal</t>
        </is>
      </c>
      <c r="N296">
        <v>0</v>
      </c>
      <c r="O296">
        <f>'밸런스 조정'!C154*'밸런스 조정'!C155*'밸런스 조정'!C149*(1+('몬스터 성장'!G6/'몬스터 성장'!F6-1)*(U296/'밸런스 조정'!C119)^'몬스터 성장'!H6)</f>
        <v>909.875669586</v>
      </c>
      <c r="P296">
        <v>0</v>
      </c>
      <c r="Q296">
        <v>0</v>
      </c>
      <c r="R296">
        <v>124</v>
      </c>
      <c r="S296" t="inlineStr">
        <is>
          <t>Tanker</t>
        </is>
      </c>
      <c r="T296" t="inlineStr">
        <is>
          <t>Open</t>
        </is>
      </c>
      <c r="U296">
        <v>727.8</v>
      </c>
      <c r="V296">
        <v>1</v>
      </c>
      <c r="W296">
        <v>645.8</v>
      </c>
      <c r="X296">
        <v>0</v>
      </c>
      <c r="Y296">
        <v>0</v>
      </c>
    </row>
    <row r="297">
      <c r="B297">
        <v>305</v>
      </c>
      <c r="C297" t="inlineStr">
        <is>
          <t>HighWay</t>
        </is>
      </c>
      <c r="D297" t="inlineStr">
        <is>
          <t>HWY2_171_Sedan</t>
        </is>
      </c>
      <c r="E297">
        <v>1</v>
      </c>
      <c r="F297" t="inlineStr">
        <is>
          <t>공격 반복</t>
        </is>
      </c>
      <c r="G297">
        <v>24</v>
      </c>
      <c r="H297">
        <v>0</v>
      </c>
      <c r="I297">
        <v>150</v>
      </c>
      <c r="J297">
        <v>0</v>
      </c>
      <c r="K297">
        <v>0</v>
      </c>
      <c r="L297" t="inlineStr">
        <is>
          <t>차량 적 · 원본 전투/성장/코인 시스템</t>
        </is>
      </c>
      <c r="M297" t="inlineStr">
        <is>
          <t>Normal</t>
        </is>
      </c>
      <c r="N297">
        <v>0</v>
      </c>
      <c r="O297">
        <f>'밸런스 조정'!C154*'밸런스 조정'!C155*'밸런스 조정'!C145*(1+('몬스터 성장'!G6/'몬스터 성장'!F6-1)*(U297/'밸런스 조정'!C119)^'몬스터 성장'!H6)</f>
        <v>473.480899408</v>
      </c>
      <c r="P297">
        <v>0</v>
      </c>
      <c r="Q297">
        <v>0</v>
      </c>
      <c r="R297">
        <v>62</v>
      </c>
      <c r="S297" t="inlineStr">
        <is>
          <t>Sedan</t>
        </is>
      </c>
      <c r="T297" t="inlineStr">
        <is>
          <t>Open</t>
        </is>
      </c>
      <c r="U297">
        <v>759</v>
      </c>
      <c r="V297">
        <v>1</v>
      </c>
      <c r="W297">
        <v>677</v>
      </c>
      <c r="X297">
        <v>0</v>
      </c>
      <c r="Y297">
        <v>0</v>
      </c>
    </row>
    <row r="298">
      <c r="B298">
        <v>306</v>
      </c>
      <c r="C298" t="inlineStr">
        <is>
          <t>HighWay</t>
        </is>
      </c>
      <c r="D298" t="inlineStr">
        <is>
          <t>HWY2_172_Taxi</t>
        </is>
      </c>
      <c r="E298">
        <v>1</v>
      </c>
      <c r="F298" t="inlineStr">
        <is>
          <t>공격 반복</t>
        </is>
      </c>
      <c r="G298">
        <v>22.4</v>
      </c>
      <c r="H298">
        <v>0</v>
      </c>
      <c r="I298">
        <v>150</v>
      </c>
      <c r="J298">
        <v>0</v>
      </c>
      <c r="K298">
        <v>0</v>
      </c>
      <c r="L298" t="inlineStr">
        <is>
          <t>차량 적 · 원본 전투/성장/코인 시스템</t>
        </is>
      </c>
      <c r="M298" t="inlineStr">
        <is>
          <t>Normal</t>
        </is>
      </c>
      <c r="N298">
        <v>0</v>
      </c>
      <c r="O298">
        <f>'밸런스 조정'!C154*'밸런스 조정'!C155*'밸런스 조정'!C146*(1+('몬스터 성장'!G6/'몬스터 성장'!F6-1)*(U298/'밸런스 조정'!C119)^'몬스터 성장'!H6)</f>
        <v>492.802204024</v>
      </c>
      <c r="P298">
        <v>0</v>
      </c>
      <c r="Q298">
        <v>0</v>
      </c>
      <c r="R298">
        <v>62</v>
      </c>
      <c r="S298" t="inlineStr">
        <is>
          <t>Taxi</t>
        </is>
      </c>
      <c r="T298" t="inlineStr">
        <is>
          <t>Open</t>
        </is>
      </c>
      <c r="U298">
        <v>790.2</v>
      </c>
      <c r="V298">
        <v>1</v>
      </c>
      <c r="W298">
        <v>708.2</v>
      </c>
      <c r="X298">
        <v>0</v>
      </c>
      <c r="Y298">
        <v>0</v>
      </c>
    </row>
    <row r="299">
      <c r="B299">
        <v>307</v>
      </c>
      <c r="C299" t="inlineStr">
        <is>
          <t>HighWay</t>
        </is>
      </c>
      <c r="D299" t="inlineStr">
        <is>
          <t>HWY2_173_OneTon</t>
        </is>
      </c>
      <c r="E299">
        <v>1</v>
      </c>
      <c r="F299" t="inlineStr">
        <is>
          <t>공격 반복</t>
        </is>
      </c>
      <c r="G299">
        <v>25.2</v>
      </c>
      <c r="H299">
        <v>0</v>
      </c>
      <c r="I299">
        <v>150</v>
      </c>
      <c r="J299">
        <v>0</v>
      </c>
      <c r="K299">
        <v>0</v>
      </c>
      <c r="L299" t="inlineStr">
        <is>
          <t>차량 적 · 원본 전투/성장/코인 시스템</t>
        </is>
      </c>
      <c r="M299" t="inlineStr">
        <is>
          <t>Normal</t>
        </is>
      </c>
      <c r="N299">
        <v>0</v>
      </c>
      <c r="O299">
        <f>'밸런스 조정'!C154*'밸런스 조정'!C155*'밸런스 조정'!C147*(1+('몬스터 성장'!G6/'몬스터 성장'!F6-1)*(U299/'밸런스 조정'!C119)^'몬스터 성장'!H6)</f>
        <v>666.772273231</v>
      </c>
      <c r="P299">
        <v>0</v>
      </c>
      <c r="Q299">
        <v>0</v>
      </c>
      <c r="R299">
        <v>62</v>
      </c>
      <c r="S299" t="inlineStr">
        <is>
          <t>OneTon</t>
        </is>
      </c>
      <c r="T299" t="inlineStr">
        <is>
          <t>Open</t>
        </is>
      </c>
      <c r="U299">
        <v>821.4</v>
      </c>
      <c r="V299">
        <v>1</v>
      </c>
      <c r="W299">
        <v>739.4</v>
      </c>
      <c r="X299">
        <v>0</v>
      </c>
      <c r="Y299">
        <v>0</v>
      </c>
    </row>
    <row r="300">
      <c r="B300">
        <v>308</v>
      </c>
      <c r="C300" t="inlineStr">
        <is>
          <t>HighWay</t>
        </is>
      </c>
      <c r="D300" t="inlineStr">
        <is>
          <t>HWY2_174_Box</t>
        </is>
      </c>
      <c r="E300">
        <v>1</v>
      </c>
      <c r="F300" t="inlineStr">
        <is>
          <t>공격 반복</t>
        </is>
      </c>
      <c r="G300">
        <v>23.6</v>
      </c>
      <c r="H300">
        <v>0</v>
      </c>
      <c r="I300">
        <v>150</v>
      </c>
      <c r="J300">
        <v>0</v>
      </c>
      <c r="K300">
        <v>0</v>
      </c>
      <c r="L300" t="inlineStr">
        <is>
          <t>차량 적 · 원본 전투/성장/코인 시스템</t>
        </is>
      </c>
      <c r="M300" t="inlineStr">
        <is>
          <t>Normal</t>
        </is>
      </c>
      <c r="N300">
        <v>0</v>
      </c>
      <c r="O300">
        <f>'밸런스 조정'!C154*'밸런스 조정'!C155*'밸런스 조정'!C148*(1+('몬스터 성장'!G6/'몬스터 성장'!F6-1)*(U300/'밸런스 조정'!C119)^'몬스터 성장'!H6)</f>
        <v>854.047253207</v>
      </c>
      <c r="P300">
        <v>0</v>
      </c>
      <c r="Q300">
        <v>0</v>
      </c>
      <c r="R300">
        <v>62</v>
      </c>
      <c r="S300" t="inlineStr">
        <is>
          <t>Box</t>
        </is>
      </c>
      <c r="T300" t="inlineStr">
        <is>
          <t>Open</t>
        </is>
      </c>
      <c r="U300">
        <v>852.6</v>
      </c>
      <c r="V300">
        <v>1</v>
      </c>
      <c r="W300">
        <v>770.6</v>
      </c>
      <c r="X300">
        <v>0</v>
      </c>
      <c r="Y300">
        <v>0</v>
      </c>
    </row>
    <row r="301">
      <c r="B301">
        <v>309</v>
      </c>
      <c r="C301" t="inlineStr">
        <is>
          <t>HighWay</t>
        </is>
      </c>
      <c r="D301" t="inlineStr">
        <is>
          <t>HWY2_175_Sedan</t>
        </is>
      </c>
      <c r="E301">
        <v>1</v>
      </c>
      <c r="F301" t="inlineStr">
        <is>
          <t>공격 반복</t>
        </is>
      </c>
      <c r="G301">
        <v>22</v>
      </c>
      <c r="H301">
        <v>0</v>
      </c>
      <c r="I301">
        <v>150</v>
      </c>
      <c r="J301">
        <v>0</v>
      </c>
      <c r="K301">
        <v>0</v>
      </c>
      <c r="L301" t="inlineStr">
        <is>
          <t>차량 적 · 원본 전투/성장/코인 시스템</t>
        </is>
      </c>
      <c r="M301" t="inlineStr">
        <is>
          <t>Normal</t>
        </is>
      </c>
      <c r="N301">
        <v>0</v>
      </c>
      <c r="O301">
        <f>'밸런스 조정'!C154*'밸런스 조정'!C155*'밸런스 조정'!C145*(1+('몬스터 성장'!G6/'몬스터 성장'!F6-1)*(U301/'밸런스 조정'!C119)^'몬스터 성장'!H6)</f>
        <v>555.43555787</v>
      </c>
      <c r="P301">
        <v>0</v>
      </c>
      <c r="Q301">
        <v>0</v>
      </c>
      <c r="R301">
        <v>62</v>
      </c>
      <c r="S301" t="inlineStr">
        <is>
          <t>Sedan</t>
        </is>
      </c>
      <c r="T301" t="inlineStr">
        <is>
          <t>Open</t>
        </is>
      </c>
      <c r="U301">
        <v>883.8</v>
      </c>
      <c r="V301">
        <v>1</v>
      </c>
      <c r="W301">
        <v>801.8</v>
      </c>
      <c r="X301">
        <v>0</v>
      </c>
      <c r="Y301">
        <v>0</v>
      </c>
    </row>
    <row r="302">
      <c r="B302">
        <v>310</v>
      </c>
      <c r="C302" t="inlineStr">
        <is>
          <t>HighWay</t>
        </is>
      </c>
      <c r="D302" t="inlineStr">
        <is>
          <t>HWY2_176_Tanker</t>
        </is>
      </c>
      <c r="E302">
        <v>1</v>
      </c>
      <c r="F302" t="inlineStr">
        <is>
          <t>공격 반복</t>
        </is>
      </c>
      <c r="G302">
        <v>24.8</v>
      </c>
      <c r="H302">
        <v>0</v>
      </c>
      <c r="I302">
        <v>150</v>
      </c>
      <c r="J302">
        <v>0</v>
      </c>
      <c r="K302">
        <v>0</v>
      </c>
      <c r="L302" t="inlineStr">
        <is>
          <t>차량 적 · 원본 전투/성장/코인 시스템</t>
        </is>
      </c>
      <c r="M302" t="inlineStr">
        <is>
          <t>Normal</t>
        </is>
      </c>
      <c r="N302">
        <v>0</v>
      </c>
      <c r="O302">
        <f>'밸런스 조정'!C154*'밸런스 조정'!C155*'밸런스 조정'!C149*(1+('몬스터 성장'!G6/'몬스터 성장'!F6-1)*(U302/'밸런스 조정'!C119)^'몬스터 성장'!H6)</f>
        <v>1155.73964497</v>
      </c>
      <c r="P302">
        <v>0</v>
      </c>
      <c r="Q302">
        <v>0</v>
      </c>
      <c r="R302">
        <v>124</v>
      </c>
      <c r="S302" t="inlineStr">
        <is>
          <t>Tanker</t>
        </is>
      </c>
      <c r="T302" t="inlineStr">
        <is>
          <t>Open</t>
        </is>
      </c>
      <c r="U302">
        <v>915</v>
      </c>
      <c r="V302">
        <v>1</v>
      </c>
      <c r="W302">
        <v>833</v>
      </c>
      <c r="X302">
        <v>0</v>
      </c>
      <c r="Y302">
        <v>0</v>
      </c>
    </row>
    <row r="303">
      <c r="B303">
        <v>311</v>
      </c>
      <c r="C303" t="inlineStr">
        <is>
          <t>HighWay</t>
        </is>
      </c>
      <c r="D303" t="inlineStr">
        <is>
          <t>HWY2_177_Sedan</t>
        </is>
      </c>
      <c r="E303">
        <v>1</v>
      </c>
      <c r="F303" t="inlineStr">
        <is>
          <t>공격 반복</t>
        </is>
      </c>
      <c r="G303">
        <v>23.2</v>
      </c>
      <c r="H303">
        <v>0</v>
      </c>
      <c r="I303">
        <v>150</v>
      </c>
      <c r="J303">
        <v>0</v>
      </c>
      <c r="K303">
        <v>0</v>
      </c>
      <c r="L303" t="inlineStr">
        <is>
          <t>차량 적 · 원본 전투/성장/코인 시스템</t>
        </is>
      </c>
      <c r="M303" t="inlineStr">
        <is>
          <t>Normal</t>
        </is>
      </c>
      <c r="N303">
        <v>0</v>
      </c>
      <c r="O303">
        <f>'밸런스 조정'!C154*'밸런스 조정'!C155*'밸런스 조정'!C145*(1+('몬스터 성장'!G6/'몬스터 성장'!F6-1)*(U303/'밸런스 조정'!C119)^'몬스터 성장'!H6)</f>
        <v>601.082327101</v>
      </c>
      <c r="P303">
        <v>0</v>
      </c>
      <c r="Q303">
        <v>0</v>
      </c>
      <c r="R303">
        <v>62</v>
      </c>
      <c r="S303" t="inlineStr">
        <is>
          <t>Sedan</t>
        </is>
      </c>
      <c r="T303" t="inlineStr">
        <is>
          <t>Open</t>
        </is>
      </c>
      <c r="U303">
        <v>946.2</v>
      </c>
      <c r="V303">
        <v>1</v>
      </c>
      <c r="W303">
        <v>864.2</v>
      </c>
      <c r="X303">
        <v>0</v>
      </c>
      <c r="Y303">
        <v>0</v>
      </c>
    </row>
    <row r="304">
      <c r="B304">
        <v>312</v>
      </c>
      <c r="C304" t="inlineStr">
        <is>
          <t>HighWay</t>
        </is>
      </c>
      <c r="D304" t="inlineStr">
        <is>
          <t>HWY2_178_Taxi</t>
        </is>
      </c>
      <c r="E304">
        <v>1</v>
      </c>
      <c r="F304" t="inlineStr">
        <is>
          <t>공격 반복</t>
        </is>
      </c>
      <c r="G304">
        <v>26</v>
      </c>
      <c r="H304">
        <v>0</v>
      </c>
      <c r="I304">
        <v>150</v>
      </c>
      <c r="J304">
        <v>0</v>
      </c>
      <c r="K304">
        <v>0</v>
      </c>
      <c r="L304" t="inlineStr">
        <is>
          <t>차량 적 · 원본 전투/성장/코인 시스템</t>
        </is>
      </c>
      <c r="M304" t="inlineStr">
        <is>
          <t>Normal</t>
        </is>
      </c>
      <c r="N304">
        <v>0</v>
      </c>
      <c r="O304">
        <f>'밸런스 조정'!C154*'밸런스 조정'!C155*'밸런스 조정'!C146*(1+('몬스터 성장'!G6/'몬스터 성장'!F6-1)*(U304/'밸런스 조정'!C119)^'몬스터 성장'!H6)</f>
        <v>625.073071716</v>
      </c>
      <c r="P304">
        <v>0</v>
      </c>
      <c r="Q304">
        <v>0</v>
      </c>
      <c r="R304">
        <v>62</v>
      </c>
      <c r="S304" t="inlineStr">
        <is>
          <t>Taxi</t>
        </is>
      </c>
      <c r="T304" t="inlineStr">
        <is>
          <t>Open</t>
        </is>
      </c>
      <c r="U304">
        <v>977.4</v>
      </c>
      <c r="V304">
        <v>1</v>
      </c>
      <c r="W304">
        <v>895.4</v>
      </c>
      <c r="X304">
        <v>0</v>
      </c>
      <c r="Y304">
        <v>0</v>
      </c>
    </row>
    <row r="305">
      <c r="B305">
        <v>313</v>
      </c>
      <c r="C305" t="inlineStr">
        <is>
          <t>HighWay</t>
        </is>
      </c>
      <c r="D305" t="inlineStr">
        <is>
          <t>HWY2_179_OneTon</t>
        </is>
      </c>
      <c r="E305">
        <v>1</v>
      </c>
      <c r="F305" t="inlineStr">
        <is>
          <t>공격 반복</t>
        </is>
      </c>
      <c r="G305">
        <v>24.4</v>
      </c>
      <c r="H305">
        <v>0</v>
      </c>
      <c r="I305">
        <v>150</v>
      </c>
      <c r="J305">
        <v>0</v>
      </c>
      <c r="K305">
        <v>0</v>
      </c>
      <c r="L305" t="inlineStr">
        <is>
          <t>차량 적 · 원본 전투/성장/코인 시스템</t>
        </is>
      </c>
      <c r="M305" t="inlineStr">
        <is>
          <t>Normal</t>
        </is>
      </c>
      <c r="N305">
        <v>0</v>
      </c>
      <c r="O305">
        <f>'밸런스 조정'!C154*'밸런스 조정'!C155*'밸런스 조정'!C147*(1+('몬스터 성장'!G6/'몬스터 성장'!F6-1)*(U305/'밸런스 조정'!C119)^'몬스터 성장'!H6)</f>
        <v>844.794673231</v>
      </c>
      <c r="P305">
        <v>0</v>
      </c>
      <c r="Q305">
        <v>0</v>
      </c>
      <c r="R305">
        <v>62</v>
      </c>
      <c r="S305" t="inlineStr">
        <is>
          <t>OneTon</t>
        </is>
      </c>
      <c r="T305" t="inlineStr">
        <is>
          <t>Open</t>
        </is>
      </c>
      <c r="U305">
        <v>1008.6</v>
      </c>
      <c r="V305">
        <v>1</v>
      </c>
      <c r="W305">
        <v>926.6</v>
      </c>
      <c r="X305">
        <v>0</v>
      </c>
      <c r="Y305">
        <v>0</v>
      </c>
    </row>
    <row r="306">
      <c r="B306">
        <v>314</v>
      </c>
      <c r="C306" t="inlineStr">
        <is>
          <t>HighWay</t>
        </is>
      </c>
      <c r="D306" t="inlineStr">
        <is>
          <t>HWY2_180_Box</t>
        </is>
      </c>
      <c r="E306">
        <v>1</v>
      </c>
      <c r="F306" t="inlineStr">
        <is>
          <t>공격 반복</t>
        </is>
      </c>
      <c r="G306">
        <v>22.8</v>
      </c>
      <c r="H306">
        <v>0</v>
      </c>
      <c r="I306">
        <v>150</v>
      </c>
      <c r="J306">
        <v>0</v>
      </c>
      <c r="K306">
        <v>0</v>
      </c>
      <c r="L306" t="inlineStr">
        <is>
          <t>차량 적 · 원본 전투/성장/코인 시스템</t>
        </is>
      </c>
      <c r="M306" t="inlineStr">
        <is>
          <t>Normal</t>
        </is>
      </c>
      <c r="N306">
        <v>0</v>
      </c>
      <c r="O306">
        <f>'밸런스 조정'!C154*'밸런스 조정'!C155*'밸런스 조정'!C148*(1+('몬스터 성장'!G6/'몬스터 성장'!F6-1)*(U306/'밸런스 조정'!C119)^'몬스터 성장'!H6)</f>
        <v>1080.62284951</v>
      </c>
      <c r="P306">
        <v>0</v>
      </c>
      <c r="Q306">
        <v>0</v>
      </c>
      <c r="R306">
        <v>62</v>
      </c>
      <c r="S306" t="inlineStr">
        <is>
          <t>Box</t>
        </is>
      </c>
      <c r="T306" t="inlineStr">
        <is>
          <t>Open</t>
        </is>
      </c>
      <c r="U306">
        <v>1039.8</v>
      </c>
      <c r="V306">
        <v>1</v>
      </c>
      <c r="W306">
        <v>957.8</v>
      </c>
      <c r="X306">
        <v>0</v>
      </c>
      <c r="Y306">
        <v>0</v>
      </c>
    </row>
    <row r="307">
      <c r="B307">
        <v>315</v>
      </c>
      <c r="C307" t="inlineStr">
        <is>
          <t>HighWay</t>
        </is>
      </c>
      <c r="D307" t="inlineStr">
        <is>
          <t>HWY2_181_Sedan</t>
        </is>
      </c>
      <c r="E307">
        <v>1</v>
      </c>
      <c r="F307" t="inlineStr">
        <is>
          <t>공격 반복</t>
        </is>
      </c>
      <c r="G307">
        <v>25.6</v>
      </c>
      <c r="H307">
        <v>0</v>
      </c>
      <c r="I307">
        <v>150</v>
      </c>
      <c r="J307">
        <v>0</v>
      </c>
      <c r="K307">
        <v>0</v>
      </c>
      <c r="L307" t="inlineStr">
        <is>
          <t>차량 적 · 원본 전투/성장/코인 시스템</t>
        </is>
      </c>
      <c r="M307" t="inlineStr">
        <is>
          <t>Normal</t>
        </is>
      </c>
      <c r="N307">
        <v>0</v>
      </c>
      <c r="O307">
        <f>'밸런스 조정'!C154*'밸런스 조정'!C155*'밸런스 조정'!C145*(1+('몬스터 성장'!G6/'몬스터 성장'!F6-1)*(U307/'밸런스 조정'!C119)^'몬스터 성장'!H6)</f>
        <v>701.714745562</v>
      </c>
      <c r="P307">
        <v>0</v>
      </c>
      <c r="Q307">
        <v>0</v>
      </c>
      <c r="R307">
        <v>62</v>
      </c>
      <c r="S307" t="inlineStr">
        <is>
          <t>Sedan</t>
        </is>
      </c>
      <c r="T307" t="inlineStr">
        <is>
          <t>Open</t>
        </is>
      </c>
      <c r="U307">
        <v>1071</v>
      </c>
      <c r="V307">
        <v>1</v>
      </c>
      <c r="W307">
        <v>989</v>
      </c>
      <c r="X307">
        <v>0</v>
      </c>
      <c r="Y307">
        <v>0</v>
      </c>
    </row>
    <row r="308">
      <c r="B308">
        <v>316</v>
      </c>
      <c r="C308" t="inlineStr">
        <is>
          <t>HighWay</t>
        </is>
      </c>
      <c r="D308" t="inlineStr">
        <is>
          <t>HWY2_182_Tanker</t>
        </is>
      </c>
      <c r="E308">
        <v>1</v>
      </c>
      <c r="F308" t="inlineStr">
        <is>
          <t>공격 반복</t>
        </is>
      </c>
      <c r="G308">
        <v>24</v>
      </c>
      <c r="H308">
        <v>0</v>
      </c>
      <c r="I308">
        <v>150</v>
      </c>
      <c r="J308">
        <v>0</v>
      </c>
      <c r="K308">
        <v>0</v>
      </c>
      <c r="L308" t="inlineStr">
        <is>
          <t>차량 적 · 원본 전투/성장/코인 시스템</t>
        </is>
      </c>
      <c r="M308" t="inlineStr">
        <is>
          <t>Normal</t>
        </is>
      </c>
      <c r="N308">
        <v>0</v>
      </c>
      <c r="O308">
        <f>'밸런스 조정'!C154*'밸런스 조정'!C155*'밸런스 조정'!C149*(1+('몬스터 성장'!G6/'몬스터 성장'!F6-1)*(U308/'밸런스 조정'!C119)^'몬스터 성장'!H6)</f>
        <v>1457.63690036</v>
      </c>
      <c r="P308">
        <v>0</v>
      </c>
      <c r="Q308">
        <v>0</v>
      </c>
      <c r="R308">
        <v>124</v>
      </c>
      <c r="S308" t="inlineStr">
        <is>
          <t>Tanker</t>
        </is>
      </c>
      <c r="T308" t="inlineStr">
        <is>
          <t>Open</t>
        </is>
      </c>
      <c r="U308">
        <v>1102.2</v>
      </c>
      <c r="V308">
        <v>1</v>
      </c>
      <c r="W308">
        <v>1020.2</v>
      </c>
      <c r="X308">
        <v>0</v>
      </c>
      <c r="Y308">
        <v>0</v>
      </c>
    </row>
    <row r="309">
      <c r="B309">
        <v>317</v>
      </c>
      <c r="C309" t="inlineStr">
        <is>
          <t>HighWay</t>
        </is>
      </c>
      <c r="D309" t="inlineStr">
        <is>
          <t>HWY2_183_Sedan</t>
        </is>
      </c>
      <c r="E309">
        <v>1</v>
      </c>
      <c r="F309" t="inlineStr">
        <is>
          <t>공격 반복</t>
        </is>
      </c>
      <c r="G309">
        <v>22.4</v>
      </c>
      <c r="H309">
        <v>0</v>
      </c>
      <c r="I309">
        <v>150</v>
      </c>
      <c r="J309">
        <v>0</v>
      </c>
      <c r="K309">
        <v>0</v>
      </c>
      <c r="L309" t="inlineStr">
        <is>
          <t>차량 적 · 원본 전투/성장/코인 시스템</t>
        </is>
      </c>
      <c r="M309" t="inlineStr">
        <is>
          <t>Normal</t>
        </is>
      </c>
      <c r="N309">
        <v>0</v>
      </c>
      <c r="O309">
        <f>'밸런스 조정'!C154*'밸런스 조정'!C155*'밸런스 조정'!C145*(1+('몬스터 성장'!G6/'몬스터 성장'!F6-1)*(U309/'밸런스 조정'!C119)^'몬스터 성장'!H6)</f>
        <v>756.700394793</v>
      </c>
      <c r="P309">
        <v>0</v>
      </c>
      <c r="Q309">
        <v>0</v>
      </c>
      <c r="R309">
        <v>62</v>
      </c>
      <c r="S309" t="inlineStr">
        <is>
          <t>Sedan</t>
        </is>
      </c>
      <c r="T309" t="inlineStr">
        <is>
          <t>Open</t>
        </is>
      </c>
      <c r="U309">
        <v>1133.4</v>
      </c>
      <c r="V309">
        <v>1</v>
      </c>
      <c r="W309">
        <v>1051.4</v>
      </c>
      <c r="X309">
        <v>0</v>
      </c>
      <c r="Y309">
        <v>0</v>
      </c>
    </row>
    <row r="310">
      <c r="B310">
        <v>318</v>
      </c>
      <c r="C310" t="inlineStr">
        <is>
          <t>HighWay</t>
        </is>
      </c>
      <c r="D310" t="inlineStr">
        <is>
          <t>HWY2_184_Taxi</t>
        </is>
      </c>
      <c r="E310">
        <v>1</v>
      </c>
      <c r="F310" t="inlineStr">
        <is>
          <t>공격 반복</t>
        </is>
      </c>
      <c r="G310">
        <v>25.2</v>
      </c>
      <c r="H310">
        <v>0</v>
      </c>
      <c r="I310">
        <v>150</v>
      </c>
      <c r="J310">
        <v>0</v>
      </c>
      <c r="K310">
        <v>0</v>
      </c>
      <c r="L310" t="inlineStr">
        <is>
          <t>차량 적 · 원본 전투/성장/코인 시스템</t>
        </is>
      </c>
      <c r="M310" t="inlineStr">
        <is>
          <t>Normal</t>
        </is>
      </c>
      <c r="N310">
        <v>0</v>
      </c>
      <c r="O310">
        <f>'밸런스 조정'!C154*'밸런스 조정'!C155*'밸런스 조정'!C146*(1+('몬스터 성장'!G6/'몬스터 성장'!F6-1)*(U310/'밸런스 조정'!C119)^'몬스터 성장'!H6)</f>
        <v>785.360579408</v>
      </c>
      <c r="P310">
        <v>0</v>
      </c>
      <c r="Q310">
        <v>0</v>
      </c>
      <c r="R310">
        <v>62</v>
      </c>
      <c r="S310" t="inlineStr">
        <is>
          <t>Taxi</t>
        </is>
      </c>
      <c r="T310" t="inlineStr">
        <is>
          <t>Open</t>
        </is>
      </c>
      <c r="U310">
        <v>1164.6</v>
      </c>
      <c r="V310">
        <v>1</v>
      </c>
      <c r="W310">
        <v>1082.6</v>
      </c>
      <c r="X310">
        <v>0</v>
      </c>
      <c r="Y310">
        <v>0</v>
      </c>
    </row>
    <row r="311">
      <c r="B311">
        <v>319</v>
      </c>
      <c r="C311" t="inlineStr">
        <is>
          <t>HighWay</t>
        </is>
      </c>
      <c r="D311" t="inlineStr">
        <is>
          <t>HWY2_185_OneTon</t>
        </is>
      </c>
      <c r="E311">
        <v>1</v>
      </c>
      <c r="F311" t="inlineStr">
        <is>
          <t>공격 반복</t>
        </is>
      </c>
      <c r="G311">
        <v>24.4</v>
      </c>
      <c r="H311">
        <v>0</v>
      </c>
      <c r="I311">
        <v>150</v>
      </c>
      <c r="J311">
        <v>0</v>
      </c>
      <c r="K311">
        <v>0</v>
      </c>
      <c r="L311" t="inlineStr">
        <is>
          <t>차량 적 · 원본 전투/성장/코인 시스템</t>
        </is>
      </c>
      <c r="M311" t="inlineStr">
        <is>
          <t>Normal</t>
        </is>
      </c>
      <c r="N311">
        <v>0</v>
      </c>
      <c r="O311">
        <f>'밸런스 조정'!C154*'밸런스 조정'!C155*'밸런스 조정'!C147*(1+('몬스터 성장'!G6/'몬스터 성장'!F6-1)*(U311/'밸런스 조정'!C119)^'몬스터 성장'!H6)</f>
        <v>510.159288889</v>
      </c>
      <c r="P311">
        <v>0</v>
      </c>
      <c r="Q311">
        <v>0</v>
      </c>
      <c r="R311">
        <v>62</v>
      </c>
      <c r="S311" t="inlineStr">
        <is>
          <t>OneTon</t>
        </is>
      </c>
      <c r="T311" t="inlineStr">
        <is>
          <t>Open</t>
        </is>
      </c>
      <c r="U311">
        <v>611</v>
      </c>
      <c r="V311">
        <v>2</v>
      </c>
      <c r="W311">
        <v>529</v>
      </c>
      <c r="X311">
        <v>0</v>
      </c>
      <c r="Y311">
        <v>0</v>
      </c>
    </row>
    <row r="312">
      <c r="B312">
        <v>320</v>
      </c>
      <c r="C312" t="inlineStr">
        <is>
          <t>HighWay</t>
        </is>
      </c>
      <c r="D312" t="inlineStr">
        <is>
          <t>HWY2_186_Box</t>
        </is>
      </c>
      <c r="E312">
        <v>1</v>
      </c>
      <c r="F312" t="inlineStr">
        <is>
          <t>공격 반복</t>
        </is>
      </c>
      <c r="G312">
        <v>22.8</v>
      </c>
      <c r="H312">
        <v>0</v>
      </c>
      <c r="I312">
        <v>150</v>
      </c>
      <c r="J312">
        <v>0</v>
      </c>
      <c r="K312">
        <v>0</v>
      </c>
      <c r="L312" t="inlineStr">
        <is>
          <t>차량 적 · 원본 전투/성장/코인 시스템</t>
        </is>
      </c>
      <c r="M312" t="inlineStr">
        <is>
          <t>Normal</t>
        </is>
      </c>
      <c r="N312">
        <v>0</v>
      </c>
      <c r="O312">
        <f>'밸런스 조정'!C154*'밸런스 조정'!C155*'밸런스 조정'!C148*(1+('몬스터 성장'!G6/'몬스터 성장'!F6-1)*(U312/'밸런스 조정'!C119)^'몬스터 성장'!H6)</f>
        <v>652.895800889</v>
      </c>
      <c r="P312">
        <v>0</v>
      </c>
      <c r="Q312">
        <v>0</v>
      </c>
      <c r="R312">
        <v>62</v>
      </c>
      <c r="S312" t="inlineStr">
        <is>
          <t>Box</t>
        </is>
      </c>
      <c r="T312" t="inlineStr">
        <is>
          <t>Open</t>
        </is>
      </c>
      <c r="U312">
        <v>642.2</v>
      </c>
      <c r="V312">
        <v>2</v>
      </c>
      <c r="W312">
        <v>560.2</v>
      </c>
      <c r="X312">
        <v>0</v>
      </c>
      <c r="Y312">
        <v>0</v>
      </c>
    </row>
    <row r="313">
      <c r="B313">
        <v>321</v>
      </c>
      <c r="C313" t="inlineStr">
        <is>
          <t>HighWay</t>
        </is>
      </c>
      <c r="D313" t="inlineStr">
        <is>
          <t>HWY2_187_Sedan</t>
        </is>
      </c>
      <c r="E313">
        <v>1</v>
      </c>
      <c r="F313" t="inlineStr">
        <is>
          <t>공격 반복</t>
        </is>
      </c>
      <c r="G313">
        <v>25.6</v>
      </c>
      <c r="H313">
        <v>0</v>
      </c>
      <c r="I313">
        <v>150</v>
      </c>
      <c r="J313">
        <v>0</v>
      </c>
      <c r="K313">
        <v>0</v>
      </c>
      <c r="L313" t="inlineStr">
        <is>
          <t>차량 적 · 원본 전투/성장/코인 시스템</t>
        </is>
      </c>
      <c r="M313" t="inlineStr">
        <is>
          <t>Normal</t>
        </is>
      </c>
      <c r="N313">
        <v>0</v>
      </c>
      <c r="O313">
        <f>'밸런스 조정'!C154*'밸런스 조정'!C155*'밸런스 조정'!C145*(1+('몬스터 성장'!G6/'몬스터 성장'!F6-1)*(U313/'밸런스 조정'!C119)^'몬스터 성장'!H6)</f>
        <v>424.467768889</v>
      </c>
      <c r="P313">
        <v>0</v>
      </c>
      <c r="Q313">
        <v>0</v>
      </c>
      <c r="R313">
        <v>62</v>
      </c>
      <c r="S313" t="inlineStr">
        <is>
          <t>Sedan</t>
        </is>
      </c>
      <c r="T313" t="inlineStr">
        <is>
          <t>Open</t>
        </is>
      </c>
      <c r="U313">
        <v>673.4</v>
      </c>
      <c r="V313">
        <v>2</v>
      </c>
      <c r="W313">
        <v>591.4</v>
      </c>
      <c r="X313">
        <v>0</v>
      </c>
      <c r="Y313">
        <v>0</v>
      </c>
    </row>
    <row r="314">
      <c r="B314">
        <v>322</v>
      </c>
      <c r="C314" t="inlineStr">
        <is>
          <t>HighWay</t>
        </is>
      </c>
      <c r="D314" t="inlineStr">
        <is>
          <t>HWY2_188_Tanker</t>
        </is>
      </c>
      <c r="E314">
        <v>1</v>
      </c>
      <c r="F314" t="inlineStr">
        <is>
          <t>공격 반복</t>
        </is>
      </c>
      <c r="G314">
        <v>24</v>
      </c>
      <c r="H314">
        <v>0</v>
      </c>
      <c r="I314">
        <v>150</v>
      </c>
      <c r="J314">
        <v>0</v>
      </c>
      <c r="K314">
        <v>0</v>
      </c>
      <c r="L314" t="inlineStr">
        <is>
          <t>차량 적 · 원본 전투/성장/코인 시스템</t>
        </is>
      </c>
      <c r="M314" t="inlineStr">
        <is>
          <t>Normal</t>
        </is>
      </c>
      <c r="N314">
        <v>0</v>
      </c>
      <c r="O314">
        <f>'밸런스 조정'!C154*'밸런스 조정'!C155*'밸런스 조정'!C149*(1+('몬스터 성장'!G6/'몬스터 성장'!F6-1)*(U314/'밸런스 조정'!C119)^'몬스터 성장'!H6)</f>
        <v>883.307804444</v>
      </c>
      <c r="P314">
        <v>0</v>
      </c>
      <c r="Q314">
        <v>0</v>
      </c>
      <c r="R314">
        <v>124</v>
      </c>
      <c r="S314" t="inlineStr">
        <is>
          <t>Tanker</t>
        </is>
      </c>
      <c r="T314" t="inlineStr">
        <is>
          <t>Open</t>
        </is>
      </c>
      <c r="U314">
        <v>704.6</v>
      </c>
      <c r="V314">
        <v>2</v>
      </c>
      <c r="W314">
        <v>622.6</v>
      </c>
      <c r="X314">
        <v>0</v>
      </c>
      <c r="Y314">
        <v>0</v>
      </c>
    </row>
    <row r="315">
      <c r="B315">
        <v>323</v>
      </c>
      <c r="C315" t="inlineStr">
        <is>
          <t>HighWay</t>
        </is>
      </c>
      <c r="D315" t="inlineStr">
        <is>
          <t>HWY2_189_Sedan</t>
        </is>
      </c>
      <c r="E315">
        <v>1</v>
      </c>
      <c r="F315" t="inlineStr">
        <is>
          <t>공격 반복</t>
        </is>
      </c>
      <c r="G315">
        <v>22.4</v>
      </c>
      <c r="H315">
        <v>0</v>
      </c>
      <c r="I315">
        <v>150</v>
      </c>
      <c r="J315">
        <v>0</v>
      </c>
      <c r="K315">
        <v>0</v>
      </c>
      <c r="L315" t="inlineStr">
        <is>
          <t>차량 적 · 원본 전투/성장/코인 시스템</t>
        </is>
      </c>
      <c r="M315" t="inlineStr">
        <is>
          <t>Normal</t>
        </is>
      </c>
      <c r="N315">
        <v>0</v>
      </c>
      <c r="O315">
        <f>'밸런스 조정'!C154*'밸런스 조정'!C155*'밸런스 조정'!C145*(1+('몬스터 성장'!G6/'몬스터 성장'!F6-1)*(U315/'밸런스 조정'!C119)^'몬스터 성장'!H6)</f>
        <v>459.618275556</v>
      </c>
      <c r="P315">
        <v>0</v>
      </c>
      <c r="Q315">
        <v>0</v>
      </c>
      <c r="R315">
        <v>62</v>
      </c>
      <c r="S315" t="inlineStr">
        <is>
          <t>Sedan</t>
        </is>
      </c>
      <c r="T315" t="inlineStr">
        <is>
          <t>Open</t>
        </is>
      </c>
      <c r="U315">
        <v>735.8</v>
      </c>
      <c r="V315">
        <v>2</v>
      </c>
      <c r="W315">
        <v>653.8</v>
      </c>
      <c r="X315">
        <v>0</v>
      </c>
      <c r="Y315">
        <v>0</v>
      </c>
    </row>
    <row r="316">
      <c r="B316">
        <v>324</v>
      </c>
      <c r="C316" t="inlineStr">
        <is>
          <t>HighWay</t>
        </is>
      </c>
      <c r="D316" t="inlineStr">
        <is>
          <t>HWY2_190_Taxi</t>
        </is>
      </c>
      <c r="E316">
        <v>1</v>
      </c>
      <c r="F316" t="inlineStr">
        <is>
          <t>공격 반복</t>
        </is>
      </c>
      <c r="G316">
        <v>25.2</v>
      </c>
      <c r="H316">
        <v>0</v>
      </c>
      <c r="I316">
        <v>150</v>
      </c>
      <c r="J316">
        <v>0</v>
      </c>
      <c r="K316">
        <v>0</v>
      </c>
      <c r="L316" t="inlineStr">
        <is>
          <t>차량 적 · 원본 전투/성장/코인 시스템</t>
        </is>
      </c>
      <c r="M316" t="inlineStr">
        <is>
          <t>Normal</t>
        </is>
      </c>
      <c r="N316">
        <v>0</v>
      </c>
      <c r="O316">
        <f>'밸런스 조정'!C154*'밸런스 조정'!C155*'밸런스 조정'!C146*(1+('몬스터 성장'!G6/'몬스터 성장'!F6-1)*(U316/'밸런스 조정'!C119)^'몬스터 성장'!H6)</f>
        <v>478.360888889</v>
      </c>
      <c r="P316">
        <v>0</v>
      </c>
      <c r="Q316">
        <v>0</v>
      </c>
      <c r="R316">
        <v>62</v>
      </c>
      <c r="S316" t="inlineStr">
        <is>
          <t>Taxi</t>
        </is>
      </c>
      <c r="T316" t="inlineStr">
        <is>
          <t>Open</t>
        </is>
      </c>
      <c r="U316">
        <v>767</v>
      </c>
      <c r="V316">
        <v>2</v>
      </c>
      <c r="W316">
        <v>685</v>
      </c>
      <c r="X316">
        <v>0</v>
      </c>
      <c r="Y316">
        <v>0</v>
      </c>
    </row>
    <row r="317">
      <c r="B317">
        <v>325</v>
      </c>
      <c r="C317" t="inlineStr">
        <is>
          <t>HighWay</t>
        </is>
      </c>
      <c r="D317" t="inlineStr">
        <is>
          <t>HWY2_191_OneTon</t>
        </is>
      </c>
      <c r="E317">
        <v>1</v>
      </c>
      <c r="F317" t="inlineStr">
        <is>
          <t>공격 반복</t>
        </is>
      </c>
      <c r="G317">
        <v>23.6</v>
      </c>
      <c r="H317">
        <v>0</v>
      </c>
      <c r="I317">
        <v>150</v>
      </c>
      <c r="J317">
        <v>0</v>
      </c>
      <c r="K317">
        <v>0</v>
      </c>
      <c r="L317" t="inlineStr">
        <is>
          <t>차량 적 · 원본 전투/성장/코인 시스템</t>
        </is>
      </c>
      <c r="M317" t="inlineStr">
        <is>
          <t>Normal</t>
        </is>
      </c>
      <c r="N317">
        <v>0</v>
      </c>
      <c r="O317">
        <f>'밸런스 조정'!C154*'밸런스 조정'!C155*'밸런스 조정'!C147*(1+('몬스터 성장'!G6/'몬스터 성장'!F6-1)*(U317/'밸런스 조정'!C119)^'몬스터 성장'!H6)</f>
        <v>647.246264889</v>
      </c>
      <c r="P317">
        <v>0</v>
      </c>
      <c r="Q317">
        <v>0</v>
      </c>
      <c r="R317">
        <v>62</v>
      </c>
      <c r="S317" t="inlineStr">
        <is>
          <t>OneTon</t>
        </is>
      </c>
      <c r="T317" t="inlineStr">
        <is>
          <t>Open</t>
        </is>
      </c>
      <c r="U317">
        <v>798.2</v>
      </c>
      <c r="V317">
        <v>2</v>
      </c>
      <c r="W317">
        <v>716.2</v>
      </c>
      <c r="X317">
        <v>0</v>
      </c>
      <c r="Y317">
        <v>0</v>
      </c>
    </row>
    <row r="318">
      <c r="B318">
        <v>326</v>
      </c>
      <c r="C318" t="inlineStr">
        <is>
          <t>HighWay</t>
        </is>
      </c>
      <c r="D318" t="inlineStr">
        <is>
          <t>HWY2_192_Box</t>
        </is>
      </c>
      <c r="E318">
        <v>1</v>
      </c>
      <c r="F318" t="inlineStr">
        <is>
          <t>공격 반복</t>
        </is>
      </c>
      <c r="G318">
        <v>22</v>
      </c>
      <c r="H318">
        <v>0</v>
      </c>
      <c r="I318">
        <v>150</v>
      </c>
      <c r="J318">
        <v>0</v>
      </c>
      <c r="K318">
        <v>0</v>
      </c>
      <c r="L318" t="inlineStr">
        <is>
          <t>차량 적 · 원본 전투/성장/코인 시스템</t>
        </is>
      </c>
      <c r="M318" t="inlineStr">
        <is>
          <t>Normal</t>
        </is>
      </c>
      <c r="N318">
        <v>0</v>
      </c>
      <c r="O318">
        <f>'밸런스 조정'!C154*'밸런스 조정'!C155*'밸런스 조정'!C148*(1+('몬스터 성장'!G6/'몬스터 성장'!F6-1)*(U318/'밸런스 조정'!C119)^'몬스터 성장'!H6)</f>
        <v>829.089336889</v>
      </c>
      <c r="P318">
        <v>0</v>
      </c>
      <c r="Q318">
        <v>0</v>
      </c>
      <c r="R318">
        <v>62</v>
      </c>
      <c r="S318" t="inlineStr">
        <is>
          <t>Box</t>
        </is>
      </c>
      <c r="T318" t="inlineStr">
        <is>
          <t>Open</t>
        </is>
      </c>
      <c r="U318">
        <v>829.4</v>
      </c>
      <c r="V318">
        <v>2</v>
      </c>
      <c r="W318">
        <v>747.4</v>
      </c>
      <c r="X318">
        <v>0</v>
      </c>
      <c r="Y318">
        <v>0</v>
      </c>
    </row>
    <row r="319">
      <c r="B319">
        <v>327</v>
      </c>
      <c r="C319" t="inlineStr">
        <is>
          <t>HighWay</t>
        </is>
      </c>
      <c r="D319" t="inlineStr">
        <is>
          <t>HWY2_193_Sedan</t>
        </is>
      </c>
      <c r="E319">
        <v>1</v>
      </c>
      <c r="F319" t="inlineStr">
        <is>
          <t>공격 반복</t>
        </is>
      </c>
      <c r="G319">
        <v>24.8</v>
      </c>
      <c r="H319">
        <v>0</v>
      </c>
      <c r="I319">
        <v>150</v>
      </c>
      <c r="J319">
        <v>0</v>
      </c>
      <c r="K319">
        <v>0</v>
      </c>
      <c r="L319" t="inlineStr">
        <is>
          <t>차량 적 · 원본 전투/성장/코인 시스템</t>
        </is>
      </c>
      <c r="M319" t="inlineStr">
        <is>
          <t>Normal</t>
        </is>
      </c>
      <c r="N319">
        <v>0</v>
      </c>
      <c r="O319">
        <f>'밸런스 조정'!C154*'밸런스 조정'!C155*'밸런스 조정'!C145*(1+('몬스터 성장'!G6/'몬스터 성장'!F6-1)*(U319/'밸런스 조정'!C119)^'몬스터 성장'!H6)</f>
        <v>539.258168889</v>
      </c>
      <c r="P319">
        <v>0</v>
      </c>
      <c r="Q319">
        <v>0</v>
      </c>
      <c r="R319">
        <v>62</v>
      </c>
      <c r="S319" t="inlineStr">
        <is>
          <t>Sedan</t>
        </is>
      </c>
      <c r="T319" t="inlineStr">
        <is>
          <t>Open</t>
        </is>
      </c>
      <c r="U319">
        <v>860.6</v>
      </c>
      <c r="V319">
        <v>2</v>
      </c>
      <c r="W319">
        <v>778.6</v>
      </c>
      <c r="X319">
        <v>0</v>
      </c>
      <c r="Y319">
        <v>0</v>
      </c>
    </row>
    <row r="320">
      <c r="B320">
        <v>328</v>
      </c>
      <c r="C320" t="inlineStr">
        <is>
          <t>HighWay</t>
        </is>
      </c>
      <c r="D320" t="inlineStr">
        <is>
          <t>HWY2_194_Tanker</t>
        </is>
      </c>
      <c r="E320">
        <v>1</v>
      </c>
      <c r="F320" t="inlineStr">
        <is>
          <t>공격 반복</t>
        </is>
      </c>
      <c r="G320">
        <v>23.2</v>
      </c>
      <c r="H320">
        <v>0</v>
      </c>
      <c r="I320">
        <v>150</v>
      </c>
      <c r="J320">
        <v>0</v>
      </c>
      <c r="K320">
        <v>0</v>
      </c>
      <c r="L320" t="inlineStr">
        <is>
          <t>차량 적 · 원본 전투/성장/코인 시스템</t>
        </is>
      </c>
      <c r="M320" t="inlineStr">
        <is>
          <t>Normal</t>
        </is>
      </c>
      <c r="N320">
        <v>0</v>
      </c>
      <c r="O320">
        <f>'밸런스 조정'!C154*'밸런스 조정'!C155*'밸런스 조정'!C149*(1+('몬스터 성장'!G6/'몬스터 성장'!F6-1)*(U320/'밸런스 조정'!C119)^'몬스터 성장'!H6)</f>
        <v>1122.22748444</v>
      </c>
      <c r="P320">
        <v>0</v>
      </c>
      <c r="Q320">
        <v>0</v>
      </c>
      <c r="R320">
        <v>124</v>
      </c>
      <c r="S320" t="inlineStr">
        <is>
          <t>Tanker</t>
        </is>
      </c>
      <c r="T320" t="inlineStr">
        <is>
          <t>Open</t>
        </is>
      </c>
      <c r="U320">
        <v>891.8</v>
      </c>
      <c r="V320">
        <v>2</v>
      </c>
      <c r="W320">
        <v>809.8</v>
      </c>
      <c r="X320">
        <v>0</v>
      </c>
      <c r="Y320">
        <v>0</v>
      </c>
    </row>
    <row r="321">
      <c r="B321">
        <v>329</v>
      </c>
      <c r="C321" t="inlineStr">
        <is>
          <t>HighWay</t>
        </is>
      </c>
      <c r="D321" t="inlineStr">
        <is>
          <t>HWY2_195_Sedan</t>
        </is>
      </c>
      <c r="E321">
        <v>1</v>
      </c>
      <c r="F321" t="inlineStr">
        <is>
          <t>공격 반복</t>
        </is>
      </c>
      <c r="G321">
        <v>26</v>
      </c>
      <c r="H321">
        <v>0</v>
      </c>
      <c r="I321">
        <v>150</v>
      </c>
      <c r="J321">
        <v>0</v>
      </c>
      <c r="K321">
        <v>0</v>
      </c>
      <c r="L321" t="inlineStr">
        <is>
          <t>차량 적 · 원본 전투/성장/코인 시스템</t>
        </is>
      </c>
      <c r="M321" t="inlineStr">
        <is>
          <t>Normal</t>
        </is>
      </c>
      <c r="N321">
        <v>0</v>
      </c>
      <c r="O321">
        <f>'밸런스 조정'!C154*'밸런스 조정'!C155*'밸런스 조정'!C145*(1+('몬스터 성장'!G6/'몬스터 성장'!F6-1)*(U321/'밸런스 조정'!C119)^'몬스터 성장'!H6)</f>
        <v>583.747555556</v>
      </c>
      <c r="P321">
        <v>0</v>
      </c>
      <c r="Q321">
        <v>0</v>
      </c>
      <c r="R321">
        <v>62</v>
      </c>
      <c r="S321" t="inlineStr">
        <is>
          <t>Sedan</t>
        </is>
      </c>
      <c r="T321" t="inlineStr">
        <is>
          <t>Open</t>
        </is>
      </c>
      <c r="U321">
        <v>923</v>
      </c>
      <c r="V321">
        <v>2</v>
      </c>
      <c r="W321">
        <v>841</v>
      </c>
      <c r="X321">
        <v>0</v>
      </c>
      <c r="Y321">
        <v>0</v>
      </c>
    </row>
    <row r="322">
      <c r="B322">
        <v>330</v>
      </c>
      <c r="C322" t="inlineStr">
        <is>
          <t>HighWay</t>
        </is>
      </c>
      <c r="D322" t="inlineStr">
        <is>
          <t>HWY2_196_Taxi</t>
        </is>
      </c>
      <c r="E322">
        <v>1</v>
      </c>
      <c r="F322" t="inlineStr">
        <is>
          <t>공격 반복</t>
        </is>
      </c>
      <c r="G322">
        <v>24.4</v>
      </c>
      <c r="H322">
        <v>0</v>
      </c>
      <c r="I322">
        <v>150</v>
      </c>
      <c r="J322">
        <v>0</v>
      </c>
      <c r="K322">
        <v>0</v>
      </c>
      <c r="L322" t="inlineStr">
        <is>
          <t>차량 적 · 원본 전투/성장/코인 시스템</t>
        </is>
      </c>
      <c r="M322" t="inlineStr">
        <is>
          <t>Normal</t>
        </is>
      </c>
      <c r="N322">
        <v>0</v>
      </c>
      <c r="O322">
        <f>'밸런스 조정'!C154*'밸런스 조정'!C155*'밸런스 조정'!C146*(1+('몬스터 성장'!G6/'몬스터 성장'!F6-1)*(U322/'밸런스 조정'!C119)^'몬스터 성장'!H6)</f>
        <v>607.159608889</v>
      </c>
      <c r="P322">
        <v>0</v>
      </c>
      <c r="Q322">
        <v>0</v>
      </c>
      <c r="R322">
        <v>62</v>
      </c>
      <c r="S322" t="inlineStr">
        <is>
          <t>Taxi</t>
        </is>
      </c>
      <c r="T322" t="inlineStr">
        <is>
          <t>Open</t>
        </is>
      </c>
      <c r="U322">
        <v>954.2</v>
      </c>
      <c r="V322">
        <v>2</v>
      </c>
      <c r="W322">
        <v>872.2</v>
      </c>
      <c r="X322">
        <v>0</v>
      </c>
      <c r="Y322">
        <v>0</v>
      </c>
    </row>
    <row r="323">
      <c r="B323">
        <v>331</v>
      </c>
      <c r="C323" t="inlineStr">
        <is>
          <t>HighWay</t>
        </is>
      </c>
      <c r="D323" t="inlineStr">
        <is>
          <t>HWY2_197_OneTon</t>
        </is>
      </c>
      <c r="E323">
        <v>1</v>
      </c>
      <c r="F323" t="inlineStr">
        <is>
          <t>공격 반복</t>
        </is>
      </c>
      <c r="G323">
        <v>22.8</v>
      </c>
      <c r="H323">
        <v>0</v>
      </c>
      <c r="I323">
        <v>150</v>
      </c>
      <c r="J323">
        <v>0</v>
      </c>
      <c r="K323">
        <v>0</v>
      </c>
      <c r="L323" t="inlineStr">
        <is>
          <t>차량 적 · 원본 전투/성장/코인 시스템</t>
        </is>
      </c>
      <c r="M323" t="inlineStr">
        <is>
          <t>Normal</t>
        </is>
      </c>
      <c r="N323">
        <v>0</v>
      </c>
      <c r="O323">
        <f>'밸런스 조정'!C154*'밸런스 조정'!C155*'밸런스 조정'!C147*(1+('몬스터 성장'!G6/'몬스터 성장'!F6-1)*(U323/'밸런스 조정'!C119)^'몬스터 성장'!H6)</f>
        <v>820.754872889</v>
      </c>
      <c r="P323">
        <v>0</v>
      </c>
      <c r="Q323">
        <v>0</v>
      </c>
      <c r="R323">
        <v>62</v>
      </c>
      <c r="S323" t="inlineStr">
        <is>
          <t>OneTon</t>
        </is>
      </c>
      <c r="T323" t="inlineStr">
        <is>
          <t>Open</t>
        </is>
      </c>
      <c r="U323">
        <v>985.4</v>
      </c>
      <c r="V323">
        <v>2</v>
      </c>
      <c r="W323">
        <v>903.4</v>
      </c>
      <c r="X323">
        <v>0</v>
      </c>
      <c r="Y323">
        <v>0</v>
      </c>
    </row>
    <row r="324">
      <c r="B324">
        <v>332</v>
      </c>
      <c r="C324" t="inlineStr">
        <is>
          <t>HighWay</t>
        </is>
      </c>
      <c r="D324" t="inlineStr">
        <is>
          <t>HWY2_198_Box</t>
        </is>
      </c>
      <c r="E324">
        <v>1</v>
      </c>
      <c r="F324" t="inlineStr">
        <is>
          <t>공격 반복</t>
        </is>
      </c>
      <c r="G324">
        <v>25.6</v>
      </c>
      <c r="H324">
        <v>0</v>
      </c>
      <c r="I324">
        <v>150</v>
      </c>
      <c r="J324">
        <v>0</v>
      </c>
      <c r="K324">
        <v>0</v>
      </c>
      <c r="L324" t="inlineStr">
        <is>
          <t>차량 적 · 원본 전투/성장/코인 시스템</t>
        </is>
      </c>
      <c r="M324" t="inlineStr">
        <is>
          <t>Normal</t>
        </is>
      </c>
      <c r="N324">
        <v>0</v>
      </c>
      <c r="O324">
        <f>'밸런스 조정'!C154*'밸런스 조정'!C155*'밸런스 조정'!C148*(1+('몬스터 성장'!G6/'몬스터 성장'!F6-1)*(U324/'밸런스 조정'!C119)^'몬스터 성장'!H6)</f>
        <v>1050.10949689</v>
      </c>
      <c r="P324">
        <v>0</v>
      </c>
      <c r="Q324">
        <v>0</v>
      </c>
      <c r="R324">
        <v>62</v>
      </c>
      <c r="S324" t="inlineStr">
        <is>
          <t>Box</t>
        </is>
      </c>
      <c r="T324" t="inlineStr">
        <is>
          <t>Open</t>
        </is>
      </c>
      <c r="U324">
        <v>1016.6</v>
      </c>
      <c r="V324">
        <v>2</v>
      </c>
      <c r="W324">
        <v>934.6</v>
      </c>
      <c r="X324">
        <v>0</v>
      </c>
      <c r="Y324">
        <v>0</v>
      </c>
    </row>
    <row r="325">
      <c r="B325">
        <v>333</v>
      </c>
      <c r="C325" t="inlineStr">
        <is>
          <t>HighWay</t>
        </is>
      </c>
      <c r="D325" t="inlineStr">
        <is>
          <t>HWY2_199_Sedan</t>
        </is>
      </c>
      <c r="E325">
        <v>1</v>
      </c>
      <c r="F325" t="inlineStr">
        <is>
          <t>공격 반복</t>
        </is>
      </c>
      <c r="G325">
        <v>24</v>
      </c>
      <c r="H325">
        <v>0</v>
      </c>
      <c r="I325">
        <v>150</v>
      </c>
      <c r="J325">
        <v>0</v>
      </c>
      <c r="K325">
        <v>0</v>
      </c>
      <c r="L325" t="inlineStr">
        <is>
          <t>차량 적 · 원본 전투/성장/코인 시스템</t>
        </is>
      </c>
      <c r="M325" t="inlineStr">
        <is>
          <t>Normal</t>
        </is>
      </c>
      <c r="N325">
        <v>0</v>
      </c>
      <c r="O325">
        <f>'밸런스 조정'!C154*'밸런스 조정'!C155*'밸런스 조정'!C145*(1+('몬스터 성장'!G6/'몬스터 성장'!F6-1)*(U325/'밸런스 조정'!C119)^'몬스터 성장'!H6)</f>
        <v>682.065208889</v>
      </c>
      <c r="P325">
        <v>0</v>
      </c>
      <c r="Q325">
        <v>0</v>
      </c>
      <c r="R325">
        <v>62</v>
      </c>
      <c r="S325" t="inlineStr">
        <is>
          <t>Sedan</t>
        </is>
      </c>
      <c r="T325" t="inlineStr">
        <is>
          <t>Open</t>
        </is>
      </c>
      <c r="U325">
        <v>1047.8</v>
      </c>
      <c r="V325">
        <v>2</v>
      </c>
      <c r="W325">
        <v>965.8</v>
      </c>
      <c r="X325">
        <v>0</v>
      </c>
      <c r="Y325">
        <v>0</v>
      </c>
    </row>
    <row r="326">
      <c r="B326">
        <v>334</v>
      </c>
      <c r="C326" t="inlineStr">
        <is>
          <t>HighWay</t>
        </is>
      </c>
      <c r="D326" t="inlineStr">
        <is>
          <t>HWY2_200_Tanker</t>
        </is>
      </c>
      <c r="E326">
        <v>1</v>
      </c>
      <c r="F326" t="inlineStr">
        <is>
          <t>공격 반복</t>
        </is>
      </c>
      <c r="G326">
        <v>22.4</v>
      </c>
      <c r="H326">
        <v>0</v>
      </c>
      <c r="I326">
        <v>150</v>
      </c>
      <c r="J326">
        <v>0</v>
      </c>
      <c r="K326">
        <v>0</v>
      </c>
      <c r="L326" t="inlineStr">
        <is>
          <t>차량 적 · 원본 전투/성장/코인 시스템</t>
        </is>
      </c>
      <c r="M326" t="inlineStr">
        <is>
          <t>Normal</t>
        </is>
      </c>
      <c r="N326">
        <v>0</v>
      </c>
      <c r="O326">
        <f>'밸런스 조정'!C154*'밸런스 조정'!C155*'밸런스 조정'!C149*(1+('몬스터 성장'!G6/'몬스터 성장'!F6-1)*(U326/'밸런스 조정'!C119)^'몬스터 성장'!H6)</f>
        <v>1417.18044444</v>
      </c>
      <c r="P326">
        <v>0</v>
      </c>
      <c r="Q326">
        <v>0</v>
      </c>
      <c r="R326">
        <v>124</v>
      </c>
      <c r="S326" t="inlineStr">
        <is>
          <t>Tanker</t>
        </is>
      </c>
      <c r="T326" t="inlineStr">
        <is>
          <t>Open</t>
        </is>
      </c>
      <c r="U326">
        <v>1079</v>
      </c>
      <c r="V326">
        <v>2</v>
      </c>
      <c r="W326">
        <v>997</v>
      </c>
      <c r="X326">
        <v>0</v>
      </c>
      <c r="Y326">
        <v>0</v>
      </c>
    </row>
    <row r="327">
      <c r="B327">
        <v>335</v>
      </c>
      <c r="C327" t="inlineStr">
        <is>
          <t>HighWay</t>
        </is>
      </c>
      <c r="D327" t="inlineStr">
        <is>
          <t>HWY2_201_Sedan</t>
        </is>
      </c>
      <c r="E327">
        <v>1</v>
      </c>
      <c r="F327" t="inlineStr">
        <is>
          <t>공격 반복</t>
        </is>
      </c>
      <c r="G327">
        <v>25.2</v>
      </c>
      <c r="H327">
        <v>0</v>
      </c>
      <c r="I327">
        <v>150</v>
      </c>
      <c r="J327">
        <v>0</v>
      </c>
      <c r="K327">
        <v>0</v>
      </c>
      <c r="L327" t="inlineStr">
        <is>
          <t>차량 적 · 원본 전투/성장/코인 시스템</t>
        </is>
      </c>
      <c r="M327" t="inlineStr">
        <is>
          <t>Normal</t>
        </is>
      </c>
      <c r="N327">
        <v>0</v>
      </c>
      <c r="O327">
        <f>'밸런스 조정'!C154*'밸런스 조정'!C155*'밸런스 조정'!C145*(1+('몬스터 성장'!G6/'몬스터 성장'!F6-1)*(U327/'밸런스 조정'!C119)^'몬스터 성장'!H6)</f>
        <v>735.893475556</v>
      </c>
      <c r="P327">
        <v>0</v>
      </c>
      <c r="Q327">
        <v>0</v>
      </c>
      <c r="R327">
        <v>62</v>
      </c>
      <c r="S327" t="inlineStr">
        <is>
          <t>Sedan</t>
        </is>
      </c>
      <c r="T327" t="inlineStr">
        <is>
          <t>Open</t>
        </is>
      </c>
      <c r="U327">
        <v>1110.2</v>
      </c>
      <c r="V327">
        <v>2</v>
      </c>
      <c r="W327">
        <v>1028.2</v>
      </c>
      <c r="X327">
        <v>0</v>
      </c>
      <c r="Y327">
        <v>0</v>
      </c>
    </row>
    <row r="328">
      <c r="B328">
        <v>336</v>
      </c>
      <c r="C328" t="inlineStr">
        <is>
          <t>HighWay</t>
        </is>
      </c>
      <c r="D328" t="inlineStr">
        <is>
          <t>HWY2_202_Taxi</t>
        </is>
      </c>
      <c r="E328">
        <v>1</v>
      </c>
      <c r="F328" t="inlineStr">
        <is>
          <t>공격 반복</t>
        </is>
      </c>
      <c r="G328">
        <v>23.6</v>
      </c>
      <c r="H328">
        <v>0</v>
      </c>
      <c r="I328">
        <v>150</v>
      </c>
      <c r="J328">
        <v>0</v>
      </c>
      <c r="K328">
        <v>0</v>
      </c>
      <c r="L328" t="inlineStr">
        <is>
          <t>차량 적 · 원본 전투/성장/코인 시스템</t>
        </is>
      </c>
      <c r="M328" t="inlineStr">
        <is>
          <t>Normal</t>
        </is>
      </c>
      <c r="N328">
        <v>0</v>
      </c>
      <c r="O328">
        <f>'밸런스 조정'!C154*'밸런스 조정'!C155*'밸런스 조정'!C146*(1+('몬스터 성장'!G6/'몬스터 성장'!F6-1)*(U328/'밸런스 조정'!C119)^'몬스터 성장'!H6)</f>
        <v>763.974968889</v>
      </c>
      <c r="P328">
        <v>0</v>
      </c>
      <c r="Q328">
        <v>0</v>
      </c>
      <c r="R328">
        <v>62</v>
      </c>
      <c r="S328" t="inlineStr">
        <is>
          <t>Taxi</t>
        </is>
      </c>
      <c r="T328" t="inlineStr">
        <is>
          <t>Open</t>
        </is>
      </c>
      <c r="U328">
        <v>1141.4</v>
      </c>
      <c r="V328">
        <v>2</v>
      </c>
      <c r="W328">
        <v>1059.4</v>
      </c>
      <c r="X328">
        <v>0</v>
      </c>
      <c r="Y328">
        <v>0</v>
      </c>
    </row>
    <row r="329">
      <c r="B329">
        <v>337</v>
      </c>
      <c r="C329" t="inlineStr">
        <is>
          <t>HighWay</t>
        </is>
      </c>
      <c r="D329" t="inlineStr">
        <is>
          <t>HWY2_203_OneTon</t>
        </is>
      </c>
      <c r="E329">
        <v>1</v>
      </c>
      <c r="F329" t="inlineStr">
        <is>
          <t>공격 반복</t>
        </is>
      </c>
      <c r="G329">
        <v>22</v>
      </c>
      <c r="H329">
        <v>0</v>
      </c>
      <c r="I329">
        <v>150</v>
      </c>
      <c r="J329">
        <v>0</v>
      </c>
      <c r="K329">
        <v>0</v>
      </c>
      <c r="L329" t="inlineStr">
        <is>
          <t>차량 적 · 원본 전투/성장/코인 시스템</t>
        </is>
      </c>
      <c r="M329" t="inlineStr">
        <is>
          <t>Normal</t>
        </is>
      </c>
      <c r="N329">
        <v>0</v>
      </c>
      <c r="O329">
        <f>'밸런스 조정'!C154*'밸런스 조정'!C155*'밸런스 조정'!C147*(1+('몬스터 성장'!G6/'몬스터 성장'!F6-1)*(U329/'밸런스 조정'!C119)^'몬스터 성장'!H6)</f>
        <v>1030.68511289</v>
      </c>
      <c r="P329">
        <v>0</v>
      </c>
      <c r="Q329">
        <v>0</v>
      </c>
      <c r="R329">
        <v>62</v>
      </c>
      <c r="S329" t="inlineStr">
        <is>
          <t>OneTon</t>
        </is>
      </c>
      <c r="T329" t="inlineStr">
        <is>
          <t>Open</t>
        </is>
      </c>
      <c r="U329">
        <v>1172.6</v>
      </c>
      <c r="V329">
        <v>2</v>
      </c>
      <c r="W329">
        <v>1090.6</v>
      </c>
      <c r="X329">
        <v>0</v>
      </c>
      <c r="Y329">
        <v>0</v>
      </c>
    </row>
    <row r="330">
      <c r="B330">
        <v>338</v>
      </c>
      <c r="C330" t="inlineStr">
        <is>
          <t>HighWay</t>
        </is>
      </c>
      <c r="D330" t="inlineStr">
        <is>
          <t>HWY2_204_Police</t>
        </is>
      </c>
      <c r="E330">
        <v>1</v>
      </c>
      <c r="F330" t="inlineStr">
        <is>
          <t>공격 반복</t>
        </is>
      </c>
      <c r="G330">
        <v>18</v>
      </c>
      <c r="H330">
        <v>0</v>
      </c>
      <c r="I330">
        <v>150</v>
      </c>
      <c r="J330">
        <v>0</v>
      </c>
      <c r="K330">
        <v>0</v>
      </c>
      <c r="L330" t="inlineStr">
        <is>
          <t>차량 적 · 원본 전투/성장/코인 시스템</t>
        </is>
      </c>
      <c r="M330" t="inlineStr">
        <is>
          <t>Normal</t>
        </is>
      </c>
      <c r="N330">
        <v>0</v>
      </c>
      <c r="O330">
        <f>'밸런스 조정'!C154*'밸런스 조정'!C155*'밸런스 조정'!C151*(1+('몬스터 성장'!G6/'몬스터 성장'!F6-1)*(U330/'밸런스 조정'!C119)^'몬스터 성장'!H6)</f>
        <v>1268.63529152</v>
      </c>
      <c r="P330">
        <v>0</v>
      </c>
      <c r="Q330">
        <v>0</v>
      </c>
      <c r="R330">
        <v>62</v>
      </c>
      <c r="S330" t="inlineStr">
        <is>
          <t>Police</t>
        </is>
      </c>
      <c r="T330" t="inlineStr">
        <is>
          <t>Common</t>
        </is>
      </c>
      <c r="U330">
        <v>1427</v>
      </c>
      <c r="V330">
        <v>1</v>
      </c>
      <c r="W330">
        <v>1327</v>
      </c>
      <c r="X330">
        <v>6</v>
      </c>
      <c r="Y330">
        <v>0</v>
      </c>
    </row>
    <row r="331">
      <c r="B331">
        <v>339</v>
      </c>
      <c r="C331" t="inlineStr">
        <is>
          <t>HighWay</t>
        </is>
      </c>
      <c r="D331" t="inlineStr">
        <is>
          <t>HWY2_205_Tow</t>
        </is>
      </c>
      <c r="E331">
        <v>1</v>
      </c>
      <c r="F331" t="inlineStr">
        <is>
          <t>공격 반복</t>
        </is>
      </c>
      <c r="G331">
        <v>18</v>
      </c>
      <c r="H331">
        <v>0</v>
      </c>
      <c r="I331">
        <v>150</v>
      </c>
      <c r="J331">
        <v>0</v>
      </c>
      <c r="K331">
        <v>0</v>
      </c>
      <c r="L331" t="inlineStr">
        <is>
          <t>차량 적 · 원본 전투/성장/코인 시스템</t>
        </is>
      </c>
      <c r="M331" t="inlineStr">
        <is>
          <t>Normal</t>
        </is>
      </c>
      <c r="N331">
        <v>0</v>
      </c>
      <c r="O331">
        <f>'밸런스 조정'!C154*'밸런스 조정'!C155*'밸런스 조정'!C152*(1+('몬스터 성장'!G6/'몬스터 성장'!F6-1)*(U331/'밸런스 조정'!C119)^'몬스터 성장'!H6)</f>
        <v>1287.89558028</v>
      </c>
      <c r="P331">
        <v>0</v>
      </c>
      <c r="Q331">
        <v>0</v>
      </c>
      <c r="R331">
        <v>62</v>
      </c>
      <c r="S331" t="inlineStr">
        <is>
          <t>Tow</t>
        </is>
      </c>
      <c r="T331" t="inlineStr">
        <is>
          <t>Common</t>
        </is>
      </c>
      <c r="U331">
        <v>1441</v>
      </c>
      <c r="V331">
        <v>0</v>
      </c>
      <c r="W331">
        <v>1327</v>
      </c>
      <c r="X331">
        <v>6</v>
      </c>
      <c r="Y331">
        <v>0</v>
      </c>
    </row>
    <row r="332">
      <c r="B332">
        <v>340</v>
      </c>
      <c r="C332" t="inlineStr">
        <is>
          <t>HighWay</t>
        </is>
      </c>
      <c r="D332" t="inlineStr">
        <is>
          <t>HWY2_206_Tow</t>
        </is>
      </c>
      <c r="E332">
        <v>1</v>
      </c>
      <c r="F332" t="inlineStr">
        <is>
          <t>공격 반복</t>
        </is>
      </c>
      <c r="G332">
        <v>18</v>
      </c>
      <c r="H332">
        <v>0</v>
      </c>
      <c r="I332">
        <v>150</v>
      </c>
      <c r="J332">
        <v>0</v>
      </c>
      <c r="K332">
        <v>0</v>
      </c>
      <c r="L332" t="inlineStr">
        <is>
          <t>차량 적 · 원본 전투/성장/코인 시스템</t>
        </is>
      </c>
      <c r="M332" t="inlineStr">
        <is>
          <t>Normal</t>
        </is>
      </c>
      <c r="N332">
        <v>0</v>
      </c>
      <c r="O332">
        <f>'밸런스 조정'!C154*'밸런스 조정'!C155*'밸런스 조정'!C152*(1+('몬스터 성장'!G6/'몬스터 성장'!F6-1)*(U332/'밸런스 조정'!C119)^'몬스터 성장'!H6)</f>
        <v>1307.34390533</v>
      </c>
      <c r="P332">
        <v>0</v>
      </c>
      <c r="Q332">
        <v>0</v>
      </c>
      <c r="R332">
        <v>62</v>
      </c>
      <c r="S332" t="inlineStr">
        <is>
          <t>Tow</t>
        </is>
      </c>
      <c r="T332" t="inlineStr">
        <is>
          <t>Common</t>
        </is>
      </c>
      <c r="U332">
        <v>1455</v>
      </c>
      <c r="V332">
        <v>2</v>
      </c>
      <c r="W332">
        <v>1327</v>
      </c>
      <c r="X332">
        <v>6</v>
      </c>
      <c r="Y332">
        <v>0</v>
      </c>
    </row>
    <row r="333">
      <c r="B333">
        <v>341</v>
      </c>
      <c r="C333" t="inlineStr">
        <is>
          <t>HighWay</t>
        </is>
      </c>
      <c r="D333" t="inlineStr">
        <is>
          <t>HWY2_207_Police</t>
        </is>
      </c>
      <c r="E333">
        <v>1</v>
      </c>
      <c r="F333" t="inlineStr">
        <is>
          <t>공격 반복</t>
        </is>
      </c>
      <c r="G333">
        <v>18</v>
      </c>
      <c r="H333">
        <v>0</v>
      </c>
      <c r="I333">
        <v>150</v>
      </c>
      <c r="J333">
        <v>0</v>
      </c>
      <c r="K333">
        <v>0</v>
      </c>
      <c r="L333" t="inlineStr">
        <is>
          <t>차량 적 · 원본 전투/성장/코인 시스템</t>
        </is>
      </c>
      <c r="M333" t="inlineStr">
        <is>
          <t>Normal</t>
        </is>
      </c>
      <c r="N333">
        <v>0</v>
      </c>
      <c r="O333">
        <f>'밸런스 조정'!C154*'밸런스 조정'!C155*'밸런스 조정'!C151*(1+('몬스터 성장'!G6/'몬스터 성장'!F6-1)*(U333/'밸런스 조정'!C119)^'몬스터 성장'!H6)</f>
        <v>1326.98026667</v>
      </c>
      <c r="P333">
        <v>0</v>
      </c>
      <c r="Q333">
        <v>0</v>
      </c>
      <c r="R333">
        <v>62</v>
      </c>
      <c r="S333" t="inlineStr">
        <is>
          <t>Police</t>
        </is>
      </c>
      <c r="T333" t="inlineStr">
        <is>
          <t>Common</t>
        </is>
      </c>
      <c r="U333">
        <v>1469</v>
      </c>
      <c r="V333">
        <v>1</v>
      </c>
      <c r="W333">
        <v>1327</v>
      </c>
      <c r="X333">
        <v>6</v>
      </c>
      <c r="Y333">
        <v>0</v>
      </c>
    </row>
    <row r="334">
      <c r="B334">
        <v>342</v>
      </c>
      <c r="C334" t="inlineStr">
        <is>
          <t>HighWay</t>
        </is>
      </c>
      <c r="D334" t="inlineStr">
        <is>
          <t>HWY2_208_Police</t>
        </is>
      </c>
      <c r="E334">
        <v>1</v>
      </c>
      <c r="F334" t="inlineStr">
        <is>
          <t>공격 반복</t>
        </is>
      </c>
      <c r="G334">
        <v>18</v>
      </c>
      <c r="H334">
        <v>0</v>
      </c>
      <c r="I334">
        <v>150</v>
      </c>
      <c r="J334">
        <v>0</v>
      </c>
      <c r="K334">
        <v>0</v>
      </c>
      <c r="L334" t="inlineStr">
        <is>
          <t>차량 적 · 원본 전투/성장/코인 시스템</t>
        </is>
      </c>
      <c r="M334" t="inlineStr">
        <is>
          <t>Normal</t>
        </is>
      </c>
      <c r="N334">
        <v>0</v>
      </c>
      <c r="O334">
        <f>'밸런스 조정'!C154*'밸런스 조정'!C155*'밸런스 조정'!C151*(1+('몬스터 성장'!G6/'몬스터 성장'!F6-1)*(U334/'밸런스 조정'!C119)^'몬스터 성장'!H6)</f>
        <v>1346.8046643</v>
      </c>
      <c r="P334">
        <v>0</v>
      </c>
      <c r="Q334">
        <v>0</v>
      </c>
      <c r="R334">
        <v>62</v>
      </c>
      <c r="S334" t="inlineStr">
        <is>
          <t>Police</t>
        </is>
      </c>
      <c r="T334" t="inlineStr">
        <is>
          <t>Common</t>
        </is>
      </c>
      <c r="U334">
        <v>1483</v>
      </c>
      <c r="V334">
        <v>0</v>
      </c>
      <c r="W334">
        <v>1327</v>
      </c>
      <c r="X334">
        <v>6</v>
      </c>
      <c r="Y334">
        <v>0</v>
      </c>
    </row>
    <row r="335">
      <c r="B335">
        <v>343</v>
      </c>
      <c r="C335" t="inlineStr">
        <is>
          <t>HighWay</t>
        </is>
      </c>
      <c r="D335" t="inlineStr">
        <is>
          <t>HWY2_209_Tow</t>
        </is>
      </c>
      <c r="E335">
        <v>1</v>
      </c>
      <c r="F335" t="inlineStr">
        <is>
          <t>공격 반복</t>
        </is>
      </c>
      <c r="G335">
        <v>18</v>
      </c>
      <c r="H335">
        <v>0</v>
      </c>
      <c r="I335">
        <v>150</v>
      </c>
      <c r="J335">
        <v>0</v>
      </c>
      <c r="K335">
        <v>0</v>
      </c>
      <c r="L335" t="inlineStr">
        <is>
          <t>차량 적 · 원본 전투/성장/코인 시스템</t>
        </is>
      </c>
      <c r="M335" t="inlineStr">
        <is>
          <t>Normal</t>
        </is>
      </c>
      <c r="N335">
        <v>0</v>
      </c>
      <c r="O335">
        <f>'밸런스 조정'!C154*'밸런스 조정'!C155*'밸런스 조정'!C152*(1+('몬스터 성장'!G6/'몬스터 성장'!F6-1)*(U335/'밸런스 조정'!C119)^'몬스터 성장'!H6)</f>
        <v>1366.81709822</v>
      </c>
      <c r="P335">
        <v>0</v>
      </c>
      <c r="Q335">
        <v>0</v>
      </c>
      <c r="R335">
        <v>62</v>
      </c>
      <c r="S335" t="inlineStr">
        <is>
          <t>Tow</t>
        </is>
      </c>
      <c r="T335" t="inlineStr">
        <is>
          <t>Common</t>
        </is>
      </c>
      <c r="U335">
        <v>1497</v>
      </c>
      <c r="V335">
        <v>2</v>
      </c>
      <c r="W335">
        <v>1327</v>
      </c>
      <c r="X335">
        <v>6</v>
      </c>
      <c r="Y335">
        <v>0</v>
      </c>
    </row>
    <row r="336">
      <c r="B336">
        <v>344</v>
      </c>
      <c r="C336" t="inlineStr">
        <is>
          <t>HighWay</t>
        </is>
      </c>
      <c r="D336" t="inlineStr">
        <is>
          <t>HWY2_210_Police</t>
        </is>
      </c>
      <c r="E336">
        <v>1</v>
      </c>
      <c r="F336" t="inlineStr">
        <is>
          <t>공격 반복</t>
        </is>
      </c>
      <c r="G336">
        <v>18</v>
      </c>
      <c r="H336">
        <v>0</v>
      </c>
      <c r="I336">
        <v>150</v>
      </c>
      <c r="J336">
        <v>0</v>
      </c>
      <c r="K336">
        <v>0</v>
      </c>
      <c r="L336" t="inlineStr">
        <is>
          <t>차량 적 · 원본 전투/성장/코인 시스템</t>
        </is>
      </c>
      <c r="M336" t="inlineStr">
        <is>
          <t>Normal</t>
        </is>
      </c>
      <c r="N336">
        <v>0</v>
      </c>
      <c r="O336">
        <f>'밸런스 조정'!C154*'밸런스 조정'!C155*'밸런스 조정'!C151*(1+('몬스터 성장'!G6/'몬스터 성장'!F6-1)*(U336/'밸런스 조정'!C119)^'몬스터 성장'!H6)</f>
        <v>1387.01756844</v>
      </c>
      <c r="P336">
        <v>0</v>
      </c>
      <c r="Q336">
        <v>0</v>
      </c>
      <c r="R336">
        <v>62</v>
      </c>
      <c r="S336" t="inlineStr">
        <is>
          <t>Police</t>
        </is>
      </c>
      <c r="T336" t="inlineStr">
        <is>
          <t>Common</t>
        </is>
      </c>
      <c r="U336">
        <v>1511</v>
      </c>
      <c r="V336">
        <v>1</v>
      </c>
      <c r="W336">
        <v>1327</v>
      </c>
      <c r="X336">
        <v>6</v>
      </c>
      <c r="Y336">
        <v>0</v>
      </c>
    </row>
    <row r="337">
      <c r="B337">
        <v>345</v>
      </c>
      <c r="C337" t="inlineStr">
        <is>
          <t>HighWay</t>
        </is>
      </c>
      <c r="D337" t="inlineStr">
        <is>
          <t>HWY2_211_Police</t>
        </is>
      </c>
      <c r="E337">
        <v>1</v>
      </c>
      <c r="F337" t="inlineStr">
        <is>
          <t>공격 반복</t>
        </is>
      </c>
      <c r="G337">
        <v>18</v>
      </c>
      <c r="H337">
        <v>0</v>
      </c>
      <c r="I337">
        <v>150</v>
      </c>
      <c r="J337">
        <v>0</v>
      </c>
      <c r="K337">
        <v>0</v>
      </c>
      <c r="L337" t="inlineStr">
        <is>
          <t>차량 적 · 원본 전투/성장/코인 시스템</t>
        </is>
      </c>
      <c r="M337" t="inlineStr">
        <is>
          <t>Normal</t>
        </is>
      </c>
      <c r="N337">
        <v>0</v>
      </c>
      <c r="O337">
        <f>'밸런스 조정'!C154*'밸런스 조정'!C155*'밸런스 조정'!C151*(1+('몬스터 성장'!G6/'몬스터 성장'!F6-1)*(U337/'밸런스 조정'!C119)^'몬스터 성장'!H6)</f>
        <v>1407.40607495</v>
      </c>
      <c r="P337">
        <v>0</v>
      </c>
      <c r="Q337">
        <v>0</v>
      </c>
      <c r="R337">
        <v>62</v>
      </c>
      <c r="S337" t="inlineStr">
        <is>
          <t>Police</t>
        </is>
      </c>
      <c r="T337" t="inlineStr">
        <is>
          <t>Common</t>
        </is>
      </c>
      <c r="U337">
        <v>1525</v>
      </c>
      <c r="V337">
        <v>0</v>
      </c>
      <c r="W337">
        <v>1327</v>
      </c>
      <c r="X337">
        <v>6</v>
      </c>
      <c r="Y337">
        <v>0</v>
      </c>
    </row>
    <row r="338">
      <c r="B338">
        <v>346</v>
      </c>
      <c r="C338" t="inlineStr">
        <is>
          <t>HighWay</t>
        </is>
      </c>
      <c r="D338" t="inlineStr">
        <is>
          <t>HWY2_212_Sedan</t>
        </is>
      </c>
      <c r="E338">
        <v>1</v>
      </c>
      <c r="F338" t="inlineStr">
        <is>
          <t>공격 반복</t>
        </is>
      </c>
      <c r="G338">
        <v>12</v>
      </c>
      <c r="H338">
        <v>0</v>
      </c>
      <c r="I338">
        <v>150</v>
      </c>
      <c r="J338">
        <v>0</v>
      </c>
      <c r="K338">
        <v>0</v>
      </c>
      <c r="L338" t="inlineStr">
        <is>
          <t>차량 적 · 원본 전투/성장/코인 시스템</t>
        </is>
      </c>
      <c r="M338" t="inlineStr">
        <is>
          <t>Normal</t>
        </is>
      </c>
      <c r="N338">
        <v>0</v>
      </c>
      <c r="O338">
        <f>'밸런스 조정'!C154*'밸런스 조정'!C155*'밸런스 조정'!C145*(1+('몬스터 성장'!G6/'몬스터 성장'!F6-1)*(U338/'밸런스 조정'!C119)^'몬스터 성장'!H6)</f>
        <v>1962.65917686</v>
      </c>
      <c r="P338">
        <v>0</v>
      </c>
      <c r="Q338">
        <v>0</v>
      </c>
      <c r="R338">
        <v>62</v>
      </c>
      <c r="S338" t="inlineStr">
        <is>
          <t>Sedan</t>
        </is>
      </c>
      <c r="T338" t="inlineStr">
        <is>
          <t>Common</t>
        </is>
      </c>
      <c r="U338">
        <v>2074</v>
      </c>
      <c r="V338">
        <v>0</v>
      </c>
      <c r="W338">
        <v>1992</v>
      </c>
      <c r="X338">
        <v>0</v>
      </c>
      <c r="Y338">
        <v>0</v>
      </c>
    </row>
    <row r="339">
      <c r="B339">
        <v>347</v>
      </c>
      <c r="C339" t="inlineStr">
        <is>
          <t>HighWay</t>
        </is>
      </c>
      <c r="D339" t="inlineStr">
        <is>
          <t>HWY2_213_Taxi</t>
        </is>
      </c>
      <c r="E339">
        <v>1</v>
      </c>
      <c r="F339" t="inlineStr">
        <is>
          <t>공격 반복</t>
        </is>
      </c>
      <c r="G339">
        <v>12</v>
      </c>
      <c r="H339">
        <v>0</v>
      </c>
      <c r="I339">
        <v>150</v>
      </c>
      <c r="J339">
        <v>0</v>
      </c>
      <c r="K339">
        <v>0</v>
      </c>
      <c r="L339" t="inlineStr">
        <is>
          <t>차량 적 · 원본 전투/성장/코인 시스템</t>
        </is>
      </c>
      <c r="M339" t="inlineStr">
        <is>
          <t>Normal</t>
        </is>
      </c>
      <c r="N339">
        <v>0</v>
      </c>
      <c r="O339">
        <f>'밸런스 조정'!C154*'밸런스 조정'!C155*'밸런스 조정'!C146*(1+('몬스터 성장'!G6/'몬스터 성장'!F6-1)*(U339/'밸런스 조정'!C119)^'몬스터 성장'!H6)</f>
        <v>1994.30755556</v>
      </c>
      <c r="P339">
        <v>0</v>
      </c>
      <c r="Q339">
        <v>0</v>
      </c>
      <c r="R339">
        <v>62</v>
      </c>
      <c r="S339" t="inlineStr">
        <is>
          <t>Taxi</t>
        </is>
      </c>
      <c r="T339" t="inlineStr">
        <is>
          <t>Common</t>
        </is>
      </c>
      <c r="U339">
        <v>2093</v>
      </c>
      <c r="V339">
        <v>1</v>
      </c>
      <c r="W339">
        <v>2011</v>
      </c>
      <c r="X339">
        <v>0</v>
      </c>
      <c r="Y339">
        <v>0</v>
      </c>
    </row>
    <row r="340">
      <c r="B340">
        <v>348</v>
      </c>
      <c r="C340" t="inlineStr">
        <is>
          <t>HighWay</t>
        </is>
      </c>
      <c r="D340" t="inlineStr">
        <is>
          <t>HWY2_214_OneTon</t>
        </is>
      </c>
      <c r="E340">
        <v>1</v>
      </c>
      <c r="F340" t="inlineStr">
        <is>
          <t>공격 반복</t>
        </is>
      </c>
      <c r="G340">
        <v>12</v>
      </c>
      <c r="H340">
        <v>0</v>
      </c>
      <c r="I340">
        <v>150</v>
      </c>
      <c r="J340">
        <v>0</v>
      </c>
      <c r="K340">
        <v>0</v>
      </c>
      <c r="L340" t="inlineStr">
        <is>
          <t>차량 적 · 원본 전투/성장/코인 시스템</t>
        </is>
      </c>
      <c r="M340" t="inlineStr">
        <is>
          <t>Normal</t>
        </is>
      </c>
      <c r="N340">
        <v>0</v>
      </c>
      <c r="O340">
        <f>'밸런스 조정'!C154*'밸런스 조정'!C155*'밸런스 조정'!C147*(1+('몬스터 성장'!G6/'몬스터 성장'!F6-1)*(U340/'밸런스 조정'!C119)^'몬스터 성장'!H6)</f>
        <v>2634.11790769</v>
      </c>
      <c r="P340">
        <v>0</v>
      </c>
      <c r="Q340">
        <v>0</v>
      </c>
      <c r="R340">
        <v>62</v>
      </c>
      <c r="S340" t="inlineStr">
        <is>
          <t>OneTon</t>
        </is>
      </c>
      <c r="T340" t="inlineStr">
        <is>
          <t>Common</t>
        </is>
      </c>
      <c r="U340">
        <v>2112</v>
      </c>
      <c r="V340">
        <v>2</v>
      </c>
      <c r="W340">
        <v>2030</v>
      </c>
      <c r="X340">
        <v>0</v>
      </c>
      <c r="Y340">
        <v>0</v>
      </c>
    </row>
    <row r="341">
      <c r="B341">
        <v>349</v>
      </c>
      <c r="C341" t="inlineStr">
        <is>
          <t>HighWay</t>
        </is>
      </c>
      <c r="D341" t="inlineStr">
        <is>
          <t>HWY2_215_Box</t>
        </is>
      </c>
      <c r="E341">
        <v>1</v>
      </c>
      <c r="F341" t="inlineStr">
        <is>
          <t>공격 반복</t>
        </is>
      </c>
      <c r="G341">
        <v>12</v>
      </c>
      <c r="H341">
        <v>0</v>
      </c>
      <c r="I341">
        <v>150</v>
      </c>
      <c r="J341">
        <v>0</v>
      </c>
      <c r="K341">
        <v>0</v>
      </c>
      <c r="L341" t="inlineStr">
        <is>
          <t>차량 적 · 원본 전투/성장/코인 시스템</t>
        </is>
      </c>
      <c r="M341" t="inlineStr">
        <is>
          <t>Normal</t>
        </is>
      </c>
      <c r="N341">
        <v>0</v>
      </c>
      <c r="O341">
        <f>'밸런스 조정'!C154*'밸런스 조정'!C155*'밸런스 조정'!C148*(1+('몬스터 성장'!G6/'몬스터 성장'!F6-1)*(U341/'밸런스 조정'!C119)^'몬스터 성장'!H6)</f>
        <v>3293.55222932</v>
      </c>
      <c r="P341">
        <v>0</v>
      </c>
      <c r="Q341">
        <v>0</v>
      </c>
      <c r="R341">
        <v>62</v>
      </c>
      <c r="S341" t="inlineStr">
        <is>
          <t>Box</t>
        </is>
      </c>
      <c r="T341" t="inlineStr">
        <is>
          <t>Common</t>
        </is>
      </c>
      <c r="U341">
        <v>2131</v>
      </c>
      <c r="V341">
        <v>0</v>
      </c>
      <c r="W341">
        <v>2049</v>
      </c>
      <c r="X341">
        <v>0</v>
      </c>
      <c r="Y341">
        <v>0</v>
      </c>
    </row>
    <row r="342">
      <c r="B342">
        <v>350</v>
      </c>
      <c r="C342" t="inlineStr">
        <is>
          <t>HighWay</t>
        </is>
      </c>
      <c r="D342" t="inlineStr">
        <is>
          <t>HWY2_216_Sedan</t>
        </is>
      </c>
      <c r="E342">
        <v>1</v>
      </c>
      <c r="F342" t="inlineStr">
        <is>
          <t>공격 반복</t>
        </is>
      </c>
      <c r="G342">
        <v>12</v>
      </c>
      <c r="H342">
        <v>0</v>
      </c>
      <c r="I342">
        <v>150</v>
      </c>
      <c r="J342">
        <v>0</v>
      </c>
      <c r="K342">
        <v>0</v>
      </c>
      <c r="L342" t="inlineStr">
        <is>
          <t>차량 적 · 원본 전투/성장/코인 시스템</t>
        </is>
      </c>
      <c r="M342" t="inlineStr">
        <is>
          <t>Normal</t>
        </is>
      </c>
      <c r="N342">
        <v>0</v>
      </c>
      <c r="O342">
        <f>'밸런스 조정'!C154*'밸런스 조정'!C155*'밸런스 조정'!C145*(1+('몬스터 성장'!G6/'몬스터 성장'!F6-1)*(U342/'밸런스 조정'!C119)^'몬스터 성장'!H6)</f>
        <v>2090.9843524</v>
      </c>
      <c r="P342">
        <v>0</v>
      </c>
      <c r="Q342">
        <v>0</v>
      </c>
      <c r="R342">
        <v>62</v>
      </c>
      <c r="S342" t="inlineStr">
        <is>
          <t>Sedan</t>
        </is>
      </c>
      <c r="T342" t="inlineStr">
        <is>
          <t>Common</t>
        </is>
      </c>
      <c r="U342">
        <v>2150</v>
      </c>
      <c r="V342">
        <v>1</v>
      </c>
      <c r="W342">
        <v>2068</v>
      </c>
      <c r="X342">
        <v>0</v>
      </c>
      <c r="Y342">
        <v>0</v>
      </c>
    </row>
    <row r="343">
      <c r="B343">
        <v>351</v>
      </c>
      <c r="C343" t="inlineStr">
        <is>
          <t>HighWay</t>
        </is>
      </c>
      <c r="D343" t="inlineStr">
        <is>
          <t>HWY2_217_Tanker</t>
        </is>
      </c>
      <c r="E343">
        <v>1</v>
      </c>
      <c r="F343" t="inlineStr">
        <is>
          <t>공격 반복</t>
        </is>
      </c>
      <c r="G343">
        <v>12</v>
      </c>
      <c r="H343">
        <v>0</v>
      </c>
      <c r="I343">
        <v>150</v>
      </c>
      <c r="J343">
        <v>0</v>
      </c>
      <c r="K343">
        <v>0</v>
      </c>
      <c r="L343" t="inlineStr">
        <is>
          <t>차량 적 · 원본 전투/성장/코인 시스템</t>
        </is>
      </c>
      <c r="M343" t="inlineStr">
        <is>
          <t>Normal</t>
        </is>
      </c>
      <c r="N343">
        <v>0</v>
      </c>
      <c r="O343">
        <f>'밸런스 조정'!C154*'밸런스 조정'!C155*'밸런스 조정'!C149*(1+('몬스터 성장'!G6/'몬스터 성장'!F6-1)*(U343/'밸런스 조정'!C119)^'몬스터 성장'!H6)</f>
        <v>4247.5743432</v>
      </c>
      <c r="P343">
        <v>0</v>
      </c>
      <c r="Q343">
        <v>0</v>
      </c>
      <c r="R343">
        <v>124</v>
      </c>
      <c r="S343" t="inlineStr">
        <is>
          <t>Tanker</t>
        </is>
      </c>
      <c r="T343" t="inlineStr">
        <is>
          <t>Common</t>
        </is>
      </c>
      <c r="U343">
        <v>2169</v>
      </c>
      <c r="V343">
        <v>2</v>
      </c>
      <c r="W343">
        <v>2087</v>
      </c>
      <c r="X343">
        <v>0</v>
      </c>
      <c r="Y343">
        <v>0</v>
      </c>
    </row>
    <row r="344">
      <c r="B344">
        <v>352</v>
      </c>
      <c r="C344" t="inlineStr">
        <is>
          <t>HighWay</t>
        </is>
      </c>
      <c r="D344" t="inlineStr">
        <is>
          <t>HWY2_218_Sedan</t>
        </is>
      </c>
      <c r="E344">
        <v>1</v>
      </c>
      <c r="F344" t="inlineStr">
        <is>
          <t>공격 반복</t>
        </is>
      </c>
      <c r="G344">
        <v>12</v>
      </c>
      <c r="H344">
        <v>0</v>
      </c>
      <c r="I344">
        <v>150</v>
      </c>
      <c r="J344">
        <v>0</v>
      </c>
      <c r="K344">
        <v>0</v>
      </c>
      <c r="L344" t="inlineStr">
        <is>
          <t>차량 적 · 원본 전투/성장/코인 시스템</t>
        </is>
      </c>
      <c r="M344" t="inlineStr">
        <is>
          <t>Normal</t>
        </is>
      </c>
      <c r="N344">
        <v>0</v>
      </c>
      <c r="O344">
        <f>'밸런스 조정'!C154*'밸런스 조정'!C155*'밸런스 조정'!C145*(1+('몬스터 성장'!G6/'몬스터 성장'!F6-1)*(U344/'밸런스 조정'!C119)^'몬스터 성장'!H6)</f>
        <v>2156.87860092</v>
      </c>
      <c r="P344">
        <v>0</v>
      </c>
      <c r="Q344">
        <v>0</v>
      </c>
      <c r="R344">
        <v>62</v>
      </c>
      <c r="S344" t="inlineStr">
        <is>
          <t>Sedan</t>
        </is>
      </c>
      <c r="T344" t="inlineStr">
        <is>
          <t>Common</t>
        </is>
      </c>
      <c r="U344">
        <v>2188</v>
      </c>
      <c r="V344">
        <v>0</v>
      </c>
      <c r="W344">
        <v>2106</v>
      </c>
      <c r="X344">
        <v>0</v>
      </c>
      <c r="Y344">
        <v>0</v>
      </c>
    </row>
    <row r="345">
      <c r="B345">
        <v>353</v>
      </c>
      <c r="C345" t="inlineStr">
        <is>
          <t>HighWay</t>
        </is>
      </c>
      <c r="D345" t="inlineStr">
        <is>
          <t>HWY2_219_Taxi</t>
        </is>
      </c>
      <c r="E345">
        <v>1</v>
      </c>
      <c r="F345" t="inlineStr">
        <is>
          <t>공격 반복</t>
        </is>
      </c>
      <c r="G345">
        <v>12</v>
      </c>
      <c r="H345">
        <v>0</v>
      </c>
      <c r="I345">
        <v>150</v>
      </c>
      <c r="J345">
        <v>0</v>
      </c>
      <c r="K345">
        <v>0</v>
      </c>
      <c r="L345" t="inlineStr">
        <is>
          <t>차량 적 · 원본 전투/성장/코인 시스템</t>
        </is>
      </c>
      <c r="M345" t="inlineStr">
        <is>
          <t>Normal</t>
        </is>
      </c>
      <c r="N345">
        <v>0</v>
      </c>
      <c r="O345">
        <f>'밸런스 조정'!C154*'밸런스 조정'!C155*'밸런스 조정'!C146*(1+('몬스터 성장'!G6/'몬스터 성장'!F6-1)*(U345/'밸런스 조정'!C119)^'몬스터 성장'!H6)</f>
        <v>2190.25864037</v>
      </c>
      <c r="P345">
        <v>0</v>
      </c>
      <c r="Q345">
        <v>0</v>
      </c>
      <c r="R345">
        <v>62</v>
      </c>
      <c r="S345" t="inlineStr">
        <is>
          <t>Taxi</t>
        </is>
      </c>
      <c r="T345" t="inlineStr">
        <is>
          <t>Common</t>
        </is>
      </c>
      <c r="U345">
        <v>2207</v>
      </c>
      <c r="V345">
        <v>1</v>
      </c>
      <c r="W345">
        <v>2125</v>
      </c>
      <c r="X345">
        <v>0</v>
      </c>
      <c r="Y345">
        <v>0</v>
      </c>
    </row>
    <row r="346">
      <c r="B346">
        <v>354</v>
      </c>
      <c r="C346" t="inlineStr">
        <is>
          <t>HighWay</t>
        </is>
      </c>
      <c r="D346" t="inlineStr">
        <is>
          <t>HWY2_220_OneTon</t>
        </is>
      </c>
      <c r="E346">
        <v>1</v>
      </c>
      <c r="F346" t="inlineStr">
        <is>
          <t>공격 반복</t>
        </is>
      </c>
      <c r="G346">
        <v>12</v>
      </c>
      <c r="H346">
        <v>0</v>
      </c>
      <c r="I346">
        <v>150</v>
      </c>
      <c r="J346">
        <v>0</v>
      </c>
      <c r="K346">
        <v>0</v>
      </c>
      <c r="L346" t="inlineStr">
        <is>
          <t>차량 적 · 원본 전투/성장/코인 시스템</t>
        </is>
      </c>
      <c r="M346" t="inlineStr">
        <is>
          <t>Normal</t>
        </is>
      </c>
      <c r="N346">
        <v>0</v>
      </c>
      <c r="O346">
        <f>'밸런스 조정'!C154*'밸런스 조정'!C155*'밸런스 조정'!C147*(1+('몬스터 성장'!G6/'몬스터 성장'!F6-1)*(U346/'밸런스 조정'!C119)^'몬스터 성장'!H6)</f>
        <v>2891.10547692</v>
      </c>
      <c r="P346">
        <v>0</v>
      </c>
      <c r="Q346">
        <v>0</v>
      </c>
      <c r="R346">
        <v>62</v>
      </c>
      <c r="S346" t="inlineStr">
        <is>
          <t>OneTon</t>
        </is>
      </c>
      <c r="T346" t="inlineStr">
        <is>
          <t>Common</t>
        </is>
      </c>
      <c r="U346">
        <v>2226</v>
      </c>
      <c r="V346">
        <v>2</v>
      </c>
      <c r="W346">
        <v>2144</v>
      </c>
      <c r="X346">
        <v>0</v>
      </c>
      <c r="Y346">
        <v>0</v>
      </c>
    </row>
    <row r="347">
      <c r="B347">
        <v>355</v>
      </c>
      <c r="C347" t="inlineStr">
        <is>
          <t>HighWay</t>
        </is>
      </c>
      <c r="D347" t="inlineStr">
        <is>
          <t>HWY2_221_Box</t>
        </is>
      </c>
      <c r="E347">
        <v>1</v>
      </c>
      <c r="F347" t="inlineStr">
        <is>
          <t>공격 반복</t>
        </is>
      </c>
      <c r="G347">
        <v>12</v>
      </c>
      <c r="H347">
        <v>0</v>
      </c>
      <c r="I347">
        <v>150</v>
      </c>
      <c r="J347">
        <v>0</v>
      </c>
      <c r="K347">
        <v>0</v>
      </c>
      <c r="L347" t="inlineStr">
        <is>
          <t>차량 적 · 원본 전투/성장/코인 시스템</t>
        </is>
      </c>
      <c r="M347" t="inlineStr">
        <is>
          <t>Normal</t>
        </is>
      </c>
      <c r="N347">
        <v>0</v>
      </c>
      <c r="O347">
        <f>'밸런스 조정'!C154*'밸런스 조정'!C155*'밸런스 조정'!C148*(1+('몬스터 성장'!G6/'몬스터 성장'!F6-1)*(U347/'밸런스 조정'!C119)^'몬스터 성장'!H6)</f>
        <v>3612.61527942</v>
      </c>
      <c r="P347">
        <v>0</v>
      </c>
      <c r="Q347">
        <v>0</v>
      </c>
      <c r="R347">
        <v>62</v>
      </c>
      <c r="S347" t="inlineStr">
        <is>
          <t>Box</t>
        </is>
      </c>
      <c r="T347" t="inlineStr">
        <is>
          <t>Common</t>
        </is>
      </c>
      <c r="U347">
        <v>2245</v>
      </c>
      <c r="V347">
        <v>0</v>
      </c>
      <c r="W347">
        <v>2163</v>
      </c>
      <c r="X347">
        <v>0</v>
      </c>
      <c r="Y347">
        <v>0</v>
      </c>
    </row>
    <row r="348">
      <c r="B348">
        <v>356</v>
      </c>
      <c r="C348" t="inlineStr">
        <is>
          <t>HighWay</t>
        </is>
      </c>
      <c r="D348" t="inlineStr">
        <is>
          <t>HWY2_222_Sedan</t>
        </is>
      </c>
      <c r="E348">
        <v>1</v>
      </c>
      <c r="F348" t="inlineStr">
        <is>
          <t>공격 반복</t>
        </is>
      </c>
      <c r="G348">
        <v>12</v>
      </c>
      <c r="H348">
        <v>0</v>
      </c>
      <c r="I348">
        <v>150</v>
      </c>
      <c r="J348">
        <v>0</v>
      </c>
      <c r="K348">
        <v>0</v>
      </c>
      <c r="L348" t="inlineStr">
        <is>
          <t>차량 적 · 원본 전투/성장/코인 시스템</t>
        </is>
      </c>
      <c r="M348" t="inlineStr">
        <is>
          <t>Normal</t>
        </is>
      </c>
      <c r="N348">
        <v>0</v>
      </c>
      <c r="O348">
        <f>'밸런스 조정'!C154*'밸런스 조정'!C155*'밸런스 조정'!C145*(1+('몬스터 성장'!G6/'몬스터 성장'!F6-1)*(U348/'밸런스 조정'!C119)^'몬스터 성장'!H6)</f>
        <v>2292.13041946</v>
      </c>
      <c r="P348">
        <v>0</v>
      </c>
      <c r="Q348">
        <v>0</v>
      </c>
      <c r="R348">
        <v>62</v>
      </c>
      <c r="S348" t="inlineStr">
        <is>
          <t>Sedan</t>
        </is>
      </c>
      <c r="T348" t="inlineStr">
        <is>
          <t>Common</t>
        </is>
      </c>
      <c r="U348">
        <v>2264</v>
      </c>
      <c r="V348">
        <v>1</v>
      </c>
      <c r="W348">
        <v>2182</v>
      </c>
      <c r="X348">
        <v>0</v>
      </c>
      <c r="Y348">
        <v>0</v>
      </c>
    </row>
    <row r="349">
      <c r="B349">
        <v>357</v>
      </c>
      <c r="C349" t="inlineStr">
        <is>
          <t>HighWay</t>
        </is>
      </c>
      <c r="D349" t="inlineStr">
        <is>
          <t>HWY2_223_Tanker</t>
        </is>
      </c>
      <c r="E349">
        <v>1</v>
      </c>
      <c r="F349" t="inlineStr">
        <is>
          <t>공격 반복</t>
        </is>
      </c>
      <c r="G349">
        <v>12</v>
      </c>
      <c r="H349">
        <v>0</v>
      </c>
      <c r="I349">
        <v>150</v>
      </c>
      <c r="J349">
        <v>0</v>
      </c>
      <c r="K349">
        <v>0</v>
      </c>
      <c r="L349" t="inlineStr">
        <is>
          <t>차량 적 · 원본 전투/성장/코인 시스템</t>
        </is>
      </c>
      <c r="M349" t="inlineStr">
        <is>
          <t>Normal</t>
        </is>
      </c>
      <c r="N349">
        <v>0</v>
      </c>
      <c r="O349">
        <f>'밸런스 조정'!C154*'밸런스 조정'!C155*'밸런스 조정'!C149*(1+('몬스터 성장'!G6/'몬스터 성장'!F6-1)*(U349/'밸런스 조정'!C119)^'몬스터 성장'!H6)</f>
        <v>4653.32979882</v>
      </c>
      <c r="P349">
        <v>0</v>
      </c>
      <c r="Q349">
        <v>0</v>
      </c>
      <c r="R349">
        <v>124</v>
      </c>
      <c r="S349" t="inlineStr">
        <is>
          <t>Tanker</t>
        </is>
      </c>
      <c r="T349" t="inlineStr">
        <is>
          <t>Common</t>
        </is>
      </c>
      <c r="U349">
        <v>2283</v>
      </c>
      <c r="V349">
        <v>2</v>
      </c>
      <c r="W349">
        <v>2201</v>
      </c>
      <c r="X349">
        <v>0</v>
      </c>
      <c r="Y349">
        <v>0</v>
      </c>
    </row>
    <row r="350">
      <c r="B350">
        <v>358</v>
      </c>
      <c r="C350" t="inlineStr">
        <is>
          <t>HighWay</t>
        </is>
      </c>
      <c r="D350" t="inlineStr">
        <is>
          <t>HWY2_224_Sedan</t>
        </is>
      </c>
      <c r="E350">
        <v>1</v>
      </c>
      <c r="F350" t="inlineStr">
        <is>
          <t>공격 반복</t>
        </is>
      </c>
      <c r="G350">
        <v>12</v>
      </c>
      <c r="H350">
        <v>0</v>
      </c>
      <c r="I350">
        <v>150</v>
      </c>
      <c r="J350">
        <v>0</v>
      </c>
      <c r="K350">
        <v>0</v>
      </c>
      <c r="L350" t="inlineStr">
        <is>
          <t>차량 적 · 원본 전투/성장/코인 시스템</t>
        </is>
      </c>
      <c r="M350" t="inlineStr">
        <is>
          <t>Normal</t>
        </is>
      </c>
      <c r="N350">
        <v>0</v>
      </c>
      <c r="O350">
        <f>'밸런스 조정'!C154*'밸런스 조정'!C155*'밸런스 조정'!C145*(1+('몬스터 성장'!G6/'몬스터 성장'!F6-1)*(U350/'밸런스 조정'!C119)^'몬스터 성장'!H6)</f>
        <v>2361.48798948</v>
      </c>
      <c r="P350">
        <v>0</v>
      </c>
      <c r="Q350">
        <v>0</v>
      </c>
      <c r="R350">
        <v>62</v>
      </c>
      <c r="S350" t="inlineStr">
        <is>
          <t>Sedan</t>
        </is>
      </c>
      <c r="T350" t="inlineStr">
        <is>
          <t>Common</t>
        </is>
      </c>
      <c r="U350">
        <v>2302</v>
      </c>
      <c r="V350">
        <v>0</v>
      </c>
      <c r="W350">
        <v>2220</v>
      </c>
      <c r="X350">
        <v>0</v>
      </c>
      <c r="Y350">
        <v>0</v>
      </c>
    </row>
    <row r="351">
      <c r="B351">
        <v>359</v>
      </c>
      <c r="C351" t="inlineStr">
        <is>
          <t>HighWay</t>
        </is>
      </c>
      <c r="D351" t="inlineStr">
        <is>
          <t>HWY2_225_Taxi</t>
        </is>
      </c>
      <c r="E351">
        <v>1</v>
      </c>
      <c r="F351" t="inlineStr">
        <is>
          <t>공격 반복</t>
        </is>
      </c>
      <c r="G351">
        <v>12</v>
      </c>
      <c r="H351">
        <v>0</v>
      </c>
      <c r="I351">
        <v>150</v>
      </c>
      <c r="J351">
        <v>0</v>
      </c>
      <c r="K351">
        <v>0</v>
      </c>
      <c r="L351" t="inlineStr">
        <is>
          <t>차량 적 · 원본 전투/성장/코인 시스템</t>
        </is>
      </c>
      <c r="M351" t="inlineStr">
        <is>
          <t>Normal</t>
        </is>
      </c>
      <c r="N351">
        <v>0</v>
      </c>
      <c r="O351">
        <f>'밸런스 조정'!C154*'밸런스 조정'!C155*'밸런스 조정'!C146*(1+('몬스터 성장'!G6/'몬스터 성장'!F6-1)*(U351/'밸런스 조정'!C119)^'몬스터 성장'!H6)</f>
        <v>2396.59968968</v>
      </c>
      <c r="P351">
        <v>0</v>
      </c>
      <c r="Q351">
        <v>0</v>
      </c>
      <c r="R351">
        <v>62</v>
      </c>
      <c r="S351" t="inlineStr">
        <is>
          <t>Taxi</t>
        </is>
      </c>
      <c r="T351" t="inlineStr">
        <is>
          <t>Common</t>
        </is>
      </c>
      <c r="U351">
        <v>2321</v>
      </c>
      <c r="V351">
        <v>1</v>
      </c>
      <c r="W351">
        <v>2239</v>
      </c>
      <c r="X351">
        <v>0</v>
      </c>
      <c r="Y351">
        <v>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G65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inlineStr">
        <is>
          <t>Normal</t>
        </is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inlineStr">
        <is>
          <t>Normal</t>
        </is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inlineStr">
        <is>
          <t>Normal</t>
        </is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inlineStr">
        <is>
          <t>Normal</t>
        </is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inlineStr">
        <is>
          <t>Normal</t>
        </is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inlineStr">
        <is>
          <t>Normal</t>
        </is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inlineStr">
        <is>
          <t>Normal</t>
        </is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inlineStr">
        <is>
          <t>Normal</t>
        </is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inlineStr">
        <is>
          <t>Normal</t>
        </is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inlineStr">
        <is>
          <t>Normal</t>
        </is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inlineStr">
        <is>
          <t>Normal</t>
        </is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inlineStr">
        <is>
          <t>Normal</t>
        </is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0</v>
      </c>
      <c r="F40" t="inlineStr">
        <is>
          <t>Normal</t>
        </is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0</v>
      </c>
      <c r="F41" t="inlineStr">
        <is>
          <t>Normal</t>
        </is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0</v>
      </c>
      <c r="F42" t="inlineStr">
        <is>
          <t>Normal</t>
        </is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0</v>
      </c>
      <c r="F43" t="inlineStr">
        <is>
          <t>Normal</t>
        </is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0</v>
      </c>
      <c r="F44" t="inlineStr">
        <is>
          <t>Normal</t>
        </is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0</v>
      </c>
      <c r="F45" t="inlineStr">
        <is>
          <t>Normal</t>
        </is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0</v>
      </c>
      <c r="F46" t="inlineStr">
        <is>
          <t>Normal</t>
        </is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0</v>
      </c>
      <c r="F47" t="inlineStr">
        <is>
          <t>Normal</t>
        </is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0</v>
      </c>
      <c r="F48" t="inlineStr">
        <is>
          <t>Normal</t>
        </is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0</v>
      </c>
      <c r="F49" t="inlineStr">
        <is>
          <t>Normal</t>
        </is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0</v>
      </c>
      <c r="F50" t="inlineStr">
        <is>
          <t>Normal</t>
        </is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0</v>
      </c>
      <c r="F51" t="inlineStr">
        <is>
          <t>Normal</t>
        </is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0</v>
      </c>
      <c r="F52" t="inlineStr">
        <is>
          <t>Normal</t>
        </is>
      </c>
      <c r="G52" t="s">
        <v>388</v>
      </c>
    </row>
    <row r="53" spans="2:7">
      <c r="B53">
        <v>56</v>
      </c>
      <c r="C53" t="s">
        <v>307</v>
      </c>
      <c r="D53" t="s">
        <v>419</v>
      </c>
      <c r="E53">
        <v>1</v>
      </c>
      <c r="F53" t="s">
        <v>43</v>
      </c>
      <c r="G53" t="s">
        <v>414</v>
      </c>
    </row>
    <row r="54" spans="2:7">
      <c r="B54">
        <v>57</v>
      </c>
      <c r="C54" t="s">
        <v>307</v>
      </c>
      <c r="D54" t="s">
        <v>420</v>
      </c>
      <c r="E54">
        <v>1</v>
      </c>
      <c r="F54" t="s">
        <v>43</v>
      </c>
      <c r="G54" t="s">
        <v>414</v>
      </c>
    </row>
    <row r="55" spans="2:7">
      <c r="B55">
        <v>58</v>
      </c>
      <c r="C55" t="s">
        <v>307</v>
      </c>
      <c r="D55" t="s">
        <v>421</v>
      </c>
      <c r="E55">
        <v>1</v>
      </c>
      <c r="F55" t="s">
        <v>43</v>
      </c>
      <c r="G55" t="s">
        <v>414</v>
      </c>
    </row>
    <row r="56" spans="2:7">
      <c r="B56">
        <v>59</v>
      </c>
      <c r="C56" t="s">
        <v>307</v>
      </c>
      <c r="D56" t="s">
        <v>422</v>
      </c>
      <c r="E56">
        <v>1</v>
      </c>
      <c r="F56" t="s">
        <v>43</v>
      </c>
      <c r="G56" t="s">
        <v>414</v>
      </c>
    </row>
    <row r="57" spans="2:7">
      <c r="B57">
        <v>60</v>
      </c>
      <c r="C57" t="s">
        <v>307</v>
      </c>
      <c r="D57" t="s">
        <v>423</v>
      </c>
      <c r="E57">
        <v>1</v>
      </c>
      <c r="F57" t="s">
        <v>59</v>
      </c>
      <c r="G57" t="s">
        <v>414</v>
      </c>
    </row>
    <row r="58" spans="2:7">
      <c r="B58">
        <v>61</v>
      </c>
      <c r="C58" t="s">
        <v>307</v>
      </c>
      <c r="D58" t="s">
        <v>424</v>
      </c>
      <c r="E58">
        <v>0</v>
      </c>
      <c r="F58" t="s">
        <v>43</v>
      </c>
      <c r="G58" t="s">
        <v>414</v>
      </c>
    </row>
    <row r="59" spans="2:7">
      <c r="B59">
        <v>62</v>
      </c>
      <c r="C59" t="s">
        <v>307</v>
      </c>
      <c r="D59" t="s">
        <v>425</v>
      </c>
      <c r="E59">
        <v>0</v>
      </c>
      <c r="F59" t="s">
        <v>43</v>
      </c>
      <c r="G59" t="s">
        <v>414</v>
      </c>
    </row>
    <row r="60" spans="2:7">
      <c r="B60">
        <v>63</v>
      </c>
      <c r="C60" t="s">
        <v>307</v>
      </c>
      <c r="D60" t="s">
        <v>426</v>
      </c>
      <c r="E60">
        <v>1</v>
      </c>
      <c r="F60" t="s">
        <v>43</v>
      </c>
      <c r="G60" t="s">
        <v>414</v>
      </c>
    </row>
    <row r="61" spans="2:7">
      <c r="B61">
        <v>64</v>
      </c>
      <c r="C61" t="s">
        <v>307</v>
      </c>
      <c r="D61" t="s">
        <v>427</v>
      </c>
      <c r="E61">
        <v>1</v>
      </c>
      <c r="F61" t="s">
        <v>43</v>
      </c>
      <c r="G61" t="s">
        <v>414</v>
      </c>
    </row>
    <row r="62" spans="2:7">
      <c r="B62">
        <v>65</v>
      </c>
      <c r="C62" t="s">
        <v>307</v>
      </c>
      <c r="D62" t="s">
        <v>428</v>
      </c>
      <c r="E62">
        <v>1</v>
      </c>
      <c r="F62" t="s">
        <v>59</v>
      </c>
      <c r="G62" t="s">
        <v>414</v>
      </c>
    </row>
    <row r="63" spans="2:7">
      <c r="B63">
        <v>66</v>
      </c>
      <c r="C63" t="s">
        <v>307</v>
      </c>
      <c r="D63" t="s">
        <v>429</v>
      </c>
      <c r="E63">
        <v>1</v>
      </c>
      <c r="F63" t="s">
        <v>43</v>
      </c>
      <c r="G63" t="s">
        <v>414</v>
      </c>
    </row>
    <row r="64" spans="2:7">
      <c r="B64">
        <v>67</v>
      </c>
      <c r="C64" t="s">
        <v>307</v>
      </c>
      <c r="D64" t="s">
        <v>430</v>
      </c>
      <c r="E64">
        <v>1</v>
      </c>
      <c r="F64" t="s">
        <v>43</v>
      </c>
      <c r="G64" t="s">
        <v>414</v>
      </c>
    </row>
    <row r="65" spans="2:7">
      <c r="B65">
        <v>68</v>
      </c>
      <c r="C65" t="s">
        <v>307</v>
      </c>
      <c r="D65" t="s">
        <v>431</v>
      </c>
      <c r="E65">
        <v>1</v>
      </c>
      <c r="F65" t="s">
        <v>43</v>
      </c>
      <c r="G65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L64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0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0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0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0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0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0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0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0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0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0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0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0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0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0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0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0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0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0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0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0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0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0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0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0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0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56</v>
      </c>
      <c r="C53" t="s">
        <v>307</v>
      </c>
      <c r="D53" t="s">
        <v>516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57</v>
      </c>
      <c r="C54" t="s">
        <v>307</v>
      </c>
      <c r="D54" t="s">
        <v>517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58</v>
      </c>
      <c r="C55" t="s">
        <v>307</v>
      </c>
      <c r="D55" t="s">
        <v>518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59</v>
      </c>
      <c r="C56" t="s">
        <v>307</v>
      </c>
      <c r="D56" t="s">
        <v>519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60</v>
      </c>
      <c r="C57" t="s">
        <v>307</v>
      </c>
      <c r="D57" t="s">
        <v>520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61</v>
      </c>
      <c r="C58" t="s">
        <v>307</v>
      </c>
      <c r="D58" t="s">
        <v>521</v>
      </c>
      <c r="E58">
        <v>0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62</v>
      </c>
      <c r="C59" t="s">
        <v>307</v>
      </c>
      <c r="D59" t="s">
        <v>522</v>
      </c>
      <c r="E59">
        <v>0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63</v>
      </c>
      <c r="C60" t="s">
        <v>307</v>
      </c>
      <c r="D60" t="s">
        <v>523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64</v>
      </c>
      <c r="C61" t="s">
        <v>307</v>
      </c>
      <c r="D61" t="s">
        <v>524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65</v>
      </c>
      <c r="C62" t="s">
        <v>307</v>
      </c>
      <c r="D62" t="s">
        <v>525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66</v>
      </c>
      <c r="C63" t="s">
        <v>307</v>
      </c>
      <c r="D63" t="s">
        <v>526</v>
      </c>
      <c r="E63">
        <v>1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67</v>
      </c>
      <c r="C64" t="s">
        <v>307</v>
      </c>
      <c r="D64" t="s">
        <v>527</v>
      </c>
      <c r="E64">
        <v>1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Y271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  <row r="119">
      <c r="B119" t="inlineStr">
        <is>
          <t>hwy2_length</t>
        </is>
      </c>
      <c r="C119">
        <v>2340</v>
      </c>
      <c r="D119" t="inlineStr">
        <is>
          <t>2챕터 전용 · 요청/검증 조정 값</t>
        </is>
      </c>
    </row>
    <row r="120">
      <c r="B120" t="inlineStr">
        <is>
          <t>hwy2_runSpeed</t>
        </is>
      </c>
      <c r="C120">
        <v>7.8</v>
      </c>
      <c r="D120" t="inlineStr">
        <is>
          <t>2챕터 전용 · 요청/검증 조정 값</t>
        </is>
      </c>
    </row>
    <row r="121">
      <c r="B121" t="inlineStr">
        <is>
          <t>hwy2_laneWidth</t>
        </is>
      </c>
      <c r="C121">
        <v>4.4</v>
      </c>
      <c r="D121" t="inlineStr">
        <is>
          <t>2챕터 전용 · 요청/검증 조정 값</t>
        </is>
      </c>
    </row>
    <row r="122">
      <c r="B122" t="inlineStr">
        <is>
          <t>hwy2_sharkScale</t>
        </is>
      </c>
      <c r="C122">
        <v>0.8</v>
      </c>
      <c r="D122" t="inlineStr">
        <is>
          <t>2챕터 전용 · 요청/검증 조정 값</t>
        </is>
      </c>
    </row>
    <row r="123">
      <c r="B123" t="inlineStr">
        <is>
          <t>hwy2_cameraScale</t>
        </is>
      </c>
      <c r="C123">
        <v>1.15</v>
      </c>
      <c r="D123" t="inlineStr">
        <is>
          <t>2챕터 전용 · 요청/검증 조정 값</t>
        </is>
      </c>
    </row>
    <row r="124">
      <c r="B124" t="inlineStr">
        <is>
          <t>hwy2_medianWidth</t>
        </is>
      </c>
      <c r="C124">
        <v>0.84</v>
      </c>
      <c r="D124" t="inlineStr">
        <is>
          <t>2챕터 전용 · 요청/검증 조정 값</t>
        </is>
      </c>
    </row>
    <row r="125">
      <c r="B125" t="inlineStr">
        <is>
          <t>hwy2_medianHeight</t>
        </is>
      </c>
      <c r="C125">
        <v>1</v>
      </c>
      <c r="D125" t="inlineStr">
        <is>
          <t>2챕터 전용 · 요청/검증 조정 값</t>
        </is>
      </c>
    </row>
    <row r="126">
      <c r="B126" t="inlineStr">
        <is>
          <t>hwy2_medianShoulder</t>
        </is>
      </c>
      <c r="C126">
        <v>0.6</v>
      </c>
      <c r="D126" t="inlineStr">
        <is>
          <t>2챕터 전용 · 요청/검증 조정 값</t>
        </is>
      </c>
    </row>
    <row r="127">
      <c r="B127" t="inlineStr">
        <is>
          <t>hwy2_outerShoulder</t>
        </is>
      </c>
      <c r="C127">
        <v>2</v>
      </c>
      <c r="D127" t="inlineStr">
        <is>
          <t>2챕터 전용 · 요청/검증 조정 값</t>
        </is>
      </c>
    </row>
    <row r="128">
      <c r="B128" t="inlineStr">
        <is>
          <t>hwy2_dashPaint</t>
        </is>
      </c>
      <c r="C128">
        <v>8</v>
      </c>
      <c r="D128" t="inlineStr">
        <is>
          <t>2챕터 전용 · 요청/검증 조정 값</t>
        </is>
      </c>
    </row>
    <row r="129">
      <c r="B129" t="inlineStr">
        <is>
          <t>hwy2_dashGap</t>
        </is>
      </c>
      <c r="C129">
        <v>12</v>
      </c>
      <c r="D129" t="inlineStr">
        <is>
          <t>2챕터 전용 · 요청/검증 조정 값</t>
        </is>
      </c>
    </row>
    <row r="130">
      <c r="B130" t="inlineStr">
        <is>
          <t>hwy2_paintWidth</t>
        </is>
      </c>
      <c r="C130">
        <v>0.15</v>
      </c>
      <c r="D130" t="inlineStr">
        <is>
          <t>2챕터 전용 · 요청/검증 조정 값</t>
        </is>
      </c>
    </row>
    <row r="131">
      <c r="B131" t="inlineStr">
        <is>
          <t>hwy2_meshStep</t>
        </is>
      </c>
      <c r="C131">
        <v>2</v>
      </c>
      <c r="D131" t="inlineStr">
        <is>
          <t>2챕터 전용 · 요청/검증 조정 값</t>
        </is>
      </c>
    </row>
    <row r="132">
      <c r="B132" t="inlineStr">
        <is>
          <t>hwy2_meshSegment</t>
        </is>
      </c>
      <c r="C132">
        <v>40</v>
      </c>
      <c r="D132" t="inlineStr">
        <is>
          <t>2챕터 전용 · 요청/검증 조정 값</t>
        </is>
      </c>
    </row>
    <row r="133">
      <c r="B133" t="inlineStr">
        <is>
          <t>hwy2_forkAt</t>
        </is>
      </c>
      <c r="C133">
        <v>468</v>
      </c>
      <c r="D133" t="inlineStr">
        <is>
          <t>2챕터 전용 · 요청/검증 조정 값</t>
        </is>
      </c>
    </row>
    <row r="134">
      <c r="B134" t="inlineStr">
        <is>
          <t>hwy2_mergeAt</t>
        </is>
      </c>
      <c r="C134">
        <v>1170</v>
      </c>
      <c r="D134" t="inlineStr">
        <is>
          <t>2챕터 전용 · 요청/검증 조정 값</t>
        </is>
      </c>
    </row>
    <row r="135">
      <c r="B135" t="inlineStr">
        <is>
          <t>hwy2_branchOffset</t>
        </is>
      </c>
      <c r="C135">
        <v>36</v>
      </c>
      <c r="D135" t="inlineStr">
        <is>
          <t>2챕터 전용 · 요청/검증 조정 값</t>
        </is>
      </c>
    </row>
    <row r="136">
      <c r="B136" t="inlineStr">
        <is>
          <t>hwy2_tollAt</t>
        </is>
      </c>
      <c r="C136">
        <v>1950</v>
      </c>
      <c r="D136" t="inlineStr">
        <is>
          <t>2챕터 전용 · 요청/검증 조정 값</t>
        </is>
      </c>
    </row>
    <row r="137">
      <c r="B137" t="inlineStr">
        <is>
          <t>hwy2_tollMerge</t>
        </is>
      </c>
      <c r="C137">
        <v>2320</v>
      </c>
      <c r="D137" t="inlineStr">
        <is>
          <t>2챕터 전용 · 요청/검증 조정 값</t>
        </is>
      </c>
    </row>
    <row r="138">
      <c r="B138" t="inlineStr">
        <is>
          <t>hwy2_tollBranchOffset</t>
        </is>
      </c>
      <c r="C138">
        <v>18</v>
      </c>
      <c r="D138" t="inlineStr">
        <is>
          <t>2챕터 전용 · 요청/검증 조정 값</t>
        </is>
      </c>
    </row>
    <row r="139">
      <c r="B139" t="inlineStr">
        <is>
          <t>hwy2_popupAhead</t>
        </is>
      </c>
      <c r="C139">
        <v>60</v>
      </c>
      <c r="D139" t="inlineStr">
        <is>
          <t>2챕터 전용 · 요청/검증 조정 값</t>
        </is>
      </c>
    </row>
    <row r="140">
      <c r="B140" t="inlineStr">
        <is>
          <t>hwy2_popupSeconds</t>
        </is>
      </c>
      <c r="C140">
        <v>5</v>
      </c>
      <c r="D140" t="inlineStr">
        <is>
          <t>2챕터 전용 · 요청/검증 조정 값</t>
        </is>
      </c>
    </row>
    <row r="141">
      <c r="B141" t="inlineStr">
        <is>
          <t>hwy2_popupSlow</t>
        </is>
      </c>
      <c r="C141">
        <v>0.2</v>
      </c>
      <c r="D141" t="inlineStr">
        <is>
          <t>2챕터 전용 · 요청/검증 조정 값</t>
        </is>
      </c>
    </row>
    <row r="142">
      <c r="B142" t="inlineStr">
        <is>
          <t>hwy2_popupQuiet</t>
        </is>
      </c>
      <c r="C142">
        <v>40</v>
      </c>
      <c r="D142" t="inlineStr">
        <is>
          <t>2챕터 전용 · 요청/검증 조정 값</t>
        </is>
      </c>
    </row>
    <row r="143">
      <c r="B143" t="inlineStr">
        <is>
          <t>hwy2_separation</t>
        </is>
      </c>
      <c r="C143">
        <v>23</v>
      </c>
      <c r="D143" t="inlineStr">
        <is>
          <t>2챕터 전용 · 요청/검증 조정 값</t>
        </is>
      </c>
    </row>
    <row r="144">
      <c r="B144" t="inlineStr">
        <is>
          <t>hwy2_accidentQuietSeconds</t>
        </is>
      </c>
      <c r="C144">
        <v>8</v>
      </c>
      <c r="D144" t="inlineStr">
        <is>
          <t>2챕터 전용 · 요청/검증 조정 값</t>
        </is>
      </c>
    </row>
    <row r="145">
      <c r="B145" t="inlineStr">
        <is>
          <t>hwy2_hpSedan</t>
        </is>
      </c>
      <c r="C145">
        <v>1</v>
      </c>
      <c r="D145" t="inlineStr">
        <is>
          <t>2챕터 전용 · 요청/검증 조정 값</t>
        </is>
      </c>
    </row>
    <row r="146">
      <c r="B146" t="inlineStr">
        <is>
          <t>hwy2_hpTaxi</t>
        </is>
      </c>
      <c r="C146">
        <v>1</v>
      </c>
      <c r="D146" t="inlineStr">
        <is>
          <t>2챕터 전용 · 요청/검증 조정 값</t>
        </is>
      </c>
    </row>
    <row r="147">
      <c r="B147" t="inlineStr">
        <is>
          <t>hwy2_hpOneTon</t>
        </is>
      </c>
      <c r="C147">
        <v>1.3</v>
      </c>
      <c r="D147" t="inlineStr">
        <is>
          <t>2챕터 전용 · 요청/검증 조정 값</t>
        </is>
      </c>
    </row>
    <row r="148">
      <c r="B148" t="inlineStr">
        <is>
          <t>hwy2_hpBox</t>
        </is>
      </c>
      <c r="C148">
        <v>1.6</v>
      </c>
      <c r="D148" t="inlineStr">
        <is>
          <t>2챕터 전용 · 요청/검증 조정 값</t>
        </is>
      </c>
    </row>
    <row r="149">
      <c r="B149" t="inlineStr">
        <is>
          <t>hwy2_hpTanker</t>
        </is>
      </c>
      <c r="C149">
        <v>2</v>
      </c>
      <c r="D149" t="inlineStr">
        <is>
          <t>2챕터 전용 · 요청/검증 조정 값</t>
        </is>
      </c>
    </row>
    <row r="150">
      <c r="B150" t="inlineStr">
        <is>
          <t>hwy2_hpBus</t>
        </is>
      </c>
      <c r="C150">
        <v>3</v>
      </c>
      <c r="D150" t="inlineStr">
        <is>
          <t>2챕터 전용 · 요청/검증 조정 값</t>
        </is>
      </c>
    </row>
    <row r="151">
      <c r="B151" t="inlineStr">
        <is>
          <t>hwy2_hpPolice</t>
        </is>
      </c>
      <c r="C151">
        <v>1.2</v>
      </c>
      <c r="D151" t="inlineStr">
        <is>
          <t>2챕터 전용 · 요청/검증 조정 값</t>
        </is>
      </c>
    </row>
    <row r="152">
      <c r="B152" t="inlineStr">
        <is>
          <t>hwy2_hpTow</t>
        </is>
      </c>
      <c r="C152">
        <v>1.2</v>
      </c>
      <c r="D152" t="inlineStr">
        <is>
          <t>2챕터 전용 · 요청/검증 조정 값</t>
        </is>
      </c>
    </row>
    <row r="153">
      <c r="B153" t="inlineStr">
        <is>
          <t>hwy2_hpAccident</t>
        </is>
      </c>
      <c r="C153">
        <v>2.5</v>
      </c>
      <c r="D153" t="inlineStr">
        <is>
          <t>2챕터 전용 · 요청/검증 조정 값</t>
        </is>
      </c>
    </row>
    <row r="154">
      <c r="B154" t="inlineStr">
        <is>
          <t>hwy2_targetDps</t>
        </is>
      </c>
      <c r="C154">
        <v>64</v>
      </c>
      <c r="D154" t="inlineStr">
        <is>
          <t>2챕터 전용 · 요청/검증 조정 값</t>
        </is>
      </c>
    </row>
    <row r="155">
      <c r="B155" t="inlineStr">
        <is>
          <t>hwy2_healthSeconds</t>
        </is>
      </c>
      <c r="C155">
        <v>3.8</v>
      </c>
      <c r="D155" t="inlineStr">
        <is>
          <t>2챕터 전용 · 요청/검증 조정 값</t>
        </is>
      </c>
    </row>
    <row r="156">
      <c r="B156" t="inlineStr">
        <is>
          <t>hwy2_coinBase</t>
        </is>
      </c>
      <c r="C156">
        <v>62</v>
      </c>
      <c r="D156" t="inlineStr">
        <is>
          <t>2챕터 전용 · 요청/검증 조정 값</t>
        </is>
      </c>
    </row>
    <row r="157">
      <c r="B157" t="inlineStr">
        <is>
          <t>hwy2_jamCoin</t>
        </is>
      </c>
      <c r="C157">
        <v>1.5</v>
      </c>
      <c r="D157" t="inlineStr">
        <is>
          <t>2챕터 전용 · 요청/검증 조정 값</t>
        </is>
      </c>
    </row>
    <row r="158">
      <c r="B158" t="inlineStr">
        <is>
          <t>hwy2_openCoin</t>
        </is>
      </c>
      <c r="C158">
        <v>0.8</v>
      </c>
      <c r="D158" t="inlineStr">
        <is>
          <t>2챕터 전용 · 요청/검증 조정 값</t>
        </is>
      </c>
    </row>
    <row r="159">
      <c r="B159" t="inlineStr">
        <is>
          <t>hwy2_jamMinSpeed</t>
        </is>
      </c>
      <c r="C159">
        <v>3</v>
      </c>
      <c r="D159" t="inlineStr">
        <is>
          <t>2챕터 전용 · 요청/검증 조정 값</t>
        </is>
      </c>
    </row>
    <row r="160">
      <c r="B160" t="inlineStr">
        <is>
          <t>hwy2_jamMaxSpeed</t>
        </is>
      </c>
      <c r="C160">
        <v>5</v>
      </c>
      <c r="D160" t="inlineStr">
        <is>
          <t>2챕터 전용 · 요청/검증 조정 값</t>
        </is>
      </c>
    </row>
    <row r="161">
      <c r="B161" t="inlineStr">
        <is>
          <t>hwy2_jamGapMin</t>
        </is>
      </c>
      <c r="C161">
        <v>20</v>
      </c>
      <c r="D161" t="inlineStr">
        <is>
          <t>2챕터 전용 · 요청/검증 조정 값</t>
        </is>
      </c>
    </row>
    <row r="162">
      <c r="B162" t="inlineStr">
        <is>
          <t>hwy2_jamGapMax</t>
        </is>
      </c>
      <c r="C162">
        <v>25</v>
      </c>
      <c r="D162" t="inlineStr">
        <is>
          <t>2챕터 전용 · 요청/검증 조정 값</t>
        </is>
      </c>
    </row>
    <row r="163">
      <c r="B163" t="inlineStr">
        <is>
          <t>hwy2_openMinSpeed</t>
        </is>
      </c>
      <c r="C163">
        <v>22</v>
      </c>
      <c r="D163" t="inlineStr">
        <is>
          <t>2챕터 전용 · 요청/검증 조정 값</t>
        </is>
      </c>
    </row>
    <row r="164">
      <c r="B164" t="inlineStr">
        <is>
          <t>hwy2_openMaxSpeed</t>
        </is>
      </c>
      <c r="C164">
        <v>26</v>
      </c>
      <c r="D164" t="inlineStr">
        <is>
          <t>2챕터 전용 · 요청/검증 조정 값</t>
        </is>
      </c>
    </row>
    <row r="165">
      <c r="B165" t="inlineStr">
        <is>
          <t>hwy2_openMinSeconds</t>
        </is>
      </c>
      <c r="C165">
        <v>3</v>
      </c>
      <c r="D165" t="inlineStr">
        <is>
          <t>2챕터 전용 · 요청/검증 조정 값</t>
        </is>
      </c>
    </row>
    <row r="166">
      <c r="B166" t="inlineStr">
        <is>
          <t>hwy2_openMaxSeconds</t>
        </is>
      </c>
      <c r="C166">
        <v>5</v>
      </c>
      <c r="D166" t="inlineStr">
        <is>
          <t>2챕터 전용 · 요청/검증 조정 값</t>
        </is>
      </c>
    </row>
    <row r="167">
      <c r="B167" t="inlineStr">
        <is>
          <t>hwy2_normalSpeed</t>
        </is>
      </c>
      <c r="C167">
        <v>12</v>
      </c>
      <c r="D167" t="inlineStr">
        <is>
          <t>2챕터 전용 · 요청/검증 조정 값</t>
        </is>
      </c>
    </row>
    <row r="168">
      <c r="B168" t="inlineStr">
        <is>
          <t>hwy2_swarmSpeed</t>
        </is>
      </c>
      <c r="C168">
        <v>18</v>
      </c>
      <c r="D168" t="inlineStr">
        <is>
          <t>2챕터 전용 · 요청/검증 조정 값</t>
        </is>
      </c>
    </row>
    <row r="169">
      <c r="B169" t="inlineStr">
        <is>
          <t>hwy2_swarmCount</t>
        </is>
      </c>
      <c r="C169">
        <v>8</v>
      </c>
      <c r="D169" t="inlineStr">
        <is>
          <t>2챕터 전용 · 요청/검증 조정 값</t>
        </is>
      </c>
    </row>
    <row r="170">
      <c r="B170" t="inlineStr">
        <is>
          <t>hwy2_swarmSpacing</t>
        </is>
      </c>
      <c r="C170">
        <v>14</v>
      </c>
      <c r="D170" t="inlineStr">
        <is>
          <t>2챕터 전용 · 요청/검증 조정 값</t>
        </is>
      </c>
    </row>
    <row r="171">
      <c r="B171" t="inlineStr">
        <is>
          <t>hwy2_vehicleWidth</t>
        </is>
      </c>
      <c r="C171">
        <v>3.4</v>
      </c>
      <c r="D171" t="inlineStr">
        <is>
          <t>2챕터 전용 · 요청/검증 조정 값</t>
        </is>
      </c>
    </row>
    <row r="172">
      <c r="B172" t="inlineStr">
        <is>
          <t>hwy2_truckWidth</t>
        </is>
      </c>
      <c r="C172">
        <v>3.7</v>
      </c>
      <c r="D172" t="inlineStr">
        <is>
          <t>2챕터 전용 · 요청/검증 조정 값</t>
        </is>
      </c>
    </row>
    <row r="173">
      <c r="B173" t="inlineStr">
        <is>
          <t>hwy2_busWidth</t>
        </is>
      </c>
      <c r="C173">
        <v>7.6</v>
      </c>
      <c r="D173" t="inlineStr">
        <is>
          <t>2챕터 전용 · 요청/검증 조정 값</t>
        </is>
      </c>
    </row>
    <row r="174">
      <c r="B174" t="inlineStr">
        <is>
          <t>hwy2_followGap</t>
        </is>
      </c>
      <c r="C174">
        <v>3</v>
      </c>
      <c r="D174" t="inlineStr">
        <is>
          <t>2챕터 전용 · 요청/검증 조정 값</t>
        </is>
      </c>
    </row>
    <row r="175">
      <c r="B175" t="inlineStr">
        <is>
          <t>hwy2_spawnAhead</t>
        </is>
      </c>
      <c r="C175">
        <v>82</v>
      </c>
      <c r="D175" t="inlineStr">
        <is>
          <t>2챕터 전용 · 요청/검증 조정 값</t>
        </is>
      </c>
    </row>
    <row r="176">
      <c r="B176" t="inlineStr">
        <is>
          <t>hwy2_arrivalWindow</t>
        </is>
      </c>
      <c r="C176">
        <v>1.5</v>
      </c>
      <c r="D176" t="inlineStr">
        <is>
          <t>2챕터 전용 · 요청/검증 조정 값</t>
        </is>
      </c>
    </row>
    <row r="177">
      <c r="B177" t="inlineStr">
        <is>
          <t>hwy2_playerRadius</t>
        </is>
      </c>
      <c r="C177">
        <v>0.7</v>
      </c>
      <c r="D177" t="inlineStr">
        <is>
          <t>2챕터 전용 · 요청/검증 조정 값</t>
        </is>
      </c>
    </row>
    <row r="178">
      <c r="B178" t="inlineStr">
        <is>
          <t>hwy2_fastDamage</t>
        </is>
      </c>
      <c r="C178">
        <v>0.25</v>
      </c>
      <c r="D178" t="inlineStr">
        <is>
          <t>2챕터 전용 · 요청/검증 조정 값</t>
        </is>
      </c>
    </row>
    <row r="179">
      <c r="B179" t="inlineStr">
        <is>
          <t>hwy2_trafficVisibleAhead</t>
        </is>
      </c>
      <c r="C179">
        <v>150</v>
      </c>
      <c r="D179" t="inlineStr">
        <is>
          <t>2챕터 전용 · 요청/검증 조정 값</t>
        </is>
      </c>
    </row>
    <row r="180">
      <c r="B180" t="inlineStr">
        <is>
          <t>hwy2_trafficRecycleBehind</t>
        </is>
      </c>
      <c r="C180">
        <v>24</v>
      </c>
      <c r="D180" t="inlineStr">
        <is>
          <t>2챕터 전용 · 요청/검증 조정 값</t>
        </is>
      </c>
    </row>
    <row r="181">
      <c r="B181" t="inlineStr">
        <is>
          <t>hwy2_oppositeSpeed</t>
        </is>
      </c>
      <c r="C181">
        <v>19</v>
      </c>
      <c r="D181" t="inlineStr">
        <is>
          <t>2챕터 전용 · 요청/검증 조정 값</t>
        </is>
      </c>
    </row>
    <row r="182">
      <c r="B182" t="inlineStr">
        <is>
          <t>hwy2_oppositeGap</t>
        </is>
      </c>
      <c r="C182">
        <v>28</v>
      </c>
      <c r="D182" t="inlineStr">
        <is>
          <t>2챕터 전용 · 요청/검증 조정 값</t>
        </is>
      </c>
    </row>
    <row r="183">
      <c r="B183" t="inlineStr">
        <is>
          <t>hwy2_oppositeCount</t>
        </is>
      </c>
      <c r="C183">
        <v>18</v>
      </c>
      <c r="D183" t="inlineStr">
        <is>
          <t>2챕터 전용 · 요청/검증 조정 값</t>
        </is>
      </c>
    </row>
    <row r="184">
      <c r="B184" t="inlineStr">
        <is>
          <t>hwy2_crash1</t>
        </is>
      </c>
      <c r="C184">
        <v>234</v>
      </c>
      <c r="D184" t="inlineStr">
        <is>
          <t>2챕터 전용 · 요청/검증 조정 값</t>
        </is>
      </c>
    </row>
    <row r="185">
      <c r="B185" t="inlineStr">
        <is>
          <t>hwy2_crash2</t>
        </is>
      </c>
      <c r="C185">
        <v>610</v>
      </c>
      <c r="D185" t="inlineStr">
        <is>
          <t>2챕터 전용 · 요청/검증 조정 값</t>
        </is>
      </c>
    </row>
    <row r="186">
      <c r="B186" t="inlineStr">
        <is>
          <t>hwy2_crash3</t>
        </is>
      </c>
      <c r="C186">
        <v>945</v>
      </c>
      <c r="D186" t="inlineStr">
        <is>
          <t>2챕터 전용 · 요청/검증 조정 값</t>
        </is>
      </c>
    </row>
    <row r="187">
      <c r="B187" t="inlineStr">
        <is>
          <t>hwy2_crash4</t>
        </is>
      </c>
      <c r="C187">
        <v>1248</v>
      </c>
      <c r="D187" t="inlineStr">
        <is>
          <t>2챕터 전용 · 요청/검증 조정 값</t>
        </is>
      </c>
    </row>
    <row r="188">
      <c r="B188" t="inlineStr">
        <is>
          <t>hwy2_crashLead</t>
        </is>
      </c>
      <c r="C188">
        <v>40</v>
      </c>
      <c r="D188" t="inlineStr">
        <is>
          <t>2챕터 전용 · 요청/검증 조정 값</t>
        </is>
      </c>
    </row>
    <row r="189">
      <c r="B189" t="inlineStr">
        <is>
          <t>hwy2_crashTail</t>
        </is>
      </c>
      <c r="C189">
        <v>60</v>
      </c>
      <c r="D189" t="inlineStr">
        <is>
          <t>2챕터 전용 · 요청/검증 조정 값</t>
        </is>
      </c>
    </row>
    <row r="190">
      <c r="B190" t="inlineStr">
        <is>
          <t>hwy2_crashQueueGap</t>
        </is>
      </c>
      <c r="C190">
        <v>18</v>
      </c>
      <c r="D190" t="inlineStr">
        <is>
          <t>2챕터 전용 · 요청/검증 조정 값</t>
        </is>
      </c>
    </row>
    <row r="191">
      <c r="B191" t="inlineStr">
        <is>
          <t>hwy2_swarmStart</t>
        </is>
      </c>
      <c r="C191">
        <v>1345</v>
      </c>
      <c r="D191" t="inlineStr">
        <is>
          <t>2챕터 전용 · 요청/검증 조정 값</t>
        </is>
      </c>
    </row>
    <row r="192">
      <c r="B192" t="inlineStr">
        <is>
          <t>hwy2_swarmEnd</t>
        </is>
      </c>
      <c r="C192">
        <v>1410</v>
      </c>
      <c r="D192" t="inlineStr">
        <is>
          <t>2챕터 전용 · 요청/검증 조정 값</t>
        </is>
      </c>
    </row>
    <row r="193">
      <c r="B193" t="inlineStr">
        <is>
          <t>hwy2_logStart</t>
        </is>
      </c>
      <c r="C193">
        <v>1470</v>
      </c>
      <c r="D193" t="inlineStr">
        <is>
          <t>2챕터 전용 · 요청/검증 조정 값</t>
        </is>
      </c>
    </row>
    <row r="194">
      <c r="B194" t="inlineStr">
        <is>
          <t>hwy2_logEnd</t>
        </is>
      </c>
      <c r="C194">
        <v>1545</v>
      </c>
      <c r="D194" t="inlineStr">
        <is>
          <t>2챕터 전용 · 요청/검증 조정 값</t>
        </is>
      </c>
    </row>
    <row r="195">
      <c r="B195" t="inlineStr">
        <is>
          <t>hwy2_logTruckSpeed</t>
        </is>
      </c>
      <c r="C195">
        <v>21</v>
      </c>
      <c r="D195" t="inlineStr">
        <is>
          <t>2챕터 전용 · 요청/검증 조정 값</t>
        </is>
      </c>
    </row>
    <row r="196">
      <c r="B196" t="inlineStr">
        <is>
          <t>hwy2_logReleaseSeconds</t>
        </is>
      </c>
      <c r="C196">
        <v>2</v>
      </c>
      <c r="D196" t="inlineStr">
        <is>
          <t>2챕터 전용 · 요청/검증 조정 값</t>
        </is>
      </c>
    </row>
    <row r="197">
      <c r="B197" t="inlineStr">
        <is>
          <t>hwy2_logSeconds</t>
        </is>
      </c>
      <c r="C197">
        <v>6</v>
      </c>
      <c r="D197" t="inlineStr">
        <is>
          <t>2챕터 전용 · 요청/검증 조정 값</t>
        </is>
      </c>
    </row>
    <row r="198">
      <c r="B198" t="inlineStr">
        <is>
          <t>hwy2_logSpeed</t>
        </is>
      </c>
      <c r="C198">
        <v>12</v>
      </c>
      <c r="D198" t="inlineStr">
        <is>
          <t>2챕터 전용 · 요청/검증 조정 값</t>
        </is>
      </c>
    </row>
    <row r="199">
      <c r="B199" t="inlineStr">
        <is>
          <t>hwy2_logBounceHeight</t>
        </is>
      </c>
      <c r="C199">
        <v>3.8</v>
      </c>
      <c r="D199" t="inlineStr">
        <is>
          <t>2챕터 전용 · 요청/검증 조정 값</t>
        </is>
      </c>
    </row>
    <row r="200">
      <c r="B200" t="inlineStr">
        <is>
          <t>hwy2_logRadius</t>
        </is>
      </c>
      <c r="C200">
        <v>1.6</v>
      </c>
      <c r="D200" t="inlineStr">
        <is>
          <t>2챕터 전용 · 요청/검증 조정 값</t>
        </is>
      </c>
    </row>
    <row r="201">
      <c r="B201" t="inlineStr">
        <is>
          <t>hwy2_logDamage</t>
        </is>
      </c>
      <c r="C201">
        <v>0.25</v>
      </c>
      <c r="D201" t="inlineStr">
        <is>
          <t>2챕터 전용 · 요청/검증 조정 값</t>
        </is>
      </c>
    </row>
    <row r="202">
      <c r="B202" t="inlineStr">
        <is>
          <t>hwy2_deerAt</t>
        </is>
      </c>
      <c r="C202">
        <v>1610</v>
      </c>
      <c r="D202" t="inlineStr">
        <is>
          <t>2챕터 전용 · 요청/검증 조정 값</t>
        </is>
      </c>
    </row>
    <row r="203">
      <c r="B203" t="inlineStr">
        <is>
          <t>hwy2_deerLead</t>
        </is>
      </c>
      <c r="C203">
        <v>30</v>
      </c>
      <c r="D203" t="inlineStr">
        <is>
          <t>2챕터 전용 · 요청/검증 조정 값</t>
        </is>
      </c>
    </row>
    <row r="204">
      <c r="B204" t="inlineStr">
        <is>
          <t>hwy2_deerTail</t>
        </is>
      </c>
      <c r="C204">
        <v>20</v>
      </c>
      <c r="D204" t="inlineStr">
        <is>
          <t>2챕터 전용 · 요청/검증 조정 값</t>
        </is>
      </c>
    </row>
    <row r="205">
      <c r="B205" t="inlineStr">
        <is>
          <t>hwy2_deerDamage</t>
        </is>
      </c>
      <c r="C205">
        <v>0.2</v>
      </c>
      <c r="D205" t="inlineStr">
        <is>
          <t>2챕터 전용 · 요청/검증 조정 값</t>
        </is>
      </c>
    </row>
    <row r="206">
      <c r="B206" t="inlineStr">
        <is>
          <t>hwy2_deerMinSpeed</t>
        </is>
      </c>
      <c r="C206">
        <v>3.2</v>
      </c>
      <c r="D206" t="inlineStr">
        <is>
          <t>2챕터 전용 · 요청/검증 조정 값</t>
        </is>
      </c>
    </row>
    <row r="207">
      <c r="B207" t="inlineStr">
        <is>
          <t>hwy2_deerMaxSpeed</t>
        </is>
      </c>
      <c r="C207">
        <v>5.5</v>
      </c>
      <c r="D207" t="inlineStr">
        <is>
          <t>2챕터 전용 · 요청/검증 조정 값</t>
        </is>
      </c>
    </row>
    <row r="208">
      <c r="B208" t="inlineStr">
        <is>
          <t>hwy2_deerRadius</t>
        </is>
      </c>
      <c r="C208">
        <v>1.5</v>
      </c>
      <c r="D208" t="inlineStr">
        <is>
          <t>2챕터 전용 · 요청/검증 조정 값</t>
        </is>
      </c>
    </row>
    <row r="209">
      <c r="B209" t="inlineStr">
        <is>
          <t>hwy2_deerSpin</t>
        </is>
      </c>
      <c r="C209">
        <v>0.8</v>
      </c>
      <c r="D209" t="inlineStr">
        <is>
          <t>2챕터 전용 · 요청/검증 조정 값</t>
        </is>
      </c>
    </row>
    <row r="210">
      <c r="B210" t="inlineStr">
        <is>
          <t>hwy2_holeAt</t>
        </is>
      </c>
      <c r="C210">
        <v>1690</v>
      </c>
      <c r="D210" t="inlineStr">
        <is>
          <t>2챕터 전용 · 요청/검증 조정 값</t>
        </is>
      </c>
    </row>
    <row r="211">
      <c r="B211" t="inlineStr">
        <is>
          <t>hwy2_holeLead</t>
        </is>
      </c>
      <c r="C211">
        <v>20</v>
      </c>
      <c r="D211" t="inlineStr">
        <is>
          <t>2챕터 전용 · 요청/검증 조정 값</t>
        </is>
      </c>
    </row>
    <row r="212">
      <c r="B212" t="inlineStr">
        <is>
          <t>hwy2_holeTail</t>
        </is>
      </c>
      <c r="C212">
        <v>20</v>
      </c>
      <c r="D212" t="inlineStr">
        <is>
          <t>2챕터 전용 · 요청/검증 조정 값</t>
        </is>
      </c>
    </row>
    <row r="213">
      <c r="B213" t="inlineStr">
        <is>
          <t>hwy2_holeLane</t>
        </is>
      </c>
      <c r="C213">
        <v>2</v>
      </c>
      <c r="D213" t="inlineStr">
        <is>
          <t>2챕터 전용 · 요청/검증 조정 값</t>
        </is>
      </c>
    </row>
    <row r="214">
      <c r="B214" t="inlineStr">
        <is>
          <t>hwy2_workAt</t>
        </is>
      </c>
      <c r="C214">
        <v>1790</v>
      </c>
      <c r="D214" t="inlineStr">
        <is>
          <t>2챕터 전용 · 요청/검증 조정 값</t>
        </is>
      </c>
    </row>
    <row r="215">
      <c r="B215" t="inlineStr">
        <is>
          <t>hwy2_workLead</t>
        </is>
      </c>
      <c r="C215">
        <v>30</v>
      </c>
      <c r="D215" t="inlineStr">
        <is>
          <t>2챕터 전용 · 요청/검증 조정 값</t>
        </is>
      </c>
    </row>
    <row r="216">
      <c r="B216" t="inlineStr">
        <is>
          <t>hwy2_workTail</t>
        </is>
      </c>
      <c r="C216">
        <v>50</v>
      </c>
      <c r="D216" t="inlineStr">
        <is>
          <t>2챕터 전용 · 요청/검증 조정 값</t>
        </is>
      </c>
    </row>
    <row r="217">
      <c r="B217" t="inlineStr">
        <is>
          <t>hwy2_workLane</t>
        </is>
      </c>
      <c r="C217">
        <v>2</v>
      </c>
      <c r="D217" t="inlineStr">
        <is>
          <t>2챕터 전용 · 요청/검증 조정 값</t>
        </is>
      </c>
    </row>
    <row r="218">
      <c r="B218" t="inlineStr">
        <is>
          <t>hwy2_coneInterval</t>
        </is>
      </c>
      <c r="C218">
        <v>2.4</v>
      </c>
      <c r="D218" t="inlineStr">
        <is>
          <t>2챕터 전용 · 요청/검증 조정 값</t>
        </is>
      </c>
    </row>
    <row r="219">
      <c r="B219" t="inlineStr">
        <is>
          <t>hwy2_coneDamage</t>
        </is>
      </c>
      <c r="C219">
        <v>0.08</v>
      </c>
      <c r="D219" t="inlineStr">
        <is>
          <t>2챕터 전용 · 요청/검증 조정 값</t>
        </is>
      </c>
    </row>
    <row r="220">
      <c r="B220" t="inlineStr">
        <is>
          <t>hwy2_coneFlight</t>
        </is>
      </c>
      <c r="C220">
        <v>1.1</v>
      </c>
      <c r="D220" t="inlineStr">
        <is>
          <t>2챕터 전용 · 요청/검증 조정 값</t>
        </is>
      </c>
    </row>
    <row r="221">
      <c r="B221" t="inlineStr">
        <is>
          <t>hwy2_mystery1</t>
        </is>
      </c>
      <c r="C221">
        <v>1440</v>
      </c>
      <c r="D221" t="inlineStr">
        <is>
          <t>2챕터 전용 · 요청/검증 조정 값</t>
        </is>
      </c>
    </row>
    <row r="222">
      <c r="B222" t="inlineStr">
        <is>
          <t>hwy2_mystery2</t>
        </is>
      </c>
      <c r="C222">
        <v>1735</v>
      </c>
      <c r="D222" t="inlineStr">
        <is>
          <t>2챕터 전용 · 요청/검증 조정 값</t>
        </is>
      </c>
    </row>
    <row r="223">
      <c r="B223" t="inlineStr">
        <is>
          <t>hwy2_mysteryCount</t>
        </is>
      </c>
      <c r="C223">
        <v>2</v>
      </c>
      <c r="D223" t="inlineStr">
        <is>
          <t>2챕터 전용 · 요청/검증 조정 값</t>
        </is>
      </c>
    </row>
    <row r="224">
      <c r="B224" t="inlineStr">
        <is>
          <t>hwy2_largeChance</t>
        </is>
      </c>
      <c r="C224">
        <v>20</v>
      </c>
      <c r="D224" t="inlineStr">
        <is>
          <t>2챕터 전용 · 요청/검증 조정 값</t>
        </is>
      </c>
    </row>
    <row r="225">
      <c r="B225" t="inlineStr">
        <is>
          <t>hwy2_normalChance</t>
        </is>
      </c>
      <c r="C225">
        <v>55</v>
      </c>
      <c r="D225" t="inlineStr">
        <is>
          <t>2챕터 전용 · 요청/검증 조정 값</t>
        </is>
      </c>
    </row>
    <row r="226">
      <c r="B226" t="inlineStr">
        <is>
          <t>hwy2_coinChance</t>
        </is>
      </c>
      <c r="C226">
        <v>20</v>
      </c>
      <c r="D226" t="inlineStr">
        <is>
          <t>2챕터 전용 · 요청/검증 조정 값</t>
        </is>
      </c>
    </row>
    <row r="227">
      <c r="B227" t="inlineStr">
        <is>
          <t>hwy2_missChance</t>
        </is>
      </c>
      <c r="C227">
        <v>5</v>
      </c>
      <c r="D227" t="inlineStr">
        <is>
          <t>2챕터 전용 · 요청/검증 조정 값</t>
        </is>
      </c>
    </row>
    <row r="228">
      <c r="B228" t="inlineStr">
        <is>
          <t>hwy2_largePercent</t>
        </is>
      </c>
      <c r="C228">
        <v>30</v>
      </c>
      <c r="D228" t="inlineStr">
        <is>
          <t>2챕터 전용 · 요청/검증 조정 값</t>
        </is>
      </c>
    </row>
    <row r="229">
      <c r="B229" t="inlineStr">
        <is>
          <t>hwy2_normalPercent</t>
        </is>
      </c>
      <c r="C229">
        <v>12</v>
      </c>
      <c r="D229" t="inlineStr">
        <is>
          <t>2챕터 전용 · 요청/검증 조정 값</t>
        </is>
      </c>
    </row>
    <row r="230">
      <c r="B230" t="inlineStr">
        <is>
          <t>hwy2_mysteryCoins</t>
        </is>
      </c>
      <c r="C230">
        <v>248</v>
      </c>
      <c r="D230" t="inlineStr">
        <is>
          <t>2챕터 전용 · 요청/검증 조정 값</t>
        </is>
      </c>
    </row>
    <row r="231">
      <c r="B231" t="inlineStr">
        <is>
          <t>hwy2_missDamage</t>
        </is>
      </c>
      <c r="C231">
        <v>0.05</v>
      </c>
      <c r="D231" t="inlineStr">
        <is>
          <t>2챕터 전용 · 요청/검증 조정 값</t>
        </is>
      </c>
    </row>
    <row r="232">
      <c r="B232" t="inlineStr">
        <is>
          <t>hwy2_tankerRadius</t>
        </is>
      </c>
      <c r="C232">
        <v>28</v>
      </c>
      <c r="D232" t="inlineStr">
        <is>
          <t>2챕터 전용 · 요청/검증 조정 값</t>
        </is>
      </c>
    </row>
    <row r="233">
      <c r="B233" t="inlineStr">
        <is>
          <t>hwy2_chainRadius</t>
        </is>
      </c>
      <c r="C233">
        <v>10</v>
      </c>
      <c r="D233" t="inlineStr">
        <is>
          <t>2챕터 전용 · 요청/검증 조정 값</t>
        </is>
      </c>
    </row>
    <row r="234">
      <c r="B234" t="inlineStr">
        <is>
          <t>hwy2_chainDamage</t>
        </is>
      </c>
      <c r="C234">
        <v>0.75</v>
      </c>
      <c r="D234" t="inlineStr">
        <is>
          <t>2챕터 전용 · 요청/검증 조정 값</t>
        </is>
      </c>
    </row>
    <row r="235">
      <c r="B235" t="inlineStr">
        <is>
          <t>hwy2_chainBounces</t>
        </is>
      </c>
      <c r="C235">
        <v>2</v>
      </c>
      <c r="D235" t="inlineStr">
        <is>
          <t>2챕터 전용 · 요청/검증 조정 값</t>
        </is>
      </c>
    </row>
    <row r="236">
      <c r="B236" t="inlineStr">
        <is>
          <t>hwy2_shatterMultiplier</t>
        </is>
      </c>
      <c r="C236">
        <v>2</v>
      </c>
      <c r="D236" t="inlineStr">
        <is>
          <t>2챕터 전용 · 요청/검증 조정 값</t>
        </is>
      </c>
    </row>
    <row r="237">
      <c r="B237" t="inlineStr">
        <is>
          <t>hwy2_shieldThreshold</t>
        </is>
      </c>
      <c r="C237">
        <v>0.15</v>
      </c>
      <c r="D237" t="inlineStr">
        <is>
          <t>2챕터 전용 · 요청/검증 조정 값</t>
        </is>
      </c>
    </row>
    <row r="238">
      <c r="B238" t="inlineStr">
        <is>
          <t>hwy2_magnetRadius</t>
        </is>
      </c>
      <c r="C238">
        <v>12</v>
      </c>
      <c r="D238" t="inlineStr">
        <is>
          <t>2챕터 전용 · 요청/검증 조정 값</t>
        </is>
      </c>
    </row>
    <row r="239">
      <c r="B239" t="inlineStr">
        <is>
          <t>hwy2_magnetSpeed</t>
        </is>
      </c>
      <c r="C239">
        <v>24</v>
      </c>
      <c r="D239" t="inlineStr">
        <is>
          <t>2챕터 전용 · 요청/검증 조정 값</t>
        </is>
      </c>
    </row>
    <row r="240">
      <c r="B240" t="inlineStr">
        <is>
          <t>hwy2_uniqueCarry</t>
        </is>
      </c>
      <c r="C240">
        <v>0</v>
      </c>
      <c r="D240" t="inlineStr">
        <is>
          <t>2챕터 전용 · 요청/검증 조정 값</t>
        </is>
      </c>
    </row>
    <row r="241">
      <c r="B241" t="inlineStr">
        <is>
          <t>hwy2_fxMaximum</t>
        </is>
      </c>
      <c r="C241">
        <v>3</v>
      </c>
      <c r="D241" t="inlineStr">
        <is>
          <t>2챕터 전용 · 요청/검증 조정 값</t>
        </is>
      </c>
    </row>
    <row r="242">
      <c r="B242" t="inlineStr">
        <is>
          <t>hwy2_smokeSeconds</t>
        </is>
      </c>
      <c r="C242">
        <v>0.8</v>
      </c>
      <c r="D242" t="inlineStr">
        <is>
          <t>2챕터 전용 · 요청/검증 조정 값</t>
        </is>
      </c>
    </row>
    <row r="243">
      <c r="B243" t="inlineStr">
        <is>
          <t>hwy2_clearViewAhead</t>
        </is>
      </c>
      <c r="C243">
        <v>12</v>
      </c>
      <c r="D243" t="inlineStr">
        <is>
          <t>2챕터 전용 · 요청/검증 조정 값</t>
        </is>
      </c>
    </row>
    <row r="244">
      <c r="B244" t="inlineStr">
        <is>
          <t>hwy2_debrisSeconds</t>
        </is>
      </c>
      <c r="C244">
        <v>0.8</v>
      </c>
      <c r="D244" t="inlineStr">
        <is>
          <t>2챕터 전용 · 요청/검증 조정 값</t>
        </is>
      </c>
    </row>
    <row r="245">
      <c r="B245" t="inlineStr">
        <is>
          <t>hwy2_debrisSideSpeed</t>
        </is>
      </c>
      <c r="C245">
        <v>16</v>
      </c>
      <c r="D245" t="inlineStr">
        <is>
          <t>2챕터 전용 · 요청/검증 조정 값</t>
        </is>
      </c>
    </row>
    <row r="246">
      <c r="B246" t="inlineStr">
        <is>
          <t>hwy2_debrisUpSpeed</t>
        </is>
      </c>
      <c r="C246">
        <v>12</v>
      </c>
      <c r="D246" t="inlineStr">
        <is>
          <t>2챕터 전용 · 요청/검증 조정 값</t>
        </is>
      </c>
    </row>
    <row r="247">
      <c r="B247" t="inlineStr">
        <is>
          <t>hwy2_nearMissDistance</t>
        </is>
      </c>
      <c r="C247">
        <v>3</v>
      </c>
      <c r="D247" t="inlineStr">
        <is>
          <t>2챕터 전용 · 요청/검증 조정 값</t>
        </is>
      </c>
    </row>
    <row r="248">
      <c r="B248" t="inlineStr">
        <is>
          <t>hwy2_windSeconds</t>
        </is>
      </c>
      <c r="C248">
        <v>0.35</v>
      </c>
      <c r="D248" t="inlineStr">
        <is>
          <t>2챕터 전용 · 요청/검증 조정 값</t>
        </is>
      </c>
    </row>
    <row r="249">
      <c r="B249" t="inlineStr">
        <is>
          <t>hwy2_newsSeconds</t>
        </is>
      </c>
      <c r="C249">
        <v>3</v>
      </c>
      <c r="D249" t="inlineStr">
        <is>
          <t>2챕터 전용 · 요청/검증 조정 값</t>
        </is>
      </c>
    </row>
    <row r="250">
      <c r="B250" t="inlineStr">
        <is>
          <t>hwy2_entryAttLevel</t>
        </is>
      </c>
      <c r="C250">
        <v>10</v>
      </c>
      <c r="D250" t="inlineStr">
        <is>
          <t>2챕터 전용 · 요청/검증 조정 값</t>
        </is>
      </c>
    </row>
    <row r="251">
      <c r="B251" t="inlineStr">
        <is>
          <t>hwy2_entryHpLevel</t>
        </is>
      </c>
      <c r="C251">
        <v>12</v>
      </c>
      <c r="D251" t="inlineStr">
        <is>
          <t>2챕터 전용 · 요청/검증 조정 값</t>
        </is>
      </c>
    </row>
    <row r="252">
      <c r="B252" t="inlineStr">
        <is>
          <t>hwy2_entrySpeedLevel</t>
        </is>
      </c>
      <c r="C252">
        <v>1</v>
      </c>
      <c r="D252" t="inlineStr">
        <is>
          <t>2챕터 전용 · 요청/검증 조정 값</t>
        </is>
      </c>
    </row>
    <row r="253">
      <c r="B253" t="inlineStr">
        <is>
          <t>hwy2_clearAttLevel</t>
        </is>
      </c>
      <c r="C253">
        <v>20</v>
      </c>
      <c r="D253" t="inlineStr">
        <is>
          <t>2챕터 전용 · 요청/검증 조정 값</t>
        </is>
      </c>
    </row>
    <row r="254">
      <c r="B254" t="inlineStr">
        <is>
          <t>hwy2_clearHpLevel</t>
        </is>
      </c>
      <c r="C254">
        <v>24</v>
      </c>
      <c r="D254" t="inlineStr">
        <is>
          <t>2챕터 전용 · 요청/검증 조정 값</t>
        </is>
      </c>
    </row>
    <row r="255">
      <c r="B255" t="inlineStr">
        <is>
          <t>hwy2_clearSpeedLevel</t>
        </is>
      </c>
      <c r="C255">
        <v>10</v>
      </c>
      <c r="D255" t="inlineStr">
        <is>
          <t>2챕터 전용 · 요청/검증 조정 값</t>
        </is>
      </c>
    </row>
    <row r="256">
      <c r="B256" t="inlineStr">
        <is>
          <t>hwy2_normalBonusCount</t>
        </is>
      </c>
      <c r="C256">
        <v>12</v>
      </c>
      <c r="D256" t="inlineStr">
        <is>
          <t>2챕터 전용 · 요청/검증 조정 값</t>
        </is>
      </c>
    </row>
    <row r="257">
      <c r="B257" t="inlineStr">
        <is>
          <t>hwy2_normalBonusLane</t>
        </is>
      </c>
      <c r="C257">
        <v>2.4</v>
      </c>
      <c r="D257" t="inlineStr">
        <is>
          <t>2챕터 전용 · 요청/검증 조정 값</t>
        </is>
      </c>
    </row>
    <row r="258">
      <c r="B258" t="inlineStr">
        <is>
          <t>hwy2_normalBonus1</t>
        </is>
      </c>
      <c r="C258">
        <v>85</v>
      </c>
      <c r="D258" t="inlineStr">
        <is>
          <t>2챕터 전용 · 요청/검증 조정 값</t>
        </is>
      </c>
    </row>
    <row r="259">
      <c r="B259" t="inlineStr">
        <is>
          <t>hwy2_normalBonus2</t>
        </is>
      </c>
      <c r="C259">
        <v>145</v>
      </c>
      <c r="D259" t="inlineStr">
        <is>
          <t>2챕터 전용 · 요청/검증 조정 값</t>
        </is>
      </c>
    </row>
    <row r="260">
      <c r="B260" t="inlineStr">
        <is>
          <t>hwy2_normalBonus3</t>
        </is>
      </c>
      <c r="C260">
        <v>330</v>
      </c>
      <c r="D260" t="inlineStr">
        <is>
          <t>2챕터 전용 · 요청/검증 조정 값</t>
        </is>
      </c>
    </row>
    <row r="261">
      <c r="B261" t="inlineStr">
        <is>
          <t>hwy2_normalBonus4</t>
        </is>
      </c>
      <c r="C261">
        <v>365</v>
      </c>
      <c r="D261" t="inlineStr">
        <is>
          <t>2챕터 전용 · 요청/검증 조정 값</t>
        </is>
      </c>
    </row>
    <row r="262">
      <c r="B262" t="inlineStr">
        <is>
          <t>hwy2_normalBonus5</t>
        </is>
      </c>
      <c r="C262">
        <v>520</v>
      </c>
      <c r="D262" t="inlineStr">
        <is>
          <t>2챕터 전용 · 요청/검증 조정 값</t>
        </is>
      </c>
    </row>
    <row r="263">
      <c r="B263" t="inlineStr">
        <is>
          <t>hwy2_normalBonus6</t>
        </is>
      </c>
      <c r="C263">
        <v>765</v>
      </c>
      <c r="D263" t="inlineStr">
        <is>
          <t>2챕터 전용 · 요청/검증 조정 값</t>
        </is>
      </c>
    </row>
    <row r="264">
      <c r="B264" t="inlineStr">
        <is>
          <t>hwy2_normalBonus7</t>
        </is>
      </c>
      <c r="C264">
        <v>835</v>
      </c>
      <c r="D264" t="inlineStr">
        <is>
          <t>2챕터 전용 · 요청/검증 조정 값</t>
        </is>
      </c>
    </row>
    <row r="265">
      <c r="B265" t="inlineStr">
        <is>
          <t>hwy2_normalBonus8</t>
        </is>
      </c>
      <c r="C265">
        <v>1110</v>
      </c>
      <c r="D265" t="inlineStr">
        <is>
          <t>2챕터 전용 · 요청/검증 조정 값</t>
        </is>
      </c>
    </row>
    <row r="266">
      <c r="B266" t="inlineStr">
        <is>
          <t>hwy2_normalBonus9</t>
        </is>
      </c>
      <c r="C266">
        <v>1328</v>
      </c>
      <c r="D266" t="inlineStr">
        <is>
          <t>2챕터 전용 · 요청/검증 조정 값</t>
        </is>
      </c>
    </row>
    <row r="267">
      <c r="B267" t="inlineStr">
        <is>
          <t>hwy2_normalBonus10</t>
        </is>
      </c>
      <c r="C267">
        <v>1865</v>
      </c>
      <c r="D267" t="inlineStr">
        <is>
          <t>2챕터 전용 · 요청/검증 조정 값</t>
        </is>
      </c>
    </row>
    <row r="268">
      <c r="B268" t="inlineStr">
        <is>
          <t>hwy2_normalBonus11</t>
        </is>
      </c>
      <c r="C268">
        <v>2130</v>
      </c>
      <c r="D268" t="inlineStr">
        <is>
          <t>2챕터 전용 · 요청/검증 조정 값</t>
        </is>
      </c>
    </row>
    <row r="269">
      <c r="B269" t="inlineStr">
        <is>
          <t>hwy2_normalBonus12</t>
        </is>
      </c>
      <c r="C269">
        <v>2260</v>
      </c>
      <c r="D269" t="inlineStr">
        <is>
          <t>2챕터 전용 · 요청/검증 조정 값</t>
        </is>
      </c>
    </row>
    <row r="270">
      <c r="B270" t="inlineStr">
        <is>
          <t>hwy2_sideCarWidth</t>
        </is>
      </c>
      <c r="C270">
        <v>3</v>
      </c>
      <c r="D270" t="inlineStr">
        <is>
          <t>2챕터 전용 · 요청/검증 조정 값</t>
        </is>
      </c>
    </row>
    <row r="271">
      <c r="B271" t="inlineStr">
        <is>
          <t>hwy2_logLength</t>
        </is>
      </c>
      <c r="C271">
        <v>3.4</v>
      </c>
      <c r="D271" t="inlineStr">
        <is>
          <t>2챕터 전용 · 요청/검증 조정 값</t>
        </is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