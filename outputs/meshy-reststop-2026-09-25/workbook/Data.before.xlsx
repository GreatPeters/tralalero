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<sst xmlns="http://schemas.openxmlformats.org/spreadsheetml/2006/main" count="5031" uniqueCount="786">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</sst>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 t="n">
        <f>ROUND('밸런스 조정'!$C$31*(1+'밸런스 조정'!$C$33)^0*1,0)</f>
        <v>500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62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 t="n">
        <f>ROUND(O53*(1+P54),0)</f>
        <v>575</v>
      </c>
      <c r="P54">
        <v>0.15</v>
      </c>
      <c r="Q54" s="41">
        <f>'밸런스 조정'!$C$64</f>
        <v>0</v>
      </c>
      <c r="R54" s="41" t="n">
        <f>'밸런스 조정'!$C$91*IF(M54="Boss",5,IF(M54="Elite",2,1))</f>
        <v>62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 t="n">
        <f>ROUND('밸런스 조정'!$C$31*(1+'밸런스 조정'!$C$33)^1*1,0)</f>
        <v>538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62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 t="n">
        <f>ROUND(O55*(1+P56),0)</f>
        <v>619</v>
      </c>
      <c r="P56">
        <v>0.15</v>
      </c>
      <c r="Q56" s="41">
        <f>'밸런스 조정'!$C$64</f>
        <v>0</v>
      </c>
      <c r="R56" s="41" t="n">
        <f>'밸런스 조정'!$C$91*IF(M56="Boss",5,IF(M56="Elite",2,1))</f>
        <v>62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 t="n">
        <f>ROUND('밸런스 조정'!$C$31*(1+'밸런스 조정'!$C$33)^2*'밸런스 조정'!$C$35,0)</f>
        <v>867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124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 t="n">
        <f>ROUND(O57*(1+P58),0)</f>
        <v>997</v>
      </c>
      <c r="P58">
        <v>0.15</v>
      </c>
      <c r="Q58" s="41">
        <f>'밸런스 조정'!$C$64</f>
        <v>0</v>
      </c>
      <c r="R58" s="41" t="n">
        <f>'밸런스 조정'!$C$91*IF(M58="Boss",5,IF(M58="Elite",2,1))</f>
        <v>124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 t="n">
        <f>ROUND('밸런스 조정'!$C$31*(1+'밸런스 조정'!$C$33)^3*'밸런스 조정'!$C$35,0)</f>
        <v>932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124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 t="n">
        <f>ROUND(O59*(1+P60),0)</f>
        <v>1072</v>
      </c>
      <c r="P60">
        <v>0.15</v>
      </c>
      <c r="Q60" s="41">
        <f>'밸런스 조정'!$C$64</f>
        <v>0</v>
      </c>
      <c r="R60" s="41" t="n">
        <f>'밸런스 조정'!$C$91*IF(M60="Boss",5,IF(M60="Elite",2,1))</f>
        <v>124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 t="n">
        <f>ROUND('밸런스 조정'!$C$31*(1+'밸런스 조정'!$C$33)^4*1,0)</f>
        <v>668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62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 t="n">
        <f>ROUND(O61*(1+P62),0)</f>
        <v>768</v>
      </c>
      <c r="P62">
        <v>0.15</v>
      </c>
      <c r="Q62" s="41">
        <f>'밸런스 조정'!$C$64</f>
        <v>0</v>
      </c>
      <c r="R62" s="41" t="n">
        <f>'밸런스 조정'!$C$91*IF(M62="Boss",5,IF(M62="Elite",2,1))</f>
        <v>62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 t="n">
        <f>ROUND('밸런스 조정'!$C$31*(1+'밸런스 조정'!$C$33)^5*1,0)</f>
        <v>718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62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 t="n">
        <f>ROUND(O63*(1+P64),0)</f>
        <v>826</v>
      </c>
      <c r="P64">
        <v>0.15</v>
      </c>
      <c r="Q64" s="41">
        <f>'밸런스 조정'!$C$64</f>
        <v>0</v>
      </c>
      <c r="R64" s="41" t="n">
        <f>'밸런스 조정'!$C$91*IF(M64="Boss",5,IF(M64="Elite",2,1))</f>
        <v>62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 t="n">
        <f>ROUND('밸런스 조정'!$C$31*(1+'밸런스 조정'!$C$33)^6*1,0)</f>
        <v>772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62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 t="n">
        <f>ROUND(O65*(1+P66),0)</f>
        <v>888</v>
      </c>
      <c r="P66">
        <v>0.15</v>
      </c>
      <c r="Q66" s="41">
        <f>'밸런스 조정'!$C$64</f>
        <v>0</v>
      </c>
      <c r="R66" s="41" t="n">
        <f>'밸런스 조정'!$C$91*IF(M66="Boss",5,IF(M66="Elite",2,1))</f>
        <v>62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 t="n">
        <f>ROUND('밸런스 조정'!$C$31*(1+'밸런스 조정'!$C$33)^7*1,0)</f>
        <v>830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62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 t="n">
        <f>ROUND(O67*(1+P68),0)</f>
        <v>954</v>
      </c>
      <c r="P68">
        <v>0.15</v>
      </c>
      <c r="Q68" s="41">
        <f>'밸런스 조정'!$C$64</f>
        <v>0</v>
      </c>
      <c r="R68" s="41" t="n">
        <f>'밸런스 조정'!$C$91*IF(M68="Boss",5,IF(M68="Elite",2,1))</f>
        <v>62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 t="n">
        <f>ROUND('밸런스 조정'!$C$31*(1+'밸런스 조정'!$C$33)^8*'밸런스 조정'!$C$35,0)</f>
        <v>1338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124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 t="n">
        <f>ROUND(O69*(1+P70),0)</f>
        <v>1539</v>
      </c>
      <c r="P70">
        <v>0.15</v>
      </c>
      <c r="Q70" s="41">
        <f>'밸런스 조정'!$C$64</f>
        <v>0</v>
      </c>
      <c r="R70" s="41" t="n">
        <f>'밸런스 조정'!$C$91*IF(M70="Boss",5,IF(M70="Elite",2,1))</f>
        <v>124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 t="n">
        <f>ROUND('밸런스 조정'!$C$31*(1+'밸런스 조정'!$C$33)^9*'밸런스 조정'!$C$35,0)</f>
        <v>1438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124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 t="n">
        <f>ROUND(O71*(1+P72),0)</f>
        <v>1654</v>
      </c>
      <c r="P72">
        <v>0.15</v>
      </c>
      <c r="Q72" s="41">
        <f>'밸런스 조정'!$C$64</f>
        <v>0</v>
      </c>
      <c r="R72" s="41" t="n">
        <f>'밸런스 조정'!$C$91*IF(M72="Boss",5,IF(M72="Elite",2,1))</f>
        <v>124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 t="n">
        <f>ROUND('밸런스 조정'!$C$31*(1+'밸런스 조정'!$C$33)^10*1,0)</f>
        <v>1031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62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 t="n">
        <f>ROUND(O73*(1+P74),0)</f>
        <v>1186</v>
      </c>
      <c r="P74">
        <v>0.15</v>
      </c>
      <c r="Q74" s="41">
        <f>'밸런스 조정'!$C$64</f>
        <v>0</v>
      </c>
      <c r="R74" s="41" t="n">
        <f>'밸런스 조정'!$C$91*IF(M74="Boss",5,IF(M74="Elite",2,1))</f>
        <v>62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 t="n">
        <f>ROUND('밸런스 조정'!$C$31*(1+'밸런스 조정'!$C$33)^11*1,0)</f>
        <v>1108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62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 t="n">
        <f>ROUND(O75*(1+P76),0)</f>
        <v>1274</v>
      </c>
      <c r="P76">
        <v>0.15</v>
      </c>
      <c r="Q76" s="41">
        <f>'밸런스 조정'!$C$64</f>
        <v>0</v>
      </c>
      <c r="R76" s="41" t="n">
        <f>'밸런스 조정'!$C$91*IF(M76="Boss",5,IF(M76="Elite",2,1))</f>
        <v>62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 t="n">
        <f>ROUND('밸런스 조정'!$C$31*(1+'밸런스 조정'!$C$33)^12*1,0)</f>
        <v>1191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62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 t="n">
        <f>ROUND(O77*(1+P78),0)</f>
        <v>1370</v>
      </c>
      <c r="P78">
        <v>0.15</v>
      </c>
      <c r="Q78" s="41">
        <f>'밸런스 조정'!$C$64</f>
        <v>0</v>
      </c>
      <c r="R78" s="41" t="n">
        <f>'밸런스 조정'!$C$91*IF(M78="Boss",5,IF(M78="Elite",2,1))</f>
        <v>62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 t="n">
        <f>ROUND('밸런스 조정'!$C$31*(1+'밸런스 조정'!$C$33)^13*1,0)</f>
        <v>1280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62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 t="n">
        <f>ROUND(O79*(1+P80),0)</f>
        <v>1472</v>
      </c>
      <c r="P80">
        <v>0.15</v>
      </c>
      <c r="Q80" s="41">
        <f>'밸런스 조정'!$C$64</f>
        <v>0</v>
      </c>
      <c r="R80" s="41" t="n">
        <f>'밸런스 조정'!$C$91*IF(M80="Boss",5,IF(M80="Elite",2,1))</f>
        <v>62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 t="n">
        <f>ROUND('밸런스 조정'!$C$31*(1+'밸런스 조정'!$C$33)^14*'밸런스 조정'!$C$35,0)</f>
        <v>2064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124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 t="n">
        <f>ROUND(O81*(1+P82),0)</f>
        <v>2374</v>
      </c>
      <c r="P82">
        <v>0.15</v>
      </c>
      <c r="Q82" s="41">
        <f>'밸런스 조정'!$C$64</f>
        <v>0</v>
      </c>
      <c r="R82" s="41" t="n">
        <f>'밸런스 조정'!$C$91*IF(M82="Boss",5,IF(M82="Elite",2,1))</f>
        <v>124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 t="n">
        <f>ROUND('밸런스 조정'!$C$31*(1+'밸런스 조정'!$C$33)^15*'밸런스 조정'!$C$35,0)</f>
        <v>2219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124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 t="n">
        <f>ROUND(O83*(1+P84),0)</f>
        <v>2552</v>
      </c>
      <c r="P84">
        <v>0.15</v>
      </c>
      <c r="Q84" s="41">
        <f>'밸런스 조정'!$C$64</f>
        <v>0</v>
      </c>
      <c r="R84" s="41" t="n">
        <f>'밸런스 조정'!$C$91*IF(M84="Boss",5,IF(M84="Elite",2,1))</f>
        <v>124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 t="n">
        <f>ROUND('밸런스 조정'!$C$31*(1+'밸런스 조정'!$C$33)^16*1,0)</f>
        <v>1590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62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 t="n">
        <f>ROUND(O85*(1+P86),0)</f>
        <v>1828</v>
      </c>
      <c r="P86">
        <v>0.15</v>
      </c>
      <c r="Q86" s="41">
        <f>'밸런스 조정'!$C$64</f>
        <v>0</v>
      </c>
      <c r="R86" s="41" t="n">
        <f>'밸런스 조정'!$C$91*IF(M86="Boss",5,IF(M86="Elite",2,1))</f>
        <v>62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 t="n">
        <f>ROUND('밸런스 조정'!$C$31*(1+'밸런스 조정'!$C$33)^17*1,0)</f>
        <v>1710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62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 t="n">
        <f>ROUND(O87*(1+P88),0)</f>
        <v>1966</v>
      </c>
      <c r="P88">
        <v>0.15</v>
      </c>
      <c r="Q88" s="41">
        <f>'밸런스 조정'!$C$64</f>
        <v>0</v>
      </c>
      <c r="R88" s="41" t="n">
        <f>'밸런스 조정'!$C$91*IF(M88="Boss",5,IF(M88="Elite",2,1))</f>
        <v>62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 t="n">
        <f>ROUND('밸런스 조정'!$C$31*(1+'밸런스 조정'!$C$33)^18*1,0)</f>
        <v>1838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62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 t="n">
        <f>ROUND(O89*(1+P90),0)</f>
        <v>2114</v>
      </c>
      <c r="P90">
        <v>0.15</v>
      </c>
      <c r="Q90" s="41">
        <f>'밸런스 조정'!$C$64</f>
        <v>0</v>
      </c>
      <c r="R90" s="41" t="n">
        <f>'밸런스 조정'!$C$91*IF(M90="Boss",5,IF(M90="Elite",2,1))</f>
        <v>62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 t="n">
        <f>ROUND('밸런스 조정'!$C$31*(1+'밸런스 조정'!$C$33)^19*1,0)</f>
        <v>1976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62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 t="n">
        <f>ROUND(O91*(1+P92),0)</f>
        <v>2272</v>
      </c>
      <c r="P92">
        <v>0.15</v>
      </c>
      <c r="Q92" s="41">
        <f>'밸런스 조정'!$C$64</f>
        <v>0</v>
      </c>
      <c r="R92" s="41" t="n">
        <f>'밸런스 조정'!$C$91*IF(M92="Boss",5,IF(M92="Elite",2,1))</f>
        <v>62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 t="n">
        <f>ROUND('밸런스 조정'!$C$31*(1+'밸런스 조정'!$C$33)^20*'밸런스 조정'!$C$35,0)</f>
        <v>3186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124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 t="n">
        <f>ROUND(O93*(1+P94),0)</f>
        <v>3664</v>
      </c>
      <c r="P94">
        <v>0.15</v>
      </c>
      <c r="Q94" s="41">
        <f>'밸런스 조정'!$C$64</f>
        <v>0</v>
      </c>
      <c r="R94" s="41" t="n">
        <f>'밸런스 조정'!$C$91*IF(M94="Boss",5,IF(M94="Elite",2,1))</f>
        <v>124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 t="n">
        <f>ROUND('밸런스 조정'!$C$31*(1+'밸런스 조정'!$C$33)^21*'밸런스 조정'!$C$35,0)</f>
        <v>3425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124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 t="n">
        <f>ROUND(O95*(1+P96),0)</f>
        <v>3939</v>
      </c>
      <c r="P96">
        <v>0.15</v>
      </c>
      <c r="Q96" s="41">
        <f>'밸런스 조정'!$C$64</f>
        <v>0</v>
      </c>
      <c r="R96" s="41" t="n">
        <f>'밸런스 조정'!$C$91*IF(M96="Boss",5,IF(M96="Elite",2,1))</f>
        <v>124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 t="n">
        <f>ROUND('밸런스 조정'!$C$31*(1+'밸런스 조정'!$C$33)^22*1,0)</f>
        <v>2454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62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 t="n">
        <f>ROUND(O97*(1+P98),0)</f>
        <v>2822</v>
      </c>
      <c r="P98">
        <v>0.15</v>
      </c>
      <c r="Q98" s="41">
        <f>'밸런스 조정'!$C$64</f>
        <v>0</v>
      </c>
      <c r="R98" s="41" t="n">
        <f>'밸런스 조정'!$C$91*IF(M98="Boss",5,IF(M98="Elite",2,1))</f>
        <v>62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 t="n">
        <f>ROUND('밸런스 조정'!$C$31*(1+'밸런스 조정'!$C$33)^23*1,0)</f>
        <v>2639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62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 t="n">
        <f>ROUND(O99*(1+P100),0)</f>
        <v>3035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62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 t="n">
        <f>ROUND('밸런스 조정'!$C$31*(1+'밸런스 조정'!$C$33)^24*'밸런스 조정'!$C$37,0)</f>
        <v>5247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310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 t="n">
        <f>ROUND(O101*(1+P102),0)</f>
        <v>6034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310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350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350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350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350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350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350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350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350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700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700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350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350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350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350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350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350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350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350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700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700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350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350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350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350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350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350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350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350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700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700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350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350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350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350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350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350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350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350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700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700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350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350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350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350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350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350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350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350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1750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1750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1.85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