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16654eec3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a165e4ed0e7f4537"/>
    <x:sheet xmlns:r="http://schemas.openxmlformats.org/officeDocument/2006/relationships" name="스킨" sheetId="2" r:id="R720c17fab7604a26"/>
    <x:sheet xmlns:r="http://schemas.openxmlformats.org/officeDocument/2006/relationships" name="보너스" sheetId="3" r:id="R032c47242bd0492e"/>
    <x:sheet xmlns:r="http://schemas.openxmlformats.org/officeDocument/2006/relationships" name="몬스터" sheetId="4" r:id="R804e3c8e818a4c67"/>
    <x:sheet xmlns:r="http://schemas.openxmlformats.org/officeDocument/2006/relationships" name="패턴" sheetId="5" r:id="Ra75f79805399413d"/>
    <x:sheet xmlns:r="http://schemas.openxmlformats.org/officeDocument/2006/relationships" name="패턴목록" sheetId="6" r:id="R9ea6473e5baf45d5"/>
    <x:sheet xmlns:r="http://schemas.openxmlformats.org/officeDocument/2006/relationships" name="환경 변수" sheetId="7" r:id="R4aa741a7b7d64e3c"/>
    <x:sheet xmlns:r="http://schemas.openxmlformats.org/officeDocument/2006/relationships" name="몬스터 성장" sheetId="8" r:id="Rcd28b1ade9c24f74"/>
    <x:sheet xmlns:r="http://schemas.openxmlformats.org/officeDocument/2006/relationships" name="적 배치" sheetId="9" r:id="Recaeb0c3712b4c82"/>
    <x:sheet xmlns:r="http://schemas.openxmlformats.org/officeDocument/2006/relationships" name="보너스 배치" sheetId="10" r:id="R6b27d443aa3f4ad8"/>
    <x:sheet xmlns:r="http://schemas.openxmlformats.org/officeDocument/2006/relationships" name="기믹 배치" sheetId="11" r:id="R20fca39bb7f04c49"/>
    <x:sheet xmlns:r="http://schemas.openxmlformats.org/officeDocument/2006/relationships" name="밸런스 조정" sheetId="12" r:id="Reb0594998ad5431d"/>
    <x:sheet xmlns:r="http://schemas.openxmlformats.org/officeDocument/2006/relationships" name="커스터마이징" sheetId="13" r:id="R9d90aa00f8144a13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<x:sst xmlns:x="http://schemas.openxmlformats.org/spreadsheetml/2006/main">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</x:sst>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styleSheet xmlns="http://schemas.openxmlformats.org/spreadsheetml/2006/main">
  <numFmts count="7">
    <numFmt numFmtId="164" formatCode="0"/>
    <numFmt numFmtId="166" formatCode="#,##0"/>
    <numFmt numFmtId="167" formatCode="0%"/>
    <numFmt numFmtId="180" formatCode="0.0"/>
    <numFmt numFmtId="198" formatCode="0.##"/>
    <numFmt numFmtId="4644" formatCode="0.0%"/>
    <numFmt numFmtId="9126" formatCode="0.00"/>
  </numFmts>
  <fonts count="14">
    <font>
      <sz val="11"/>
      <color theme="1"/>
      <name val="맑은 고딕"/>
    </font>
    <font>
      <sz val="8"/>
      <name val="맑은 고딕"/>
    </font>
    <font>
      <sz val="11"/>
      <color rgb="FFCCCCCC"/>
      <name val="Consolas"/>
    </font>
    <font>
      <b/>
      <sz val="11"/>
      <color theme="1"/>
      <name val="맑은 고딕"/>
    </font>
    <font>
      <b/>
      <sz val="11"/>
      <color rgb="FFFFFFFF"/>
      <name val="맑은 고딕"/>
    </font>
    <font>
      <sz val="11"/>
      <name val="Carlito"/>
    </font>
    <font>
      <sz val="11"/>
      <name val="Arial"/>
    </font>
    <font>
      <b/>
      <sz val="1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sz val="11"/>
      <color theme="1"/>
      <name val="Malgun Gothic"/>
    </font>
    <font>
      <b/>
      <sz val="11"/>
      <color theme="1"/>
      <name val="Malgun Gothic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1"/>
    <xf numFmtId="0" fontId="6" fillId="0" borderId="0" xfId="1" applyNumberFormat="1" applyFont="1" applyFill="1" applyBorder="1"/>
    <xf numFmtId="0" fontId="6" fillId="9" borderId="0" xfId="1" applyNumberFormat="1" applyFont="1" applyFill="1" applyBorder="1"/>
    <xf numFmtId="0" fontId="7" fillId="9" borderId="0" xfId="1" applyNumberFormat="1" applyFont="1" applyFill="1" applyBorder="1"/>
    <xf numFmtId="0" fontId="6" fillId="0" borderId="0" xfId="1" applyNumberFormat="1" applyFont="1" applyFill="1" applyBorder="1" applyAlignment="1">
      <alignment wrapText="1"/>
    </xf>
    <xf numFmtId="164" fontId="6" fillId="0" borderId="0" xfId="1" applyNumberFormat="1" applyFont="1" applyFill="1" applyBorder="1"/>
    <xf numFmtId="164" fontId="6" fillId="10" borderId="0" xfId="1" applyNumberFormat="1" applyFont="1" applyFill="1" applyBorder="1"/>
    <xf numFmtId="0" fontId="6" fillId="10" borderId="0" xfId="1" applyNumberFormat="1" applyFont="1" applyFill="1" applyBorder="1"/>
    <xf numFmtId="0" fontId="6" fillId="11" borderId="0" xfId="1" applyNumberFormat="1" applyFont="1" applyFill="1" applyBorder="1"/>
    <xf numFmtId="0" fontId="0" fillId="9" borderId="0" xfId="0" applyNumberFormat="1" applyFont="1" applyFill="1" applyBorder="1"/>
    <xf numFmtId="0" fontId="8" fillId="9" borderId="0" xfId="0" applyNumberFormat="1" applyFont="1" applyFill="1" applyBorder="1"/>
    <xf numFmtId="0" fontId="9" fillId="0" borderId="0" xfId="0" applyNumberFormat="1" applyFont="1" applyFill="1" applyBorder="1"/>
    <xf numFmtId="0" fontId="9" fillId="10" borderId="0" xfId="0" applyNumberFormat="1" applyFont="1" applyFill="1" applyBorder="1"/>
    <xf numFmtId="166" fontId="9" fillId="10" borderId="0" xfId="0" applyNumberFormat="1" applyFont="1" applyFill="1" applyBorder="1"/>
    <xf numFmtId="167" fontId="9" fillId="10" borderId="0" xfId="0" applyNumberFormat="1" applyFont="1" applyFill="1" applyBorder="1"/>
    <xf numFmtId="167" fontId="0" fillId="0" borderId="0" xfId="0" applyNumberFormat="1" applyFont="1" applyFill="1" applyBorder="1"/>
    <xf numFmtId="180" fontId="0" fillId="0" borderId="0" xfId="0" applyNumberFormat="1" applyFont="1" applyFill="1" applyBorder="1"/>
    <xf numFmtId="167" fontId="9" fillId="0" borderId="0" xfId="0" applyNumberFormat="1" applyFont="1" applyFill="1" applyBorder="1"/>
    <xf numFmtId="0" fontId="9" fillId="9" borderId="0" xfId="0" applyNumberFormat="1" applyFont="1" applyFill="1" applyBorder="1"/>
    <xf numFmtId="0" fontId="10" fillId="0" borderId="0" xfId="0" applyNumberFormat="1" applyFont="1" applyFill="1" applyBorder="1"/>
    <xf numFmtId="0" fontId="11" fillId="0" borderId="0" xfId="0" applyNumberFormat="1" applyFont="1" applyFill="1" applyBorder="1"/>
    <xf numFmtId="198" fontId="9" fillId="0" borderId="0" xfId="0" applyNumberFormat="1" applyFont="1" applyFill="1" applyBorder="1"/>
    <xf numFmtId="198" fontId="9" fillId="10" borderId="0" xfId="0" applyNumberFormat="1" applyFont="1" applyFill="1" applyBorder="1"/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12" fillId="12" borderId="0" xfId="0" applyNumberFormat="1" applyFont="1" applyFill="1" applyBorder="1"/>
    <xf numFmtId="0" fontId="13" fillId="12" borderId="0" xfId="0" applyNumberFormat="1" applyFont="1" applyFill="1" applyBorder="1"/>
    <xf numFmtId="0" fontId="12" fillId="10" borderId="0" xfId="0" applyNumberFormat="1" applyFont="1" applyFill="1" applyBorder="1"/>
    <xf numFmtId="4644" fontId="12" fillId="10" borderId="0" xfId="0" applyNumberFormat="1" applyFont="1" applyFill="1" applyBorder="1"/>
    <xf numFmtId="0" fontId="12" fillId="0" borderId="0" xfId="0" applyNumberFormat="1" applyFont="1" applyFill="1" applyBorder="1" applyAlignment="1">
      <alignment wrapText="1"/>
    </xf>
    <xf numFmtId="0" fontId="0" fillId="12" borderId="0" xfId="0" applyNumberFormat="1" applyFont="1" applyFill="1" applyBorder="1"/>
    <xf numFmtId="0" fontId="3" fillId="12" borderId="0" xfId="0" applyNumberFormat="1" applyFont="1" applyFill="1" applyBorder="1"/>
    <xf numFmtId="0" fontId="3" fillId="0" borderId="0" xfId="0" applyNumberFormat="1" applyFont="1" applyFill="1" applyBorder="1"/>
    <xf numFmtId="0" fontId="0" fillId="1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64" fontId="0" fillId="10" borderId="0" xfId="0" applyNumberFormat="1" applyFont="1" applyFill="1" applyBorder="1"/>
    <xf numFmtId="9126" fontId="0" fillId="10" borderId="0" xfId="0" applyNumberFormat="1" applyFont="1" applyFill="1" applyBorder="1"/>
    <xf numFmtId="164" fontId="9" fillId="10" borderId="0" xfId="0" applyNumberFormat="1" applyFont="1" applyFill="1" applyBorder="1"/>
    <xf numFmtId="9126" fontId="9" fillId="10" borderId="0" xfId="0" applyNumberFormat="1" applyFont="1" applyFill="1" applyBorder="1"/>
    <xf numFmtId="0" fontId="9" fillId="0" borderId="0" xfId="0" applyNumberFormat="1" applyFont="1" applyFill="1" applyBorder="1" applyAlignment="1">
      <alignment wrapText="1"/>
    </xf>
  </cellXfs>
  <cellStyles count="1">
    <cellStyle name="표준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e03195e794ab3" /><Relationship Type="http://schemas.openxmlformats.org/officeDocument/2006/relationships/theme" Target="/xl/theme/theme1.xml" Id="R144cae74f89f49f7" /><Relationship Type="http://schemas.openxmlformats.org/officeDocument/2006/relationships/sharedStrings" Target="/xl/sharedStrings.xml" Id="Rd772d47e0b124283" /><Relationship Type="http://schemas.openxmlformats.org/officeDocument/2006/relationships/worksheet" Target="/xl/worksheets/sheet1.xml" Id="Ra165e4ed0e7f4537" /><Relationship Type="http://schemas.openxmlformats.org/officeDocument/2006/relationships/worksheet" Target="/xl/worksheets/sheet2.xml" Id="R720c17fab7604a26" /><Relationship Type="http://schemas.openxmlformats.org/officeDocument/2006/relationships/worksheet" Target="/xl/worksheets/sheet3.xml" Id="R032c47242bd0492e" /><Relationship Type="http://schemas.openxmlformats.org/officeDocument/2006/relationships/worksheet" Target="/xl/worksheets/sheet4.xml" Id="R804e3c8e818a4c67" /><Relationship Type="http://schemas.openxmlformats.org/officeDocument/2006/relationships/worksheet" Target="/xl/worksheets/sheet5.xml" Id="Ra75f79805399413d" /><Relationship Type="http://schemas.openxmlformats.org/officeDocument/2006/relationships/worksheet" Target="/xl/worksheets/sheet6.xml" Id="R9ea6473e5baf45d5" /><Relationship Type="http://schemas.openxmlformats.org/officeDocument/2006/relationships/worksheet" Target="/xl/worksheets/sheet7.xml" Id="R4aa741a7b7d64e3c" /><Relationship Type="http://schemas.openxmlformats.org/officeDocument/2006/relationships/worksheet" Target="/xl/worksheets/sheet8.xml" Id="Rcd28b1ade9c24f74" /><Relationship Type="http://schemas.openxmlformats.org/officeDocument/2006/relationships/worksheet" Target="/xl/worksheets/sheet9.xml" Id="Recaeb0c3712b4c82" /><Relationship Type="http://schemas.openxmlformats.org/officeDocument/2006/relationships/worksheet" Target="/xl/worksheets/sheet10.xml" Id="R6b27d443aa3f4ad8" /><Relationship Type="http://schemas.openxmlformats.org/officeDocument/2006/relationships/worksheet" Target="/xl/worksheets/sheet11.xml" Id="R20fca39bb7f04c49" /><Relationship Type="http://schemas.openxmlformats.org/officeDocument/2006/relationships/worksheet" Target="/xl/worksheets/sheet12.xml" Id="Reb0594998ad5431d" /><Relationship Type="http://schemas.openxmlformats.org/officeDocument/2006/relationships/worksheet" Target="/xl/worksheets/sheet13.xml" Id="R9d90aa00f8144a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>
        <x:v>1</x:v>
      </x:c>
      <x:c r="C3" t="inlineStr">
        <x:is>
          <x:t xml:space="preserve">ATT</x:t>
        </x:is>
      </x:c>
      <x:c r="D3">
        <x:v>1</x:v>
      </x:c>
      <x:c r="E3" t="inlineStr">
        <x:is>
          <x:t xml:space="preserve">공격력</x:t>
        </x:is>
      </x:c>
      <x:c r="F3" t="n">
        <x:f>'밸런스 조정'!$C$3+D3*'밸런스 조정'!$D$3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>
        <x:v>1</x:v>
      </x:c>
      <x:c r="C4" t="inlineStr">
        <x:is>
          <x:t xml:space="preserve">ATT</x:t>
        </x:is>
      </x:c>
      <x:c r="D4">
        <x:v>2</x:v>
      </x:c>
      <x:c r="E4" t="inlineStr">
        <x:is>
          <x:t xml:space="preserve">공격력</x:t>
        </x:is>
      </x:c>
      <x:c r="F4" t="n">
        <x:f>'밸런스 조정'!$C$3+D4*'밸런스 조정'!$D$3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>
        <x:v>1</x:v>
      </x:c>
      <x:c r="C5" t="inlineStr">
        <x:is>
          <x:t xml:space="preserve">ATT</x:t>
        </x:is>
      </x:c>
      <x:c r="D5">
        <x:v>3</x:v>
      </x:c>
      <x:c r="E5" t="inlineStr">
        <x:is>
          <x:t xml:space="preserve">공격력</x:t>
        </x:is>
      </x:c>
      <x:c r="F5" t="n">
        <x:f>'밸런스 조정'!$C$3+D5*'밸런스 조정'!$D$3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>
        <x:v>1</x:v>
      </x:c>
      <x:c r="C6" t="inlineStr">
        <x:is>
          <x:t xml:space="preserve">ATT</x:t>
        </x:is>
      </x:c>
      <x:c r="D6">
        <x:v>4</x:v>
      </x:c>
      <x:c r="E6" t="inlineStr">
        <x:is>
          <x:t xml:space="preserve">공격력</x:t>
        </x:is>
      </x:c>
      <x:c r="F6" t="n">
        <x:f>'밸런스 조정'!$C$3+D6*'밸런스 조정'!$D$3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>
        <x:v>1</x:v>
      </x:c>
      <x:c r="C7" t="inlineStr">
        <x:is>
          <x:t xml:space="preserve">ATT</x:t>
        </x:is>
      </x:c>
      <x:c r="D7">
        <x:v>5</x:v>
      </x:c>
      <x:c r="E7" t="inlineStr">
        <x:is>
          <x:t xml:space="preserve">공격력</x:t>
        </x:is>
      </x:c>
      <x:c r="F7" t="n">
        <x:f>'밸런스 조정'!$C$3+D7*'밸런스 조정'!$D$3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>
        <x:v>1</x:v>
      </x:c>
      <x:c r="C8" t="inlineStr">
        <x:is>
          <x:t xml:space="preserve">ATT</x:t>
        </x:is>
      </x:c>
      <x:c r="D8">
        <x:v>6</x:v>
      </x:c>
      <x:c r="E8" t="inlineStr">
        <x:is>
          <x:t xml:space="preserve">공격력</x:t>
        </x:is>
      </x:c>
      <x:c r="F8" t="n">
        <x:f>'밸런스 조정'!$C$3+D8*'밸런스 조정'!$D$3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62</x:v>
      </x:c>
      <x:c r="J8" t="str">
        <x:v>기본 공격력 증가</x:v>
      </x:c>
      <x:c r="K8" s="2"/>
    </x:row>
    <x:row r="9">
      <x:c r="B9">
        <x:v>1</x:v>
      </x:c>
      <x:c r="C9" t="inlineStr">
        <x:is>
          <x:t xml:space="preserve">ATT</x:t>
        </x:is>
      </x:c>
      <x:c r="D9">
        <x:v>7</x:v>
      </x:c>
      <x:c r="E9" t="inlineStr">
        <x:is>
          <x:t xml:space="preserve">공격력</x:t>
        </x:is>
      </x:c>
      <x:c r="F9" t="n">
        <x:f>'밸런스 조정'!$C$3+D9*'밸런스 조정'!$D$3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88</x:v>
      </x:c>
      <x:c r="J9" t="str">
        <x:v>기본 공격력 증가</x:v>
      </x:c>
      <x:c r="K9" s="2"/>
    </x:row>
    <x:row r="10">
      <x:c r="B10">
        <x:v>1</x:v>
      </x:c>
      <x:c r="C10" t="inlineStr">
        <x:is>
          <x:t xml:space="preserve">ATT</x:t>
        </x:is>
      </x:c>
      <x:c r="D10">
        <x:v>8</x:v>
      </x:c>
      <x:c r="E10" t="inlineStr">
        <x:is>
          <x:t xml:space="preserve">공격력</x:t>
        </x:is>
      </x:c>
      <x:c r="F10" t="n">
        <x:f>'밸런스 조정'!$C$3+D10*'밸런스 조정'!$D$3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120</x:v>
      </x:c>
      <x:c r="J10" t="str">
        <x:v>기본 공격력 증가</x:v>
      </x:c>
      <x:c r="K10" s="2"/>
    </x:row>
    <x:row r="11">
      <x:c r="B11">
        <x:v>1</x:v>
      </x:c>
      <x:c r="C11" t="inlineStr">
        <x:is>
          <x:t xml:space="preserve">ATT</x:t>
        </x:is>
      </x:c>
      <x:c r="D11">
        <x:v>9</x:v>
      </x:c>
      <x:c r="E11" t="inlineStr">
        <x:is>
          <x:t xml:space="preserve">공격력</x:t>
        </x:is>
      </x:c>
      <x:c r="F11" t="n">
        <x:f>'밸런스 조정'!$C$3+D11*'밸런스 조정'!$D$3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158</x:v>
      </x:c>
      <x:c r="J11" t="str">
        <x:v>기본 공격력 증가</x:v>
      </x:c>
      <x:c r="K11" s="2"/>
    </x:row>
    <x:row r="12">
      <x:c r="B12">
        <x:v>1</x:v>
      </x:c>
      <x:c r="C12" t="inlineStr">
        <x:is>
          <x:t xml:space="preserve">ATT</x:t>
        </x:is>
      </x:c>
      <x:c r="D12">
        <x:v>10</x:v>
      </x:c>
      <x:c r="E12" t="inlineStr">
        <x:is>
          <x:t xml:space="preserve">공격력</x:t>
        </x:is>
      </x:c>
      <x:c r="F12" t="n">
        <x:f>'밸런스 조정'!$C$3+D12*'밸런스 조정'!$D$3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202</x:v>
      </x:c>
      <x:c r="J12" t="str">
        <x:v>기본 공격력 증가</x:v>
      </x:c>
    </x:row>
    <x:row r="13">
      <x:c r="B13">
        <x:v>1</x:v>
      </x:c>
      <x:c r="C13" t="inlineStr">
        <x:is>
          <x:t xml:space="preserve">ATT</x:t>
        </x:is>
      </x:c>
      <x:c r="D13">
        <x:v>11</x:v>
      </x:c>
      <x:c r="E13" t="inlineStr">
        <x:is>
          <x:t xml:space="preserve">공격력</x:t>
        </x:is>
      </x:c>
      <x:c r="F13" t="n">
        <x:f>'밸런스 조정'!$C$3+D13*'밸런스 조정'!$D$3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252</x:v>
      </x:c>
      <x:c r="J13" t="str">
        <x:v>기본 공격력 증가</x:v>
      </x:c>
    </x:row>
    <x:row r="14">
      <x:c r="B14">
        <x:v>1</x:v>
      </x:c>
      <x:c r="C14" t="inlineStr">
        <x:is>
          <x:t xml:space="preserve">ATT</x:t>
        </x:is>
      </x:c>
      <x:c r="D14">
        <x:v>12</x:v>
      </x:c>
      <x:c r="E14" t="inlineStr">
        <x:is>
          <x:t xml:space="preserve">공격력</x:t>
        </x:is>
      </x:c>
      <x:c r="F14" t="n">
        <x:f>'밸런스 조정'!$C$3+D14*'밸런스 조정'!$D$3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308</x:v>
      </x:c>
      <x:c r="J14" t="str">
        <x:v>기본 공격력 증가</x:v>
      </x:c>
    </x:row>
    <x:row r="15">
      <x:c r="B15">
        <x:v>1</x:v>
      </x:c>
      <x:c r="C15" t="inlineStr">
        <x:is>
          <x:t xml:space="preserve">ATT</x:t>
        </x:is>
      </x:c>
      <x:c r="D15">
        <x:v>13</x:v>
      </x:c>
      <x:c r="E15" t="inlineStr">
        <x:is>
          <x:t xml:space="preserve">공격력</x:t>
        </x:is>
      </x:c>
      <x:c r="F15" t="n">
        <x:f>'밸런스 조정'!$C$3+D15*'밸런스 조정'!$D$3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370</x:v>
      </x:c>
      <x:c r="J15" t="str">
        <x:v>기본 공격력 증가</x:v>
      </x:c>
    </x:row>
    <x:row r="16">
      <x:c r="B16">
        <x:v>1</x:v>
      </x:c>
      <x:c r="C16" t="inlineStr">
        <x:is>
          <x:t xml:space="preserve">ATT</x:t>
        </x:is>
      </x:c>
      <x:c r="D16">
        <x:v>14</x:v>
      </x:c>
      <x:c r="E16" t="inlineStr">
        <x:is>
          <x:t xml:space="preserve">공격력</x:t>
        </x:is>
      </x:c>
      <x:c r="F16" t="n">
        <x:f>'밸런스 조정'!$C$3+D16*'밸런스 조정'!$D$3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438</x:v>
      </x:c>
      <x:c r="J16" t="str">
        <x:v>기본 공격력 증가</x:v>
      </x:c>
    </x:row>
    <x:row r="17">
      <x:c r="B17">
        <x:v>1</x:v>
      </x:c>
      <x:c r="C17" t="inlineStr">
        <x:is>
          <x:t xml:space="preserve">ATT</x:t>
        </x:is>
      </x:c>
      <x:c r="D17">
        <x:v>15</x:v>
      </x:c>
      <x:c r="E17" t="inlineStr">
        <x:is>
          <x:t xml:space="preserve">공격력</x:t>
        </x:is>
      </x:c>
      <x:c r="F17" t="n">
        <x:f>'밸런스 조정'!$C$3+D17*'밸런스 조정'!$D$3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512</x:v>
      </x:c>
      <x:c r="J17" t="str">
        <x:v>기본 공격력 증가</x:v>
      </x:c>
    </x:row>
    <x:row r="18">
      <x:c r="B18">
        <x:v>1</x:v>
      </x:c>
      <x:c r="C18" t="inlineStr">
        <x:is>
          <x:t xml:space="preserve">ATT</x:t>
        </x:is>
      </x:c>
      <x:c r="D18">
        <x:v>16</x:v>
      </x:c>
      <x:c r="E18" t="inlineStr">
        <x:is>
          <x:t xml:space="preserve">공격력</x:t>
        </x:is>
      </x:c>
      <x:c r="F18" t="n">
        <x:f>'밸런스 조정'!$C$3+D18*'밸런스 조정'!$D$3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592</x:v>
      </x:c>
      <x:c r="J18" t="str">
        <x:v>기본 공격력 증가</x:v>
      </x:c>
    </x:row>
    <x:row r="19">
      <x:c r="B19">
        <x:v>1</x:v>
      </x:c>
      <x:c r="C19" t="inlineStr">
        <x:is>
          <x:t xml:space="preserve">ATT</x:t>
        </x:is>
      </x:c>
      <x:c r="D19">
        <x:v>17</x:v>
      </x:c>
      <x:c r="E19" t="inlineStr">
        <x:is>
          <x:t xml:space="preserve">공격력</x:t>
        </x:is>
      </x:c>
      <x:c r="F19" t="n">
        <x:f>'밸런스 조정'!$C$3+D19*'밸런스 조정'!$D$3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678</x:v>
      </x:c>
      <x:c r="J19" t="str">
        <x:v>기본 공격력 증가</x:v>
      </x:c>
    </x:row>
    <x:row r="20">
      <x:c r="B20">
        <x:v>1</x:v>
      </x:c>
      <x:c r="C20" t="inlineStr">
        <x:is>
          <x:t xml:space="preserve">ATT</x:t>
        </x:is>
      </x:c>
      <x:c r="D20">
        <x:v>18</x:v>
      </x:c>
      <x:c r="E20" t="inlineStr">
        <x:is>
          <x:t xml:space="preserve">공격력</x:t>
        </x:is>
      </x:c>
      <x:c r="F20" t="n">
        <x:f>'밸런스 조정'!$C$3+D20*'밸런스 조정'!$D$3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770</x:v>
      </x:c>
      <x:c r="J20" t="str">
        <x:v>기본 공격력 증가</x:v>
      </x:c>
    </x:row>
    <x:row r="21">
      <x:c r="B21">
        <x:v>1</x:v>
      </x:c>
      <x:c r="C21" t="inlineStr">
        <x:is>
          <x:t xml:space="preserve">ATT</x:t>
        </x:is>
      </x:c>
      <x:c r="D21">
        <x:v>19</x:v>
      </x:c>
      <x:c r="E21" t="inlineStr">
        <x:is>
          <x:t xml:space="preserve">공격력</x:t>
        </x:is>
      </x:c>
      <x:c r="F21" t="n">
        <x:f>'밸런스 조정'!$C$3+D21*'밸런스 조정'!$D$3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868</x:v>
      </x:c>
      <x:c r="J21" t="str">
        <x:v>기본 공격력 증가</x:v>
      </x:c>
    </x:row>
    <x:row r="22">
      <x:c r="B22">
        <x:v>1</x:v>
      </x:c>
      <x:c r="C22" t="inlineStr">
        <x:is>
          <x:t xml:space="preserve">ATT</x:t>
        </x:is>
      </x:c>
      <x:c r="D22">
        <x:v>20</x:v>
      </x:c>
      <x:c r="E22" t="inlineStr">
        <x:is>
          <x:t xml:space="preserve">공격력</x:t>
        </x:is>
      </x:c>
      <x:c r="F22" t="n">
        <x:f>'밸런스 조정'!$C$3+D22*'밸런스 조정'!$D$3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972</x:v>
      </x:c>
      <x:c r="J22" t="str">
        <x:v>기본 공격력 증가</x:v>
      </x:c>
    </x:row>
    <x:row r="23">
      <x:c r="B23">
        <x:v>1</x:v>
      </x:c>
      <x:c r="C23" t="inlineStr">
        <x:is>
          <x:t xml:space="preserve">ATT</x:t>
        </x:is>
      </x:c>
      <x:c r="D23">
        <x:v>21</x:v>
      </x:c>
      <x:c r="E23" t="inlineStr">
        <x:is>
          <x:t xml:space="preserve">공격력</x:t>
        </x:is>
      </x:c>
      <x:c r="F23" t="n">
        <x:f>'밸런스 조정'!$C$3+D23*'밸런스 조정'!$D$3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1082</x:v>
      </x:c>
      <x:c r="J23" t="str">
        <x:v>기본 공격력 증가</x:v>
      </x:c>
    </x:row>
    <x:row r="24">
      <x:c r="B24">
        <x:v>1</x:v>
      </x:c>
      <x:c r="C24" t="inlineStr">
        <x:is>
          <x:t xml:space="preserve">ATT</x:t>
        </x:is>
      </x:c>
      <x:c r="D24">
        <x:v>22</x:v>
      </x:c>
      <x:c r="E24" t="inlineStr">
        <x:is>
          <x:t xml:space="preserve">공격력</x:t>
        </x:is>
      </x:c>
      <x:c r="F24" t="n">
        <x:f>'밸런스 조정'!$C$3+D24*'밸런스 조정'!$D$3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1198</x:v>
      </x:c>
      <x:c r="J24" t="str">
        <x:v>기본 공격력 증가</x:v>
      </x:c>
    </x:row>
    <x:row r="25">
      <x:c r="B25">
        <x:v>1</x:v>
      </x:c>
      <x:c r="C25" t="inlineStr">
        <x:is>
          <x:t xml:space="preserve">ATT</x:t>
        </x:is>
      </x:c>
      <x:c r="D25">
        <x:v>23</x:v>
      </x:c>
      <x:c r="E25" t="inlineStr">
        <x:is>
          <x:t xml:space="preserve">공격력</x:t>
        </x:is>
      </x:c>
      <x:c r="F25" t="n">
        <x:f>'밸런스 조정'!$C$3+D25*'밸런스 조정'!$D$3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1320</x:v>
      </x:c>
      <x:c r="J25" t="str">
        <x:v>기본 공격력 증가</x:v>
      </x:c>
    </x:row>
    <x:row r="26">
      <x:c r="B26">
        <x:v>1</x:v>
      </x:c>
      <x:c r="C26" t="inlineStr">
        <x:is>
          <x:t xml:space="preserve">ATT</x:t>
        </x:is>
      </x:c>
      <x:c r="D26">
        <x:v>24</x:v>
      </x:c>
      <x:c r="E26" t="inlineStr">
        <x:is>
          <x:t xml:space="preserve">공격력</x:t>
        </x:is>
      </x:c>
      <x:c r="F26" t="n">
        <x:f>'밸런스 조정'!$C$3+D26*'밸런스 조정'!$D$3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1448</x:v>
      </x:c>
      <x:c r="J26" t="str">
        <x:v>기본 공격력 증가</x:v>
      </x:c>
    </x:row>
    <x:row r="27">
      <x:c r="B27">
        <x:v>1</x:v>
      </x:c>
      <x:c r="C27" t="inlineStr">
        <x:is>
          <x:t xml:space="preserve">ATT</x:t>
        </x:is>
      </x:c>
      <x:c r="D27">
        <x:v>25</x:v>
      </x:c>
      <x:c r="E27" t="inlineStr">
        <x:is>
          <x:t xml:space="preserve">공격력</x:t>
        </x:is>
      </x:c>
      <x:c r="F27" t="n">
        <x:f>'밸런스 조정'!$C$3+D27*'밸런스 조정'!$D$3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1582</x:v>
      </x:c>
      <x:c r="J27" t="str">
        <x:v>기본 공격력 증가</x:v>
      </x:c>
    </x:row>
    <x:row r="28">
      <x:c r="B28">
        <x:v>1</x:v>
      </x:c>
      <x:c r="C28" t="inlineStr">
        <x:is>
          <x:t xml:space="preserve">ATT</x:t>
        </x:is>
      </x:c>
      <x:c r="D28">
        <x:v>26</x:v>
      </x:c>
      <x:c r="E28" t="inlineStr">
        <x:is>
          <x:t xml:space="preserve">공격력</x:t>
        </x:is>
      </x:c>
      <x:c r="F28" t="n">
        <x:f>'밸런스 조정'!$C$3+D28*'밸런스 조정'!$D$3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1722</x:v>
      </x:c>
      <x:c r="J28" t="str">
        <x:v>기본 공격력 증가</x:v>
      </x:c>
    </x:row>
    <x:row r="29">
      <x:c r="B29">
        <x:v>1</x:v>
      </x:c>
      <x:c r="C29" t="inlineStr">
        <x:is>
          <x:t xml:space="preserve">ATT</x:t>
        </x:is>
      </x:c>
      <x:c r="D29">
        <x:v>27</x:v>
      </x:c>
      <x:c r="E29" t="inlineStr">
        <x:is>
          <x:t xml:space="preserve">공격력</x:t>
        </x:is>
      </x:c>
      <x:c r="F29" t="n">
        <x:f>'밸런스 조정'!$C$3+D29*'밸런스 조정'!$D$3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1868</x:v>
      </x:c>
      <x:c r="J29" t="str">
        <x:v>기본 공격력 증가</x:v>
      </x:c>
    </x:row>
    <x:row r="30">
      <x:c r="B30">
        <x:v>1</x:v>
      </x:c>
      <x:c r="C30" t="inlineStr">
        <x:is>
          <x:t xml:space="preserve">ATT</x:t>
        </x:is>
      </x:c>
      <x:c r="D30">
        <x:v>28</x:v>
      </x:c>
      <x:c r="E30" t="inlineStr">
        <x:is>
          <x:t xml:space="preserve">공격력</x:t>
        </x:is>
      </x:c>
      <x:c r="F30" t="n">
        <x:f>'밸런스 조정'!$C$3+D30*'밸런스 조정'!$D$3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2020</x:v>
      </x:c>
      <x:c r="J30" t="str">
        <x:v>기본 공격력 증가</x:v>
      </x:c>
    </x:row>
    <x:row r="31">
      <x:c r="B31">
        <x:v>1</x:v>
      </x:c>
      <x:c r="C31" t="inlineStr">
        <x:is>
          <x:t xml:space="preserve">ATT</x:t>
        </x:is>
      </x:c>
      <x:c r="D31">
        <x:v>29</x:v>
      </x:c>
      <x:c r="E31" t="inlineStr">
        <x:is>
          <x:t xml:space="preserve">공격력</x:t>
        </x:is>
      </x:c>
      <x:c r="F31" t="n">
        <x:f>'밸런스 조정'!$C$3+D31*'밸런스 조정'!$D$3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2178</x:v>
      </x:c>
      <x:c r="J31" t="str">
        <x:v>기본 공격력 증가</x:v>
      </x:c>
    </x:row>
    <x:row r="32">
      <x:c r="B32">
        <x:v>1</x:v>
      </x:c>
      <x:c r="C32" t="inlineStr">
        <x:is>
          <x:t xml:space="preserve">ATT</x:t>
        </x:is>
      </x:c>
      <x:c r="D32">
        <x:v>30</x:v>
      </x:c>
      <x:c r="E32" t="inlineStr">
        <x:is>
          <x:t xml:space="preserve">공격력</x:t>
        </x:is>
      </x:c>
      <x:c r="F32" t="n">
        <x:f>'밸런스 조정'!$C$3+D32*'밸런스 조정'!$D$3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2342</x:v>
      </x:c>
      <x:c r="J32" t="str">
        <x:v>기본 공격력 증가</x:v>
      </x:c>
    </x:row>
    <x:row r="33">
      <x:c r="B33">
        <x:v>2</x:v>
      </x:c>
      <x:c r="C33" t="inlineStr">
        <x:is>
          <x:t xml:space="preserve">HP</x:t>
        </x:is>
      </x:c>
      <x:c r="D33">
        <x:v>1</x:v>
      </x:c>
      <x:c r="E33" t="inlineStr">
        <x:is>
          <x:t xml:space="preserve">체력</x:t>
        </x:is>
      </x:c>
      <x:c r="F33" t="n">
        <x:f>'밸런스 조정'!$C$4+'밸런스 조정'!$D$4*D33+'밸런스 조정'!$C$66*D33*(D33-1)</x:f>
        <x:v>20</x:v>
      </x:c>
      <x:c r="G33" t="str">
        <x:v>value</x:v>
      </x:c>
      <x:c r="H33" t="str">
        <x:v>Coin</x:v>
      </x:c>
      <x:c r="I33" t="n">
        <x:f>ROUND('밸런스 조정'!$E$4+'밸런스 조정'!$F$4*(D33-1)+'밸런스 조정'!$C$69*MAX(0,D33-3)^2,0)</x:f>
        <x:v>10</x:v>
      </x:c>
      <x:c r="J33" t="str">
        <x:v>최대 체력 증가</x:v>
      </x:c>
    </x:row>
    <x:row r="34">
      <x:c r="B34">
        <x:v>2</x:v>
      </x:c>
      <x:c r="C34" t="inlineStr">
        <x:is>
          <x:t xml:space="preserve">HP</x:t>
        </x:is>
      </x:c>
      <x:c r="D34">
        <x:v>2</x:v>
      </x:c>
      <x:c r="E34" t="inlineStr">
        <x:is>
          <x:t xml:space="preserve">체력</x:t>
        </x:is>
      </x:c>
      <x:c r="F34" t="n">
        <x:f>'밸런스 조정'!$C$4+'밸런스 조정'!$D$4*D34+'밸런스 조정'!$C$66*D34*(D34-1)</x:f>
        <x:v>50</x:v>
      </x:c>
      <x:c r="G34" t="str">
        <x:v>value</x:v>
      </x:c>
      <x:c r="H34" t="str">
        <x:v>Coin</x:v>
      </x:c>
      <x:c r="I34" t="n">
        <x:f>ROUND('밸런스 조정'!$E$4+'밸런스 조정'!$F$4*(D34-1)+'밸런스 조정'!$C$69*MAX(0,D34-3)^2,0)</x:f>
        <x:v>15</x:v>
      </x:c>
      <x:c r="J34" t="str">
        <x:v>최대 체력 증가</x:v>
      </x:c>
    </x:row>
    <x:row r="35">
      <x:c r="B35">
        <x:v>2</x:v>
      </x:c>
      <x:c r="C35" t="inlineStr">
        <x:is>
          <x:t xml:space="preserve">HP</x:t>
        </x:is>
      </x:c>
      <x:c r="D35">
        <x:v>3</x:v>
      </x:c>
      <x:c r="E35" t="inlineStr">
        <x:is>
          <x:t xml:space="preserve">체력</x:t>
        </x:is>
      </x:c>
      <x:c r="F35" t="n">
        <x:f>'밸런스 조정'!$C$4+'밸런스 조정'!$D$4*D35+'밸런스 조정'!$C$66*D35*(D35-1)</x:f>
        <x:v>90</x:v>
      </x:c>
      <x:c r="G35" t="str">
        <x:v>value</x:v>
      </x:c>
      <x:c r="H35" t="str">
        <x:v>Coin</x:v>
      </x:c>
      <x:c r="I35" t="n">
        <x:f>ROUND('밸런스 조정'!$E$4+'밸런스 조정'!$F$4*(D35-1)+'밸런스 조정'!$C$69*MAX(0,D35-3)^2,0)</x:f>
        <x:v>20</x:v>
      </x:c>
      <x:c r="J35" t="str">
        <x:v>최대 체력 증가</x:v>
      </x:c>
    </x:row>
    <x:row r="36">
      <x:c r="B36">
        <x:v>2</x:v>
      </x:c>
      <x:c r="C36" t="inlineStr">
        <x:is>
          <x:t xml:space="preserve">HP</x:t>
        </x:is>
      </x:c>
      <x:c r="D36">
        <x:v>4</x:v>
      </x:c>
      <x:c r="E36" t="inlineStr">
        <x:is>
          <x:t xml:space="preserve">체력</x:t>
        </x:is>
      </x:c>
      <x:c r="F36" t="n">
        <x:f>'밸런스 조정'!$C$4+'밸런스 조정'!$D$4*D36+'밸런스 조정'!$C$66*D36*(D36-1)</x:f>
        <x:v>140</x:v>
      </x:c>
      <x:c r="G36" t="str">
        <x:v>value</x:v>
      </x:c>
      <x:c r="H36" t="str">
        <x:v>Coin</x:v>
      </x:c>
      <x:c r="I36" t="n">
        <x:f>ROUND('밸런스 조정'!$E$4+'밸런스 조정'!$F$4*(D36-1)+'밸런스 조정'!$C$69*MAX(0,D36-3)^2,0)</x:f>
        <x:v>28</x:v>
      </x:c>
      <x:c r="J36" t="str">
        <x:v>최대 체력 증가</x:v>
      </x:c>
    </x:row>
    <x:row r="37">
      <x:c r="B37">
        <x:v>2</x:v>
      </x:c>
      <x:c r="C37" t="inlineStr">
        <x:is>
          <x:t xml:space="preserve">HP</x:t>
        </x:is>
      </x:c>
      <x:c r="D37">
        <x:v>5</x:v>
      </x:c>
      <x:c r="E37" t="inlineStr">
        <x:is>
          <x:t xml:space="preserve">체력</x:t>
        </x:is>
      </x:c>
      <x:c r="F37" t="n">
        <x:f>'밸런스 조정'!$C$4+'밸런스 조정'!$D$4*D37+'밸런스 조정'!$C$66*D37*(D37-1)</x:f>
        <x:v>200</x:v>
      </x:c>
      <x:c r="G37" t="str">
        <x:v>value</x:v>
      </x:c>
      <x:c r="H37" t="str">
        <x:v>Coin</x:v>
      </x:c>
      <x:c r="I37" t="n">
        <x:f>ROUND('밸런스 조정'!$E$4+'밸런스 조정'!$F$4*(D37-1)+'밸런스 조정'!$C$69*MAX(0,D37-3)^2,0)</x:f>
        <x:v>42</x:v>
      </x:c>
      <x:c r="J37" t="str">
        <x:v>최대 체력 증가</x:v>
      </x:c>
    </x:row>
    <x:row r="38">
      <x:c r="B38">
        <x:v>2</x:v>
      </x:c>
      <x:c r="C38" t="inlineStr">
        <x:is>
          <x:t xml:space="preserve">HP</x:t>
        </x:is>
      </x:c>
      <x:c r="D38">
        <x:v>6</x:v>
      </x:c>
      <x:c r="E38" t="inlineStr">
        <x:is>
          <x:t xml:space="preserve">체력</x:t>
        </x:is>
      </x:c>
      <x:c r="F38" t="n">
        <x:f>'밸런스 조정'!$C$4+'밸런스 조정'!$D$4*D38+'밸런스 조정'!$C$66*D38*(D38-1)</x:f>
        <x:v>270</x:v>
      </x:c>
      <x:c r="G38" t="str">
        <x:v>value</x:v>
      </x:c>
      <x:c r="H38" t="str">
        <x:v>Coin</x:v>
      </x:c>
      <x:c r="I38" t="n">
        <x:f>ROUND('밸런스 조정'!$E$4+'밸런스 조정'!$F$4*(D38-1)+'밸런스 조정'!$C$69*MAX(0,D38-3)^2,0)</x:f>
        <x:v>62</x:v>
      </x:c>
      <x:c r="J38" t="str">
        <x:v>최대 체력 증가</x:v>
      </x:c>
    </x:row>
    <x:row r="39">
      <x:c r="B39">
        <x:v>2</x:v>
      </x:c>
      <x:c r="C39" t="inlineStr">
        <x:is>
          <x:t xml:space="preserve">HP</x:t>
        </x:is>
      </x:c>
      <x:c r="D39">
        <x:v>7</x:v>
      </x:c>
      <x:c r="E39" t="inlineStr">
        <x:is>
          <x:t xml:space="preserve">체력</x:t>
        </x:is>
      </x:c>
      <x:c r="F39" t="n">
        <x:f>'밸런스 조정'!$C$4+'밸런스 조정'!$D$4*D39+'밸런스 조정'!$C$66*D39*(D39-1)</x:f>
        <x:v>350</x:v>
      </x:c>
      <x:c r="G39" t="str">
        <x:v>value</x:v>
      </x:c>
      <x:c r="H39" t="str">
        <x:v>Coin</x:v>
      </x:c>
      <x:c r="I39" t="n">
        <x:f>ROUND('밸런스 조정'!$E$4+'밸런스 조정'!$F$4*(D39-1)+'밸런스 조정'!$C$69*MAX(0,D39-3)^2,0)</x:f>
        <x:v>88</x:v>
      </x:c>
      <x:c r="J39" t="str">
        <x:v>최대 체력 증가</x:v>
      </x:c>
    </x:row>
    <x:row r="40">
      <x:c r="B40">
        <x:v>2</x:v>
      </x:c>
      <x:c r="C40" t="inlineStr">
        <x:is>
          <x:t xml:space="preserve">HP</x:t>
        </x:is>
      </x:c>
      <x:c r="D40">
        <x:v>8</x:v>
      </x:c>
      <x:c r="E40" t="inlineStr">
        <x:is>
          <x:t xml:space="preserve">체력</x:t>
        </x:is>
      </x:c>
      <x:c r="F40" t="n">
        <x:f>'밸런스 조정'!$C$4+'밸런스 조정'!$D$4*D40+'밸런스 조정'!$C$66*D40*(D40-1)</x:f>
        <x:v>440</x:v>
      </x:c>
      <x:c r="G40" t="str">
        <x:v>value</x:v>
      </x:c>
      <x:c r="H40" t="str">
        <x:v>Coin</x:v>
      </x:c>
      <x:c r="I40" t="n">
        <x:f>ROUND('밸런스 조정'!$E$4+'밸런스 조정'!$F$4*(D40-1)+'밸런스 조정'!$C$69*MAX(0,D40-3)^2,0)</x:f>
        <x:v>120</x:v>
      </x:c>
      <x:c r="J40" t="str">
        <x:v>최대 체력 증가</x:v>
      </x:c>
    </x:row>
    <x:row r="41">
      <x:c r="B41">
        <x:v>2</x:v>
      </x:c>
      <x:c r="C41" t="inlineStr">
        <x:is>
          <x:t xml:space="preserve">HP</x:t>
        </x:is>
      </x:c>
      <x:c r="D41">
        <x:v>9</x:v>
      </x:c>
      <x:c r="E41" t="inlineStr">
        <x:is>
          <x:t xml:space="preserve">체력</x:t>
        </x:is>
      </x:c>
      <x:c r="F41" t="n">
        <x:f>'밸런스 조정'!$C$4+'밸런스 조정'!$D$4*D41+'밸런스 조정'!$C$66*D41*(D41-1)</x:f>
        <x:v>540</x:v>
      </x:c>
      <x:c r="G41" t="str">
        <x:v>value</x:v>
      </x:c>
      <x:c r="H41" t="str">
        <x:v>Coin</x:v>
      </x:c>
      <x:c r="I41" t="n">
        <x:f>ROUND('밸런스 조정'!$E$4+'밸런스 조정'!$F$4*(D41-1)+'밸런스 조정'!$C$69*MAX(0,D41-3)^2,0)</x:f>
        <x:v>158</x:v>
      </x:c>
      <x:c r="J41" t="str">
        <x:v>최대 체력 증가</x:v>
      </x:c>
    </x:row>
    <x:row r="42">
      <x:c r="B42">
        <x:v>2</x:v>
      </x:c>
      <x:c r="C42" t="inlineStr">
        <x:is>
          <x:t xml:space="preserve">HP</x:t>
        </x:is>
      </x:c>
      <x:c r="D42">
        <x:v>10</x:v>
      </x:c>
      <x:c r="E42" t="inlineStr">
        <x:is>
          <x:t xml:space="preserve">체력</x:t>
        </x:is>
      </x:c>
      <x:c r="F42" t="n">
        <x:f>'밸런스 조정'!$C$4+'밸런스 조정'!$D$4*D42+'밸런스 조정'!$C$66*D42*(D42-1)</x:f>
        <x:v>650</x:v>
      </x:c>
      <x:c r="G42" t="str">
        <x:v>value</x:v>
      </x:c>
      <x:c r="H42" t="str">
        <x:v>Coin</x:v>
      </x:c>
      <x:c r="I42" t="n">
        <x:f>ROUND('밸런스 조정'!$E$4+'밸런스 조정'!$F$4*(D42-1)+'밸런스 조정'!$C$69*MAX(0,D42-3)^2,0)</x:f>
        <x:v>202</x:v>
      </x:c>
      <x:c r="J42" t="str">
        <x:v>최대 체력 증가</x:v>
      </x:c>
    </x:row>
    <x:row r="43">
      <x:c r="B43">
        <x:v>2</x:v>
      </x:c>
      <x:c r="C43" t="inlineStr">
        <x:is>
          <x:t xml:space="preserve">HP</x:t>
        </x:is>
      </x:c>
      <x:c r="D43">
        <x:v>11</x:v>
      </x:c>
      <x:c r="E43" t="inlineStr">
        <x:is>
          <x:t xml:space="preserve">체력</x:t>
        </x:is>
      </x:c>
      <x:c r="F43" t="n">
        <x:f>'밸런스 조정'!$C$4+'밸런스 조정'!$D$4*D43+'밸런스 조정'!$C$66*D43*(D43-1)</x:f>
        <x:v>770</x:v>
      </x:c>
      <x:c r="G43" t="str">
        <x:v>value</x:v>
      </x:c>
      <x:c r="H43" t="str">
        <x:v>Coin</x:v>
      </x:c>
      <x:c r="I43" t="n">
        <x:f>ROUND('밸런스 조정'!$E$4+'밸런스 조정'!$F$4*(D43-1)+'밸런스 조정'!$C$69*MAX(0,D43-3)^2,0)</x:f>
        <x:v>252</x:v>
      </x:c>
      <x:c r="J43" t="str">
        <x:v>최대 체력 증가</x:v>
      </x:c>
    </x:row>
    <x:row r="44">
      <x:c r="B44">
        <x:v>2</x:v>
      </x:c>
      <x:c r="C44" t="inlineStr">
        <x:is>
          <x:t xml:space="preserve">HP</x:t>
        </x:is>
      </x:c>
      <x:c r="D44">
        <x:v>12</x:v>
      </x:c>
      <x:c r="E44" t="inlineStr">
        <x:is>
          <x:t xml:space="preserve">체력</x:t>
        </x:is>
      </x:c>
      <x:c r="F44" t="n">
        <x:f>'밸런스 조정'!$C$4+'밸런스 조정'!$D$4*D44+'밸런스 조정'!$C$66*D44*(D44-1)</x:f>
        <x:v>900</x:v>
      </x:c>
      <x:c r="G44" t="str">
        <x:v>value</x:v>
      </x:c>
      <x:c r="H44" t="str">
        <x:v>Coin</x:v>
      </x:c>
      <x:c r="I44" t="n">
        <x:f>ROUND('밸런스 조정'!$E$4+'밸런스 조정'!$F$4*(D44-1)+'밸런스 조정'!$C$69*MAX(0,D44-3)^2,0)</x:f>
        <x:v>308</x:v>
      </x:c>
      <x:c r="J44" t="str">
        <x:v>최대 체력 증가</x:v>
      </x:c>
    </x:row>
    <x:row r="45">
      <x:c r="B45">
        <x:v>2</x:v>
      </x:c>
      <x:c r="C45" t="inlineStr">
        <x:is>
          <x:t xml:space="preserve">HP</x:t>
        </x:is>
      </x:c>
      <x:c r="D45">
        <x:v>13</x:v>
      </x:c>
      <x:c r="E45" t="inlineStr">
        <x:is>
          <x:t xml:space="preserve">체력</x:t>
        </x:is>
      </x:c>
      <x:c r="F45" t="n">
        <x:f>'밸런스 조정'!$C$4+'밸런스 조정'!$D$4*D45+'밸런스 조정'!$C$66*D45*(D45-1)</x:f>
        <x:v>1040</x:v>
      </x:c>
      <x:c r="G45" t="str">
        <x:v>value</x:v>
      </x:c>
      <x:c r="H45" t="str">
        <x:v>Coin</x:v>
      </x:c>
      <x:c r="I45" t="n">
        <x:f>ROUND('밸런스 조정'!$E$4+'밸런스 조정'!$F$4*(D45-1)+'밸런스 조정'!$C$69*MAX(0,D45-3)^2,0)</x:f>
        <x:v>370</x:v>
      </x:c>
      <x:c r="J45" t="str">
        <x:v>최대 체력 증가</x:v>
      </x:c>
    </x:row>
    <x:row r="46">
      <x:c r="B46">
        <x:v>2</x:v>
      </x:c>
      <x:c r="C46" t="inlineStr">
        <x:is>
          <x:t xml:space="preserve">HP</x:t>
        </x:is>
      </x:c>
      <x:c r="D46">
        <x:v>14</x:v>
      </x:c>
      <x:c r="E46" t="inlineStr">
        <x:is>
          <x:t xml:space="preserve">체력</x:t>
        </x:is>
      </x:c>
      <x:c r="F46" t="n">
        <x:f>'밸런스 조정'!$C$4+'밸런스 조정'!$D$4*D46+'밸런스 조정'!$C$66*D46*(D46-1)</x:f>
        <x:v>1190</x:v>
      </x:c>
      <x:c r="G46" t="str">
        <x:v>value</x:v>
      </x:c>
      <x:c r="H46" t="str">
        <x:v>Coin</x:v>
      </x:c>
      <x:c r="I46" t="n">
        <x:f>ROUND('밸런스 조정'!$E$4+'밸런스 조정'!$F$4*(D46-1)+'밸런스 조정'!$C$69*MAX(0,D46-3)^2,0)</x:f>
        <x:v>438</x:v>
      </x:c>
      <x:c r="J46" t="str">
        <x:v>최대 체력 증가</x:v>
      </x:c>
    </x:row>
    <x:row r="47">
      <x:c r="B47">
        <x:v>2</x:v>
      </x:c>
      <x:c r="C47" t="inlineStr">
        <x:is>
          <x:t xml:space="preserve">HP</x:t>
        </x:is>
      </x:c>
      <x:c r="D47">
        <x:v>15</x:v>
      </x:c>
      <x:c r="E47" t="inlineStr">
        <x:is>
          <x:t xml:space="preserve">체력</x:t>
        </x:is>
      </x:c>
      <x:c r="F47" t="n">
        <x:f>'밸런스 조정'!$C$4+'밸런스 조정'!$D$4*D47+'밸런스 조정'!$C$66*D47*(D47-1)</x:f>
        <x:v>1350</x:v>
      </x:c>
      <x:c r="G47" t="str">
        <x:v>value</x:v>
      </x:c>
      <x:c r="H47" t="str">
        <x:v>Coin</x:v>
      </x:c>
      <x:c r="I47" t="n">
        <x:f>ROUND('밸런스 조정'!$E$4+'밸런스 조정'!$F$4*(D47-1)+'밸런스 조정'!$C$69*MAX(0,D47-3)^2,0)</x:f>
        <x:v>512</x:v>
      </x:c>
      <x:c r="J47" t="str">
        <x:v>최대 체력 증가</x:v>
      </x:c>
    </x:row>
    <x:row r="48">
      <x:c r="B48">
        <x:v>2</x:v>
      </x:c>
      <x:c r="C48" t="inlineStr">
        <x:is>
          <x:t xml:space="preserve">HP</x:t>
        </x:is>
      </x:c>
      <x:c r="D48">
        <x:v>16</x:v>
      </x:c>
      <x:c r="E48" t="inlineStr">
        <x:is>
          <x:t xml:space="preserve">체력</x:t>
        </x:is>
      </x:c>
      <x:c r="F48" t="n">
        <x:f>'밸런스 조정'!$C$4+'밸런스 조정'!$D$4*D48+'밸런스 조정'!$C$66*D48*(D48-1)</x:f>
        <x:v>1520</x:v>
      </x:c>
      <x:c r="G48" t="str">
        <x:v>value</x:v>
      </x:c>
      <x:c r="H48" t="str">
        <x:v>Coin</x:v>
      </x:c>
      <x:c r="I48" t="n">
        <x:f>ROUND('밸런스 조정'!$E$4+'밸런스 조정'!$F$4*(D48-1)+'밸런스 조정'!$C$69*MAX(0,D48-3)^2,0)</x:f>
        <x:v>592</x:v>
      </x:c>
      <x:c r="J48" t="str">
        <x:v>최대 체력 증가</x:v>
      </x:c>
    </x:row>
    <x:row r="49">
      <x:c r="B49">
        <x:v>2</x:v>
      </x:c>
      <x:c r="C49" t="inlineStr">
        <x:is>
          <x:t xml:space="preserve">HP</x:t>
        </x:is>
      </x:c>
      <x:c r="D49">
        <x:v>17</x:v>
      </x:c>
      <x:c r="E49" t="inlineStr">
        <x:is>
          <x:t xml:space="preserve">체력</x:t>
        </x:is>
      </x:c>
      <x:c r="F49" t="n">
        <x:f>'밸런스 조정'!$C$4+'밸런스 조정'!$D$4*D49+'밸런스 조정'!$C$66*D49*(D49-1)</x:f>
        <x:v>1700</x:v>
      </x:c>
      <x:c r="G49" t="str">
        <x:v>value</x:v>
      </x:c>
      <x:c r="H49" t="str">
        <x:v>Coin</x:v>
      </x:c>
      <x:c r="I49" t="n">
        <x:f>ROUND('밸런스 조정'!$E$4+'밸런스 조정'!$F$4*(D49-1)+'밸런스 조정'!$C$69*MAX(0,D49-3)^2,0)</x:f>
        <x:v>678</x:v>
      </x:c>
      <x:c r="J49" t="str">
        <x:v>최대 체력 증가</x:v>
      </x:c>
    </x:row>
    <x:row r="50">
      <x:c r="B50">
        <x:v>2</x:v>
      </x:c>
      <x:c r="C50" t="inlineStr">
        <x:is>
          <x:t xml:space="preserve">HP</x:t>
        </x:is>
      </x:c>
      <x:c r="D50">
        <x:v>18</x:v>
      </x:c>
      <x:c r="E50" t="inlineStr">
        <x:is>
          <x:t xml:space="preserve">체력</x:t>
        </x:is>
      </x:c>
      <x:c r="F50" t="n">
        <x:f>'밸런스 조정'!$C$4+'밸런스 조정'!$D$4*D50+'밸런스 조정'!$C$66*D50*(D50-1)</x:f>
        <x:v>1890</x:v>
      </x:c>
      <x:c r="G50" t="str">
        <x:v>value</x:v>
      </x:c>
      <x:c r="H50" t="str">
        <x:v>Coin</x:v>
      </x:c>
      <x:c r="I50" t="n">
        <x:f>ROUND('밸런스 조정'!$E$4+'밸런스 조정'!$F$4*(D50-1)+'밸런스 조정'!$C$69*MAX(0,D50-3)^2,0)</x:f>
        <x:v>770</x:v>
      </x:c>
      <x:c r="J50" t="str">
        <x:v>최대 체력 증가</x:v>
      </x:c>
    </x:row>
    <x:row r="51">
      <x:c r="B51">
        <x:v>2</x:v>
      </x:c>
      <x:c r="C51" t="inlineStr">
        <x:is>
          <x:t xml:space="preserve">HP</x:t>
        </x:is>
      </x:c>
      <x:c r="D51">
        <x:v>19</x:v>
      </x:c>
      <x:c r="E51" t="inlineStr">
        <x:is>
          <x:t xml:space="preserve">체력</x:t>
        </x:is>
      </x:c>
      <x:c r="F51" t="n">
        <x:f>'밸런스 조정'!$C$4+'밸런스 조정'!$D$4*D51+'밸런스 조정'!$C$66*D51*(D51-1)</x:f>
        <x:v>2090</x:v>
      </x:c>
      <x:c r="G51" t="str">
        <x:v>value</x:v>
      </x:c>
      <x:c r="H51" t="str">
        <x:v>Coin</x:v>
      </x:c>
      <x:c r="I51" t="n">
        <x:f>ROUND('밸런스 조정'!$E$4+'밸런스 조정'!$F$4*(D51-1)+'밸런스 조정'!$C$69*MAX(0,D51-3)^2,0)</x:f>
        <x:v>868</x:v>
      </x:c>
      <x:c r="J51" t="str">
        <x:v>최대 체력 증가</x:v>
      </x:c>
    </x:row>
    <x:row r="52">
      <x:c r="B52">
        <x:v>2</x:v>
      </x:c>
      <x:c r="C52" t="inlineStr">
        <x:is>
          <x:t xml:space="preserve">HP</x:t>
        </x:is>
      </x:c>
      <x:c r="D52">
        <x:v>20</x:v>
      </x:c>
      <x:c r="E52" t="inlineStr">
        <x:is>
          <x:t xml:space="preserve">체력</x:t>
        </x:is>
      </x:c>
      <x:c r="F52" t="n">
        <x:f>'밸런스 조정'!$C$4+'밸런스 조정'!$D$4*D52+'밸런스 조정'!$C$66*D52*(D52-1)</x:f>
        <x:v>2300</x:v>
      </x:c>
      <x:c r="G52" t="str">
        <x:v>value</x:v>
      </x:c>
      <x:c r="H52" t="str">
        <x:v>Coin</x:v>
      </x:c>
      <x:c r="I52" t="n">
        <x:f>ROUND('밸런스 조정'!$E$4+'밸런스 조정'!$F$4*(D52-1)+'밸런스 조정'!$C$69*MAX(0,D52-3)^2,0)</x:f>
        <x:v>972</x:v>
      </x:c>
      <x:c r="J52" t="str">
        <x:v>최대 체력 증가</x:v>
      </x:c>
    </x:row>
    <x:row r="53">
      <x:c r="B53">
        <x:v>2</x:v>
      </x:c>
      <x:c r="C53" t="inlineStr">
        <x:is>
          <x:t xml:space="preserve">HP</x:t>
        </x:is>
      </x:c>
      <x:c r="D53">
        <x:v>21</x:v>
      </x:c>
      <x:c r="E53" t="inlineStr">
        <x:is>
          <x:t xml:space="preserve">체력</x:t>
        </x:is>
      </x:c>
      <x:c r="F53" t="n">
        <x:f>'밸런스 조정'!$C$4+'밸런스 조정'!$D$4*D53+'밸런스 조정'!$C$66*D53*(D53-1)</x:f>
        <x:v>2520</x:v>
      </x:c>
      <x:c r="G53" t="str">
        <x:v>value</x:v>
      </x:c>
      <x:c r="H53" t="str">
        <x:v>Coin</x:v>
      </x:c>
      <x:c r="I53" t="n">
        <x:f>ROUND('밸런스 조정'!$E$4+'밸런스 조정'!$F$4*(D53-1)+'밸런스 조정'!$C$69*MAX(0,D53-3)^2,0)</x:f>
        <x:v>1082</x:v>
      </x:c>
      <x:c r="J53" t="str">
        <x:v>최대 체력 증가</x:v>
      </x:c>
    </x:row>
    <x:row r="54">
      <x:c r="B54">
        <x:v>2</x:v>
      </x:c>
      <x:c r="C54" t="inlineStr">
        <x:is>
          <x:t xml:space="preserve">HP</x:t>
        </x:is>
      </x:c>
      <x:c r="D54">
        <x:v>22</x:v>
      </x:c>
      <x:c r="E54" t="inlineStr">
        <x:is>
          <x:t xml:space="preserve">체력</x:t>
        </x:is>
      </x:c>
      <x:c r="F54" t="n">
        <x:f>'밸런스 조정'!$C$4+'밸런스 조정'!$D$4*D54+'밸런스 조정'!$C$66*D54*(D54-1)</x:f>
        <x:v>2750</x:v>
      </x:c>
      <x:c r="G54" t="str">
        <x:v>value</x:v>
      </x:c>
      <x:c r="H54" t="str">
        <x:v>Coin</x:v>
      </x:c>
      <x:c r="I54" t="n">
        <x:f>ROUND('밸런스 조정'!$E$4+'밸런스 조정'!$F$4*(D54-1)+'밸런스 조정'!$C$69*MAX(0,D54-3)^2,0)</x:f>
        <x:v>1198</x:v>
      </x:c>
      <x:c r="J54" t="str">
        <x:v>최대 체력 증가</x:v>
      </x:c>
    </x:row>
    <x:row r="55">
      <x:c r="B55">
        <x:v>2</x:v>
      </x:c>
      <x:c r="C55" t="inlineStr">
        <x:is>
          <x:t xml:space="preserve">HP</x:t>
        </x:is>
      </x:c>
      <x:c r="D55">
        <x:v>23</x:v>
      </x:c>
      <x:c r="E55" t="inlineStr">
        <x:is>
          <x:t xml:space="preserve">체력</x:t>
        </x:is>
      </x:c>
      <x:c r="F55" t="n">
        <x:f>'밸런스 조정'!$C$4+'밸런스 조정'!$D$4*D55+'밸런스 조정'!$C$66*D55*(D55-1)</x:f>
        <x:v>2990</x:v>
      </x:c>
      <x:c r="G55" t="str">
        <x:v>value</x:v>
      </x:c>
      <x:c r="H55" t="str">
        <x:v>Coin</x:v>
      </x:c>
      <x:c r="I55" t="n">
        <x:f>ROUND('밸런스 조정'!$E$4+'밸런스 조정'!$F$4*(D55-1)+'밸런스 조정'!$C$69*MAX(0,D55-3)^2,0)</x:f>
        <x:v>1320</x:v>
      </x:c>
      <x:c r="J55" t="str">
        <x:v>최대 체력 증가</x:v>
      </x:c>
    </x:row>
    <x:row r="56">
      <x:c r="B56">
        <x:v>2</x:v>
      </x:c>
      <x:c r="C56" t="inlineStr">
        <x:is>
          <x:t xml:space="preserve">HP</x:t>
        </x:is>
      </x:c>
      <x:c r="D56">
        <x:v>24</x:v>
      </x:c>
      <x:c r="E56" t="inlineStr">
        <x:is>
          <x:t xml:space="preserve">체력</x:t>
        </x:is>
      </x:c>
      <x:c r="F56" t="n">
        <x:f>'밸런스 조정'!$C$4+'밸런스 조정'!$D$4*D56+'밸런스 조정'!$C$66*D56*(D56-1)</x:f>
        <x:v>3240</x:v>
      </x:c>
      <x:c r="G56" t="str">
        <x:v>value</x:v>
      </x:c>
      <x:c r="H56" t="str">
        <x:v>Coin</x:v>
      </x:c>
      <x:c r="I56" t="n">
        <x:f>ROUND('밸런스 조정'!$E$4+'밸런스 조정'!$F$4*(D56-1)+'밸런스 조정'!$C$69*MAX(0,D56-3)^2,0)</x:f>
        <x:v>1448</x:v>
      </x:c>
      <x:c r="J56" t="str">
        <x:v>최대 체력 증가</x:v>
      </x:c>
    </x:row>
    <x:row r="57">
      <x:c r="B57">
        <x:v>2</x:v>
      </x:c>
      <x:c r="C57" t="inlineStr">
        <x:is>
          <x:t xml:space="preserve">HP</x:t>
        </x:is>
      </x:c>
      <x:c r="D57">
        <x:v>25</x:v>
      </x:c>
      <x:c r="E57" t="inlineStr">
        <x:is>
          <x:t xml:space="preserve">체력</x:t>
        </x:is>
      </x:c>
      <x:c r="F57" t="n">
        <x:f>'밸런스 조정'!$C$4+'밸런스 조정'!$D$4*D57+'밸런스 조정'!$C$66*D57*(D57-1)</x:f>
        <x:v>3500</x:v>
      </x:c>
      <x:c r="G57" t="str">
        <x:v>value</x:v>
      </x:c>
      <x:c r="H57" t="str">
        <x:v>Coin</x:v>
      </x:c>
      <x:c r="I57" t="n">
        <x:f>ROUND('밸런스 조정'!$E$4+'밸런스 조정'!$F$4*(D57-1)+'밸런스 조정'!$C$69*MAX(0,D57-3)^2,0)</x:f>
        <x:v>1582</x:v>
      </x:c>
      <x:c r="J57" t="str">
        <x:v>최대 체력 증가</x:v>
      </x:c>
    </x:row>
    <x:row r="58">
      <x:c r="B58">
        <x:v>2</x:v>
      </x:c>
      <x:c r="C58" t="inlineStr">
        <x:is>
          <x:t xml:space="preserve">HP</x:t>
        </x:is>
      </x:c>
      <x:c r="D58">
        <x:v>26</x:v>
      </x:c>
      <x:c r="E58" t="inlineStr">
        <x:is>
          <x:t xml:space="preserve">체력</x:t>
        </x:is>
      </x:c>
      <x:c r="F58" t="n">
        <x:f>'밸런스 조정'!$C$4+'밸런스 조정'!$D$4*D58+'밸런스 조정'!$C$66*D58*(D58-1)</x:f>
        <x:v>3770</x:v>
      </x:c>
      <x:c r="G58" t="str">
        <x:v>value</x:v>
      </x:c>
      <x:c r="H58" t="str">
        <x:v>Coin</x:v>
      </x:c>
      <x:c r="I58" t="n">
        <x:f>ROUND('밸런스 조정'!$E$4+'밸런스 조정'!$F$4*(D58-1)+'밸런스 조정'!$C$69*MAX(0,D58-3)^2,0)</x:f>
        <x:v>1722</x:v>
      </x:c>
      <x:c r="J58" t="str">
        <x:v>최대 체력 증가</x:v>
      </x:c>
    </x:row>
    <x:row r="59">
      <x:c r="B59">
        <x:v>2</x:v>
      </x:c>
      <x:c r="C59" t="inlineStr">
        <x:is>
          <x:t xml:space="preserve">HP</x:t>
        </x:is>
      </x:c>
      <x:c r="D59">
        <x:v>27</x:v>
      </x:c>
      <x:c r="E59" t="inlineStr">
        <x:is>
          <x:t xml:space="preserve">체력</x:t>
        </x:is>
      </x:c>
      <x:c r="F59" t="n">
        <x:f>'밸런스 조정'!$C$4+'밸런스 조정'!$D$4*D59+'밸런스 조정'!$C$66*D59*(D59-1)</x:f>
        <x:v>4050</x:v>
      </x:c>
      <x:c r="G59" t="str">
        <x:v>value</x:v>
      </x:c>
      <x:c r="H59" t="str">
        <x:v>Coin</x:v>
      </x:c>
      <x:c r="I59" t="n">
        <x:f>ROUND('밸런스 조정'!$E$4+'밸런스 조정'!$F$4*(D59-1)+'밸런스 조정'!$C$69*MAX(0,D59-3)^2,0)</x:f>
        <x:v>1868</x:v>
      </x:c>
      <x:c r="J59" t="str">
        <x:v>최대 체력 증가</x:v>
      </x:c>
    </x:row>
    <x:row r="60">
      <x:c r="B60">
        <x:v>2</x:v>
      </x:c>
      <x:c r="C60" t="inlineStr">
        <x:is>
          <x:t xml:space="preserve">HP</x:t>
        </x:is>
      </x:c>
      <x:c r="D60">
        <x:v>28</x:v>
      </x:c>
      <x:c r="E60" t="inlineStr">
        <x:is>
          <x:t xml:space="preserve">체력</x:t>
        </x:is>
      </x:c>
      <x:c r="F60" t="n">
        <x:f>'밸런스 조정'!$C$4+'밸런스 조정'!$D$4*D60+'밸런스 조정'!$C$66*D60*(D60-1)</x:f>
        <x:v>4340</x:v>
      </x:c>
      <x:c r="G60" t="str">
        <x:v>value</x:v>
      </x:c>
      <x:c r="H60" t="str">
        <x:v>Coin</x:v>
      </x:c>
      <x:c r="I60" t="n">
        <x:f>ROUND('밸런스 조정'!$E$4+'밸런스 조정'!$F$4*(D60-1)+'밸런스 조정'!$C$69*MAX(0,D60-3)^2,0)</x:f>
        <x:v>2020</x:v>
      </x:c>
      <x:c r="J60" t="str">
        <x:v>최대 체력 증가</x:v>
      </x:c>
    </x:row>
    <x:row r="61">
      <x:c r="B61">
        <x:v>2</x:v>
      </x:c>
      <x:c r="C61" t="inlineStr">
        <x:is>
          <x:t xml:space="preserve">HP</x:t>
        </x:is>
      </x:c>
      <x:c r="D61">
        <x:v>29</x:v>
      </x:c>
      <x:c r="E61" t="inlineStr">
        <x:is>
          <x:t xml:space="preserve">체력</x:t>
        </x:is>
      </x:c>
      <x:c r="F61" t="n">
        <x:f>'밸런스 조정'!$C$4+'밸런스 조정'!$D$4*D61+'밸런스 조정'!$C$66*D61*(D61-1)</x:f>
        <x:v>4640</x:v>
      </x:c>
      <x:c r="G61" t="str">
        <x:v>value</x:v>
      </x:c>
      <x:c r="H61" t="str">
        <x:v>Coin</x:v>
      </x:c>
      <x:c r="I61" t="n">
        <x:f>ROUND('밸런스 조정'!$E$4+'밸런스 조정'!$F$4*(D61-1)+'밸런스 조정'!$C$69*MAX(0,D61-3)^2,0)</x:f>
        <x:v>2178</x:v>
      </x:c>
      <x:c r="J61" t="str">
        <x:v>최대 체력 증가</x:v>
      </x:c>
    </x:row>
    <x:row r="62">
      <x:c r="B62">
        <x:v>2</x:v>
      </x:c>
      <x:c r="C62" t="inlineStr">
        <x:is>
          <x:t xml:space="preserve">HP</x:t>
        </x:is>
      </x:c>
      <x:c r="D62">
        <x:v>30</x:v>
      </x:c>
      <x:c r="E62" t="inlineStr">
        <x:is>
          <x:t xml:space="preserve">체력</x:t>
        </x:is>
      </x:c>
      <x:c r="F62" t="n">
        <x:f>'밸런스 조정'!$C$4+'밸런스 조정'!$D$4*D62+'밸런스 조정'!$C$66*D62*(D62-1)</x:f>
        <x:v>4950</x:v>
      </x:c>
      <x:c r="G62" t="str">
        <x:v>value</x:v>
      </x:c>
      <x:c r="H62" t="str">
        <x:v>Coin</x:v>
      </x:c>
      <x:c r="I62" t="n">
        <x:f>ROUND('밸런스 조정'!$E$4+'밸런스 조정'!$F$4*(D62-1)+'밸런스 조정'!$C$69*MAX(0,D62-3)^2,0)</x:f>
        <x:v>2342</x:v>
      </x:c>
      <x:c r="J62" t="str">
        <x:v>최대 체력 증가</x:v>
      </x:c>
    </x:row>
    <x:row r="63">
      <x:c r="B63">
        <x:v>3</x:v>
      </x:c>
      <x:c r="C63" t="inlineStr">
        <x:is>
          <x:t xml:space="preserve">ATT_SPEED</x:t>
        </x:is>
      </x:c>
      <x:c r="D63">
        <x:v>1</x:v>
      </x:c>
      <x:c r="E63" t="inlineStr">
        <x:is>
          <x:t xml:space="preserve">공속</x:t>
        </x:is>
      </x:c>
      <x:c r="F63" t="n">
        <x:f>'밸런스 조정'!$C$5+D63*'밸런스 조정'!$D$5</x:f>
        <x:v>5</x:v>
      </x:c>
      <x:c r="G63" t="str">
        <x:v>percent</x:v>
      </x:c>
      <x:c r="H63" t="str">
        <x:v>Coin</x:v>
      </x:c>
      <x:c r="I63" t="n">
        <x:f>'밸런스 조정'!$E$5+(D63-1)*'밸런스 조정'!$F$5</x:f>
        <x:v>45</x:v>
      </x:c>
      <x:c r="J63" t="str">
        <x:v>공격 속도 증가</x:v>
      </x:c>
    </x:row>
    <x:row r="64">
      <x:c r="B64">
        <x:v>3</x:v>
      </x:c>
      <x:c r="C64" t="inlineStr">
        <x:is>
          <x:t xml:space="preserve">ATT_SPEED</x:t>
        </x:is>
      </x:c>
      <x:c r="D64">
        <x:v>2</x:v>
      </x:c>
      <x:c r="E64" t="inlineStr">
        <x:is>
          <x:t xml:space="preserve">공속</x:t>
        </x:is>
      </x:c>
      <x:c r="F64" t="n">
        <x:f>'밸런스 조정'!$C$5+D64*'밸런스 조정'!$D$5</x:f>
        <x:v>10</x:v>
      </x:c>
      <x:c r="G64" t="str">
        <x:v>percent</x:v>
      </x:c>
      <x:c r="H64" t="str">
        <x:v>Coin</x:v>
      </x:c>
      <x:c r="I64" t="n">
        <x:f>'밸런스 조정'!$E$5+(D64-1)*'밸런스 조정'!$F$5</x:f>
        <x:v>65</x:v>
      </x:c>
      <x:c r="J64" t="str">
        <x:v>공격 속도 증가</x:v>
      </x:c>
    </x:row>
    <x:row r="65">
      <x:c r="B65">
        <x:v>3</x:v>
      </x:c>
      <x:c r="C65" t="inlineStr">
        <x:is>
          <x:t xml:space="preserve">ATT_SPEED</x:t>
        </x:is>
      </x:c>
      <x:c r="D65">
        <x:v>3</x:v>
      </x:c>
      <x:c r="E65" t="inlineStr">
        <x:is>
          <x:t xml:space="preserve">공속</x:t>
        </x:is>
      </x:c>
      <x:c r="F65" t="n">
        <x:f>'밸런스 조정'!$C$5+D65*'밸런스 조정'!$D$5</x:f>
        <x:v>15</x:v>
      </x:c>
      <x:c r="G65" t="str">
        <x:v>percent</x:v>
      </x:c>
      <x:c r="H65" t="str">
        <x:v>Coin</x:v>
      </x:c>
      <x:c r="I65" t="n">
        <x:f>'밸런스 조정'!$E$5+(D65-1)*'밸런스 조정'!$F$5</x:f>
        <x:v>85</x:v>
      </x:c>
      <x:c r="J65" t="str">
        <x:v>공격 속도 증가</x:v>
      </x:c>
    </x:row>
    <x:row r="66">
      <x:c r="B66">
        <x:v>3</x:v>
      </x:c>
      <x:c r="C66" t="inlineStr">
        <x:is>
          <x:t xml:space="preserve">ATT_SPEED</x:t>
        </x:is>
      </x:c>
      <x:c r="D66">
        <x:v>4</x:v>
      </x:c>
      <x:c r="E66" t="inlineStr">
        <x:is>
          <x:t xml:space="preserve">공속</x:t>
        </x:is>
      </x:c>
      <x:c r="F66" t="n">
        <x:f>'밸런스 조정'!$C$5+D66*'밸런스 조정'!$D$5</x:f>
        <x:v>20</x:v>
      </x:c>
      <x:c r="G66" t="str">
        <x:v>percent</x:v>
      </x:c>
      <x:c r="H66" t="str">
        <x:v>Coin</x:v>
      </x:c>
      <x:c r="I66" t="n">
        <x:f>'밸런스 조정'!$E$5+(D66-1)*'밸런스 조정'!$F$5</x:f>
        <x:v>105</x:v>
      </x:c>
      <x:c r="J66" t="str">
        <x:v>공격 속도 증가</x:v>
      </x:c>
    </x:row>
    <x:row r="67">
      <x:c r="B67">
        <x:v>3</x:v>
      </x:c>
      <x:c r="C67" t="inlineStr">
        <x:is>
          <x:t xml:space="preserve">ATT_SPEED</x:t>
        </x:is>
      </x:c>
      <x:c r="D67">
        <x:v>5</x:v>
      </x:c>
      <x:c r="E67" t="inlineStr">
        <x:is>
          <x:t xml:space="preserve">공속</x:t>
        </x:is>
      </x:c>
      <x:c r="F67" t="n">
        <x:f>'밸런스 조정'!$C$5+D67*'밸런스 조정'!$D$5</x:f>
        <x:v>25</x:v>
      </x:c>
      <x:c r="G67" t="str">
        <x:v>percent</x:v>
      </x:c>
      <x:c r="H67" t="str">
        <x:v>Coin</x:v>
      </x:c>
      <x:c r="I67" t="n">
        <x:f>'밸런스 조정'!$E$5+(D67-1)*'밸런스 조정'!$F$5</x:f>
        <x:v>125</x:v>
      </x:c>
      <x:c r="J67" t="str">
        <x:v>공격 속도 증가</x:v>
      </x:c>
    </x:row>
    <x:row r="68">
      <x:c r="B68">
        <x:v>3</x:v>
      </x:c>
      <x:c r="C68" t="inlineStr">
        <x:is>
          <x:t xml:space="preserve">ATT_SPEED</x:t>
        </x:is>
      </x:c>
      <x:c r="D68">
        <x:v>6</x:v>
      </x:c>
      <x:c r="E68" t="inlineStr">
        <x:is>
          <x:t xml:space="preserve">공속</x:t>
        </x:is>
      </x:c>
      <x:c r="F68" t="n">
        <x:f>'밸런스 조정'!$C$5+D68*'밸런스 조정'!$D$5</x:f>
        <x:v>30</x:v>
      </x:c>
      <x:c r="G68" t="str">
        <x:v>percent</x:v>
      </x:c>
      <x:c r="H68" t="str">
        <x:v>Coin</x:v>
      </x:c>
      <x:c r="I68" t="n">
        <x:f>'밸런스 조정'!$E$5+(D68-1)*'밸런스 조정'!$F$5</x:f>
        <x:v>145</x:v>
      </x:c>
      <x:c r="J68" t="str">
        <x:v>공격 속도 증가</x:v>
      </x:c>
    </x:row>
    <x:row r="69">
      <x:c r="B69">
        <x:v>3</x:v>
      </x:c>
      <x:c r="C69" t="inlineStr">
        <x:is>
          <x:t xml:space="preserve">ATT_SPEED</x:t>
        </x:is>
      </x:c>
      <x:c r="D69">
        <x:v>7</x:v>
      </x:c>
      <x:c r="E69" t="inlineStr">
        <x:is>
          <x:t xml:space="preserve">공속</x:t>
        </x:is>
      </x:c>
      <x:c r="F69" t="n">
        <x:f>'밸런스 조정'!$C$5+D69*'밸런스 조정'!$D$5</x:f>
        <x:v>35</x:v>
      </x:c>
      <x:c r="G69" t="str">
        <x:v>percent</x:v>
      </x:c>
      <x:c r="H69" t="str">
        <x:v>Coin</x:v>
      </x:c>
      <x:c r="I69" t="n">
        <x:f>'밸런스 조정'!$E$5+(D69-1)*'밸런스 조정'!$F$5</x:f>
        <x:v>165</x:v>
      </x:c>
      <x:c r="J69" t="str">
        <x:v>공격 속도 증가</x:v>
      </x:c>
    </x:row>
    <x:row r="70">
      <x:c r="B70">
        <x:v>3</x:v>
      </x:c>
      <x:c r="C70" t="inlineStr">
        <x:is>
          <x:t xml:space="preserve">ATT_SPEED</x:t>
        </x:is>
      </x:c>
      <x:c r="D70">
        <x:v>8</x:v>
      </x:c>
      <x:c r="E70" t="inlineStr">
        <x:is>
          <x:t xml:space="preserve">공속</x:t>
        </x:is>
      </x:c>
      <x:c r="F70" t="n">
        <x:f>'밸런스 조정'!$C$5+D70*'밸런스 조정'!$D$5</x:f>
        <x:v>40</x:v>
      </x:c>
      <x:c r="G70" t="str">
        <x:v>percent</x:v>
      </x:c>
      <x:c r="H70" t="str">
        <x:v>Coin</x:v>
      </x:c>
      <x:c r="I70" t="n">
        <x:f>'밸런스 조정'!$E$5+(D70-1)*'밸런스 조정'!$F$5</x:f>
        <x:v>185</x:v>
      </x:c>
      <x:c r="J70" t="str">
        <x:v>공격 속도 증가</x:v>
      </x:c>
    </x:row>
    <x:row r="71">
      <x:c r="B71">
        <x:v>3</x:v>
      </x:c>
      <x:c r="C71" t="inlineStr">
        <x:is>
          <x:t xml:space="preserve">ATT_SPEED</x:t>
        </x:is>
      </x:c>
      <x:c r="D71">
        <x:v>9</x:v>
      </x:c>
      <x:c r="E71" t="inlineStr">
        <x:is>
          <x:t xml:space="preserve">공속</x:t>
        </x:is>
      </x:c>
      <x:c r="F71" t="n">
        <x:f>'밸런스 조정'!$C$5+D71*'밸런스 조정'!$D$5</x:f>
        <x:v>45</x:v>
      </x:c>
      <x:c r="G71" t="str">
        <x:v>percent</x:v>
      </x:c>
      <x:c r="H71" t="str">
        <x:v>Coin</x:v>
      </x:c>
      <x:c r="I71" t="n">
        <x:f>'밸런스 조정'!$E$5+(D71-1)*'밸런스 조정'!$F$5</x:f>
        <x:v>205</x:v>
      </x:c>
      <x:c r="J71" t="str">
        <x:v>공격 속도 증가</x:v>
      </x:c>
    </x:row>
    <x:row r="72">
      <x:c r="B72">
        <x:v>3</x:v>
      </x:c>
      <x:c r="C72" t="inlineStr">
        <x:is>
          <x:t xml:space="preserve">ATT_SPEED</x:t>
        </x:is>
      </x:c>
      <x:c r="D72">
        <x:v>10</x:v>
      </x:c>
      <x:c r="E72" t="inlineStr">
        <x:is>
          <x:t xml:space="preserve">공속</x:t>
        </x:is>
      </x:c>
      <x:c r="F72" t="n">
        <x:f>'밸런스 조정'!$C$5+D72*'밸런스 조정'!$D$5</x:f>
        <x:v>50</x:v>
      </x:c>
      <x:c r="G72" t="str">
        <x:v>percent</x:v>
      </x:c>
      <x:c r="H72" t="str">
        <x:v>Coin</x:v>
      </x:c>
      <x:c r="I72" t="n">
        <x:f>'밸런스 조정'!$E$5+(D72-1)*'밸런스 조정'!$F$5</x:f>
        <x:v>225</x:v>
      </x:c>
      <x:c r="J72" t="str">
        <x:v>공격 속도 증가</x:v>
      </x:c>
    </x:row>
    <x:row r="73">
      <x:c r="B73">
        <x:v>3</x:v>
      </x:c>
      <x:c r="C73" t="inlineStr">
        <x:is>
          <x:t xml:space="preserve">ATT_SPEED</x:t>
        </x:is>
      </x:c>
      <x:c r="D73">
        <x:v>11</x:v>
      </x:c>
      <x:c r="E73" t="inlineStr">
        <x:is>
          <x:t xml:space="preserve">공속</x:t>
        </x:is>
      </x:c>
      <x:c r="F73" t="n">
        <x:f>'밸런스 조정'!$C$5+D73*'밸런스 조정'!$D$5</x:f>
        <x:v>55</x:v>
      </x:c>
      <x:c r="G73" t="str">
        <x:v>percent</x:v>
      </x:c>
      <x:c r="H73" t="str">
        <x:v>Coin</x:v>
      </x:c>
      <x:c r="I73" t="n">
        <x:f>'밸런스 조정'!$E$5+(D73-1)*'밸런스 조정'!$F$5</x:f>
        <x:v>245</x:v>
      </x:c>
      <x:c r="J73" t="str">
        <x:v>공격 속도 증가</x:v>
      </x:c>
    </x:row>
    <x:row r="74">
      <x:c r="B74">
        <x:v>3</x:v>
      </x:c>
      <x:c r="C74" t="inlineStr">
        <x:is>
          <x:t xml:space="preserve">ATT_SPEED</x:t>
        </x:is>
      </x:c>
      <x:c r="D74">
        <x:v>12</x:v>
      </x:c>
      <x:c r="E74" t="inlineStr">
        <x:is>
          <x:t xml:space="preserve">공속</x:t>
        </x:is>
      </x:c>
      <x:c r="F74" t="n">
        <x:f>'밸런스 조정'!$C$5+D74*'밸런스 조정'!$D$5</x:f>
        <x:v>60</x:v>
      </x:c>
      <x:c r="G74" t="str">
        <x:v>percent</x:v>
      </x:c>
      <x:c r="H74" t="str">
        <x:v>Coin</x:v>
      </x:c>
      <x:c r="I74" t="n">
        <x:f>'밸런스 조정'!$E$5+(D74-1)*'밸런스 조정'!$F$5</x:f>
        <x:v>265</x:v>
      </x:c>
      <x:c r="J74" t="str">
        <x:v>공격 속도 증가</x:v>
      </x:c>
    </x:row>
    <x:row r="75">
      <x:c r="B75">
        <x:v>3</x:v>
      </x:c>
      <x:c r="C75" t="inlineStr">
        <x:is>
          <x:t xml:space="preserve">ATT_SPEED</x:t>
        </x:is>
      </x:c>
      <x:c r="D75">
        <x:v>13</x:v>
      </x:c>
      <x:c r="E75" t="inlineStr">
        <x:is>
          <x:t xml:space="preserve">공속</x:t>
        </x:is>
      </x:c>
      <x:c r="F75" t="n">
        <x:f>'밸런스 조정'!$C$5+D75*'밸런스 조정'!$D$5</x:f>
        <x:v>65</x:v>
      </x:c>
      <x:c r="G75" t="str">
        <x:v>percent</x:v>
      </x:c>
      <x:c r="H75" t="str">
        <x:v>Coin</x:v>
      </x:c>
      <x:c r="I75" t="n">
        <x:f>'밸런스 조정'!$E$5+(D75-1)*'밸런스 조정'!$F$5</x:f>
        <x:v>285</x:v>
      </x:c>
      <x:c r="J75" t="str">
        <x:v>공격 속도 증가</x:v>
      </x:c>
    </x:row>
    <x:row r="76">
      <x:c r="B76">
        <x:v>3</x:v>
      </x:c>
      <x:c r="C76" t="inlineStr">
        <x:is>
          <x:t xml:space="preserve">ATT_SPEED</x:t>
        </x:is>
      </x:c>
      <x:c r="D76">
        <x:v>14</x:v>
      </x:c>
      <x:c r="E76" t="inlineStr">
        <x:is>
          <x:t xml:space="preserve">공속</x:t>
        </x:is>
      </x:c>
      <x:c r="F76" t="n">
        <x:f>'밸런스 조정'!$C$5+D76*'밸런스 조정'!$D$5</x:f>
        <x:v>70</x:v>
      </x:c>
      <x:c r="G76" t="str">
        <x:v>percent</x:v>
      </x:c>
      <x:c r="H76" t="str">
        <x:v>Coin</x:v>
      </x:c>
      <x:c r="I76" t="n">
        <x:f>'밸런스 조정'!$E$5+(D76-1)*'밸런스 조정'!$F$5</x:f>
        <x:v>305</x:v>
      </x:c>
      <x:c r="J76" t="str">
        <x:v>공격 속도 증가</x:v>
      </x:c>
    </x:row>
    <x:row r="77">
      <x:c r="B77">
        <x:v>3</x:v>
      </x:c>
      <x:c r="C77" t="inlineStr">
        <x:is>
          <x:t xml:space="preserve">ATT_SPEED</x:t>
        </x:is>
      </x:c>
      <x:c r="D77">
        <x:v>15</x:v>
      </x:c>
      <x:c r="E77" t="inlineStr">
        <x:is>
          <x:t xml:space="preserve">공속</x:t>
        </x:is>
      </x:c>
      <x:c r="F77" t="n">
        <x:f>'밸런스 조정'!$C$5+D77*'밸런스 조정'!$D$5</x:f>
        <x:v>75</x:v>
      </x:c>
      <x:c r="G77" t="str">
        <x:v>percent</x:v>
      </x:c>
      <x:c r="H77" t="str">
        <x:v>Coin</x:v>
      </x:c>
      <x:c r="I77" t="n">
        <x:f>'밸런스 조정'!$E$5+(D77-1)*'밸런스 조정'!$F$5</x:f>
        <x:v>325</x:v>
      </x:c>
      <x:c r="J77" t="str">
        <x:v>공격 속도 증가</x:v>
      </x:c>
    </x:row>
    <x:row r="78">
      <x:c r="B78">
        <x:v>3</x:v>
      </x:c>
      <x:c r="C78" t="inlineStr">
        <x:is>
          <x:t xml:space="preserve">ATT_SPEED</x:t>
        </x:is>
      </x:c>
      <x:c r="D78">
        <x:v>16</x:v>
      </x:c>
      <x:c r="E78" t="inlineStr">
        <x:is>
          <x:t xml:space="preserve">공속</x:t>
        </x:is>
      </x:c>
      <x:c r="F78" t="n">
        <x:f>'밸런스 조정'!$C$5+D78*'밸런스 조정'!$D$5</x:f>
        <x:v>80</x:v>
      </x:c>
      <x:c r="G78" t="str">
        <x:v>percent</x:v>
      </x:c>
      <x:c r="H78" t="str">
        <x:v>Coin</x:v>
      </x:c>
      <x:c r="I78" t="n">
        <x:f>'밸런스 조정'!$E$5+(D78-1)*'밸런스 조정'!$F$5</x:f>
        <x:v>345</x:v>
      </x:c>
      <x:c r="J78" t="str">
        <x:v>공격 속도 증가</x:v>
      </x:c>
    </x:row>
    <x:row r="79">
      <x:c r="B79">
        <x:v>3</x:v>
      </x:c>
      <x:c r="C79" t="inlineStr">
        <x:is>
          <x:t xml:space="preserve">ATT_SPEED</x:t>
        </x:is>
      </x:c>
      <x:c r="D79">
        <x:v>17</x:v>
      </x:c>
      <x:c r="E79" t="inlineStr">
        <x:is>
          <x:t xml:space="preserve">공속</x:t>
        </x:is>
      </x:c>
      <x:c r="F79" t="n">
        <x:f>'밸런스 조정'!$C$5+D79*'밸런스 조정'!$D$5</x:f>
        <x:v>85</x:v>
      </x:c>
      <x:c r="G79" t="str">
        <x:v>percent</x:v>
      </x:c>
      <x:c r="H79" t="str">
        <x:v>Coin</x:v>
      </x:c>
      <x:c r="I79" t="n">
        <x:f>'밸런스 조정'!$E$5+(D79-1)*'밸런스 조정'!$F$5</x:f>
        <x:v>365</x:v>
      </x:c>
      <x:c r="J79" t="str">
        <x:v>공격 속도 증가</x:v>
      </x:c>
    </x:row>
    <x:row r="80">
      <x:c r="B80">
        <x:v>3</x:v>
      </x:c>
      <x:c r="C80" t="inlineStr">
        <x:is>
          <x:t xml:space="preserve">ATT_SPEED</x:t>
        </x:is>
      </x:c>
      <x:c r="D80">
        <x:v>18</x:v>
      </x:c>
      <x:c r="E80" t="inlineStr">
        <x:is>
          <x:t xml:space="preserve">공속</x:t>
        </x:is>
      </x:c>
      <x:c r="F80" t="n">
        <x:f>'밸런스 조정'!$C$5+D80*'밸런스 조정'!$D$5</x:f>
        <x:v>90</x:v>
      </x:c>
      <x:c r="G80" t="str">
        <x:v>percent</x:v>
      </x:c>
      <x:c r="H80" t="str">
        <x:v>Coin</x:v>
      </x:c>
      <x:c r="I80" t="n">
        <x:f>'밸런스 조정'!$E$5+(D80-1)*'밸런스 조정'!$F$5</x:f>
        <x:v>385</x:v>
      </x:c>
      <x:c r="J80" t="str">
        <x:v>공격 속도 증가</x:v>
      </x:c>
    </x:row>
    <x:row r="81">
      <x:c r="B81">
        <x:v>3</x:v>
      </x:c>
      <x:c r="C81" t="inlineStr">
        <x:is>
          <x:t xml:space="preserve">ATT_SPEED</x:t>
        </x:is>
      </x:c>
      <x:c r="D81">
        <x:v>19</x:v>
      </x:c>
      <x:c r="E81" t="inlineStr">
        <x:is>
          <x:t xml:space="preserve">공속</x:t>
        </x:is>
      </x:c>
      <x:c r="F81" t="n">
        <x:f>'밸런스 조정'!$C$5+D81*'밸런스 조정'!$D$5</x:f>
        <x:v>95</x:v>
      </x:c>
      <x:c r="G81" t="str">
        <x:v>percent</x:v>
      </x:c>
      <x:c r="H81" t="str">
        <x:v>Coin</x:v>
      </x:c>
      <x:c r="I81" t="n">
        <x:f>'밸런스 조정'!$E$5+(D81-1)*'밸런스 조정'!$F$5</x:f>
        <x:v>405</x:v>
      </x:c>
      <x:c r="J81" t="str">
        <x:v>공격 속도 증가</x:v>
      </x:c>
    </x:row>
    <x:row r="82">
      <x:c r="B82">
        <x:v>3</x:v>
      </x:c>
      <x:c r="C82" t="inlineStr">
        <x:is>
          <x:t xml:space="preserve">ATT_SPEED</x:t>
        </x:is>
      </x:c>
      <x:c r="D82">
        <x:v>20</x:v>
      </x:c>
      <x:c r="E82" t="inlineStr">
        <x:is>
          <x:t xml:space="preserve">공속</x:t>
        </x:is>
      </x:c>
      <x:c r="F82" t="n">
        <x:f>'밸런스 조정'!$C$5+D82*'밸런스 조정'!$D$5</x:f>
        <x:v>100</x:v>
      </x:c>
      <x:c r="G82" t="str">
        <x:v>percent</x:v>
      </x:c>
      <x:c r="H82" t="str">
        <x:v>Coin</x:v>
      </x:c>
      <x:c r="I82" t="n">
        <x:f>'밸런스 조정'!$E$5+(D82-1)*'밸런스 조정'!$F$5</x:f>
        <x:v>425</x:v>
      </x:c>
      <x:c r="J82" t="str">
        <x:v>공격 속도 증가</x:v>
      </x:c>
    </x:row>
    <x:row r="83">
      <x:c r="B83">
        <x:v>3</x:v>
      </x:c>
      <x:c r="C83" t="inlineStr">
        <x:is>
          <x:t xml:space="preserve">ATT_SPEED</x:t>
        </x:is>
      </x:c>
      <x:c r="D83">
        <x:v>21</x:v>
      </x:c>
      <x:c r="E83" t="inlineStr">
        <x:is>
          <x:t xml:space="preserve">공속</x:t>
        </x:is>
      </x:c>
      <x:c r="F83" t="n">
        <x:f>'밸런스 조정'!$C$5+D83*'밸런스 조정'!$D$5</x:f>
        <x:v>105</x:v>
      </x:c>
      <x:c r="G83" t="str">
        <x:v>percent</x:v>
      </x:c>
      <x:c r="H83" t="str">
        <x:v>Coin</x:v>
      </x:c>
      <x:c r="I83" t="n">
        <x:f>'밸런스 조정'!$E$5+(D83-1)*'밸런스 조정'!$F$5</x:f>
        <x:v>445</x:v>
      </x:c>
      <x:c r="J83" t="str">
        <x:v>공격 속도 증가</x:v>
      </x:c>
    </x:row>
    <x:row r="84">
      <x:c r="B84">
        <x:v>3</x:v>
      </x:c>
      <x:c r="C84" t="inlineStr">
        <x:is>
          <x:t xml:space="preserve">ATT_SPEED</x:t>
        </x:is>
      </x:c>
      <x:c r="D84">
        <x:v>22</x:v>
      </x:c>
      <x:c r="E84" t="inlineStr">
        <x:is>
          <x:t xml:space="preserve">공속</x:t>
        </x:is>
      </x:c>
      <x:c r="F84" t="n">
        <x:f>'밸런스 조정'!$C$5+D84*'밸런스 조정'!$D$5</x:f>
        <x:v>110</x:v>
      </x:c>
      <x:c r="G84" t="str">
        <x:v>percent</x:v>
      </x:c>
      <x:c r="H84" t="str">
        <x:v>Coin</x:v>
      </x:c>
      <x:c r="I84" t="n">
        <x:f>'밸런스 조정'!$E$5+(D84-1)*'밸런스 조정'!$F$5</x:f>
        <x:v>465</x:v>
      </x:c>
      <x:c r="J84" t="str">
        <x:v>공격 속도 증가</x:v>
      </x:c>
    </x:row>
    <x:row r="85">
      <x:c r="B85">
        <x:v>3</x:v>
      </x:c>
      <x:c r="C85" t="inlineStr">
        <x:is>
          <x:t xml:space="preserve">ATT_SPEED</x:t>
        </x:is>
      </x:c>
      <x:c r="D85">
        <x:v>23</x:v>
      </x:c>
      <x:c r="E85" t="inlineStr">
        <x:is>
          <x:t xml:space="preserve">공속</x:t>
        </x:is>
      </x:c>
      <x:c r="F85" t="n">
        <x:f>'밸런스 조정'!$C$5+D85*'밸런스 조정'!$D$5</x:f>
        <x:v>115</x:v>
      </x:c>
      <x:c r="G85" t="str">
        <x:v>percent</x:v>
      </x:c>
      <x:c r="H85" t="str">
        <x:v>Coin</x:v>
      </x:c>
      <x:c r="I85" t="n">
        <x:f>'밸런스 조정'!$E$5+(D85-1)*'밸런스 조정'!$F$5</x:f>
        <x:v>485</x:v>
      </x:c>
      <x:c r="J85" t="str">
        <x:v>공격 속도 증가</x:v>
      </x:c>
    </x:row>
    <x:row r="86">
      <x:c r="B86">
        <x:v>3</x:v>
      </x:c>
      <x:c r="C86" t="inlineStr">
        <x:is>
          <x:t xml:space="preserve">ATT_SPEED</x:t>
        </x:is>
      </x:c>
      <x:c r="D86">
        <x:v>24</x:v>
      </x:c>
      <x:c r="E86" t="inlineStr">
        <x:is>
          <x:t xml:space="preserve">공속</x:t>
        </x:is>
      </x:c>
      <x:c r="F86" t="n">
        <x:f>'밸런스 조정'!$C$5+D86*'밸런스 조정'!$D$5</x:f>
        <x:v>120</x:v>
      </x:c>
      <x:c r="G86" t="str">
        <x:v>percent</x:v>
      </x:c>
      <x:c r="H86" t="str">
        <x:v>Coin</x:v>
      </x:c>
      <x:c r="I86" t="n">
        <x:f>'밸런스 조정'!$E$5+(D86-1)*'밸런스 조정'!$F$5</x:f>
        <x:v>505</x:v>
      </x:c>
      <x:c r="J86" t="str">
        <x:v>공격 속도 증가</x:v>
      </x:c>
    </x:row>
    <x:row r="87">
      <x:c r="B87">
        <x:v>3</x:v>
      </x:c>
      <x:c r="C87" t="inlineStr">
        <x:is>
          <x:t xml:space="preserve">ATT_SPEED</x:t>
        </x:is>
      </x:c>
      <x:c r="D87">
        <x:v>25</x:v>
      </x:c>
      <x:c r="E87" t="inlineStr">
        <x:is>
          <x:t xml:space="preserve">공속</x:t>
        </x:is>
      </x:c>
      <x:c r="F87" t="n">
        <x:f>'밸런스 조정'!$C$5+D87*'밸런스 조정'!$D$5</x:f>
        <x:v>125</x:v>
      </x:c>
      <x:c r="G87" t="str">
        <x:v>percent</x:v>
      </x:c>
      <x:c r="H87" t="str">
        <x:v>Coin</x:v>
      </x:c>
      <x:c r="I87" t="n">
        <x:f>'밸런스 조정'!$E$5+(D87-1)*'밸런스 조정'!$F$5</x:f>
        <x:v>525</x:v>
      </x:c>
      <x:c r="J87" t="str">
        <x:v>공격 속도 증가</x:v>
      </x:c>
    </x:row>
    <x:row r="88">
      <x:c r="B88">
        <x:v>3</x:v>
      </x:c>
      <x:c r="C88" t="inlineStr">
        <x:is>
          <x:t xml:space="preserve">ATT_SPEED</x:t>
        </x:is>
      </x:c>
      <x:c r="D88">
        <x:v>26</x:v>
      </x:c>
      <x:c r="E88" t="inlineStr">
        <x:is>
          <x:t xml:space="preserve">공속</x:t>
        </x:is>
      </x:c>
      <x:c r="F88" t="n">
        <x:f>'밸런스 조정'!$C$5+D88*'밸런스 조정'!$D$5</x:f>
        <x:v>130</x:v>
      </x:c>
      <x:c r="G88" t="str">
        <x:v>percent</x:v>
      </x:c>
      <x:c r="H88" t="str">
        <x:v>Coin</x:v>
      </x:c>
      <x:c r="I88" t="n">
        <x:f>'밸런스 조정'!$E$5+(D88-1)*'밸런스 조정'!$F$5</x:f>
        <x:v>545</x:v>
      </x:c>
      <x:c r="J88" t="str">
        <x:v>공격 속도 증가</x:v>
      </x:c>
    </x:row>
    <x:row r="89">
      <x:c r="B89">
        <x:v>3</x:v>
      </x:c>
      <x:c r="C89" t="inlineStr">
        <x:is>
          <x:t xml:space="preserve">ATT_SPEED</x:t>
        </x:is>
      </x:c>
      <x:c r="D89">
        <x:v>27</x:v>
      </x:c>
      <x:c r="E89" t="inlineStr">
        <x:is>
          <x:t xml:space="preserve">공속</x:t>
        </x:is>
      </x:c>
      <x:c r="F89" t="n">
        <x:f>'밸런스 조정'!$C$5+D89*'밸런스 조정'!$D$5</x:f>
        <x:v>135</x:v>
      </x:c>
      <x:c r="G89" t="str">
        <x:v>percent</x:v>
      </x:c>
      <x:c r="H89" t="str">
        <x:v>Coin</x:v>
      </x:c>
      <x:c r="I89" t="n">
        <x:f>'밸런스 조정'!$E$5+(D89-1)*'밸런스 조정'!$F$5</x:f>
        <x:v>565</x:v>
      </x:c>
      <x:c r="J89" t="str">
        <x:v>공격 속도 증가</x:v>
      </x:c>
    </x:row>
    <x:row r="90">
      <x:c r="B90">
        <x:v>3</x:v>
      </x:c>
      <x:c r="C90" t="inlineStr">
        <x:is>
          <x:t xml:space="preserve">ATT_SPEED</x:t>
        </x:is>
      </x:c>
      <x:c r="D90">
        <x:v>28</x:v>
      </x:c>
      <x:c r="E90" t="inlineStr">
        <x:is>
          <x:t xml:space="preserve">공속</x:t>
        </x:is>
      </x:c>
      <x:c r="F90" t="n">
        <x:f>'밸런스 조정'!$C$5+D90*'밸런스 조정'!$D$5</x:f>
        <x:v>140</x:v>
      </x:c>
      <x:c r="G90" t="str">
        <x:v>percent</x:v>
      </x:c>
      <x:c r="H90" t="str">
        <x:v>Coin</x:v>
      </x:c>
      <x:c r="I90" t="n">
        <x:f>'밸런스 조정'!$E$5+(D90-1)*'밸런스 조정'!$F$5</x:f>
        <x:v>585</x:v>
      </x:c>
      <x:c r="J90" t="str">
        <x:v>공격 속도 증가</x:v>
      </x:c>
    </x:row>
    <x:row r="91">
      <x:c r="B91">
        <x:v>3</x:v>
      </x:c>
      <x:c r="C91" t="inlineStr">
        <x:is>
          <x:t xml:space="preserve">ATT_SPEED</x:t>
        </x:is>
      </x:c>
      <x:c r="D91">
        <x:v>29</x:v>
      </x:c>
      <x:c r="E91" t="inlineStr">
        <x:is>
          <x:t xml:space="preserve">공속</x:t>
        </x:is>
      </x:c>
      <x:c r="F91" t="n">
        <x:f>'밸런스 조정'!$C$5+D91*'밸런스 조정'!$D$5</x:f>
        <x:v>145</x:v>
      </x:c>
      <x:c r="G91" t="str">
        <x:v>percent</x:v>
      </x:c>
      <x:c r="H91" t="str">
        <x:v>Coin</x:v>
      </x:c>
      <x:c r="I91" t="n">
        <x:f>'밸런스 조정'!$E$5+(D91-1)*'밸런스 조정'!$F$5</x:f>
        <x:v>605</x:v>
      </x:c>
      <x:c r="J91" t="str">
        <x:v>공격 속도 증가</x:v>
      </x:c>
    </x:row>
    <x:row r="92">
      <x:c r="B92">
        <x:v>3</x:v>
      </x:c>
      <x:c r="C92" t="inlineStr">
        <x:is>
          <x:t xml:space="preserve">ATT_SPEED</x:t>
        </x:is>
      </x:c>
      <x:c r="D92">
        <x:v>30</x:v>
      </x:c>
      <x:c r="E92" t="inlineStr">
        <x:is>
          <x:t xml:space="preserve">공속</x:t>
        </x:is>
      </x:c>
      <x:c r="F92" t="n">
        <x:f>'밸런스 조정'!$C$5+D92*'밸런스 조정'!$D$5</x:f>
        <x:v>150</x:v>
      </x:c>
      <x:c r="G92" t="str">
        <x:v>percent</x:v>
      </x:c>
      <x:c r="H92" t="str">
        <x:v>Coin</x:v>
      </x:c>
      <x:c r="I92" t="n">
        <x:f>'밸런스 조정'!$E$5+(D92-1)*'밸런스 조정'!$F$5</x:f>
        <x:v>625</x:v>
      </x:c>
      <x:c r="J92" t="str">
        <x:v>공격 속도 증가</x:v>
      </x:c>
    </x:row>
    <x:row r="93">
      <x:c r="B93">
        <x:v>4</x:v>
      </x:c>
      <x:c r="C93" t="inlineStr">
        <x:is>
          <x:t xml:space="preserve">PROJECTILE_SPEED</x:t>
        </x:is>
      </x:c>
      <x:c r="D93">
        <x:v>1</x:v>
      </x:c>
      <x:c r="E93" t="str">
        <x:v>미사일 지속 시간</x:v>
      </x:c>
      <x:c r="F93" t="n">
        <x:f>'밸런스 조정'!$C$6+D93*'밸런스 조정'!$D$6</x:f>
        <x:v>4</x:v>
      </x:c>
      <x:c r="G93" t="str">
        <x:v>percent</x:v>
      </x:c>
      <x:c r="H93" t="str">
        <x:v>Coin</x:v>
      </x:c>
      <x:c r="I93" t="n">
        <x:f>'밸런스 조정'!$E$6+(D93-1)*'밸런스 조정'!$F$6</x:f>
        <x:v>40</x:v>
      </x:c>
      <x:c r="J93" t="str">
        <x:v>미사일 지속 시간 증가</x:v>
      </x:c>
    </x:row>
    <x:row r="94">
      <x:c r="B94">
        <x:v>4</x:v>
      </x:c>
      <x:c r="C94" t="inlineStr">
        <x:is>
          <x:t xml:space="preserve">PROJECTILE_SPEED</x:t>
        </x:is>
      </x:c>
      <x:c r="D94">
        <x:v>2</x:v>
      </x:c>
      <x:c r="E94" t="str">
        <x:v>미사일 지속 시간</x:v>
      </x:c>
      <x:c r="F94" t="n">
        <x:f>'밸런스 조정'!$C$6+D94*'밸런스 조정'!$D$6</x:f>
        <x:v>8</x:v>
      </x:c>
      <x:c r="G94" t="str">
        <x:v>percent</x:v>
      </x:c>
      <x:c r="H94" t="str">
        <x:v>Coin</x:v>
      </x:c>
      <x:c r="I94" t="n">
        <x:f>'밸런스 조정'!$E$6+(D94-1)*'밸런스 조정'!$F$6</x:f>
        <x:v>56</x:v>
      </x:c>
      <x:c r="J94" t="str">
        <x:v>미사일 지속 시간 증가</x:v>
      </x:c>
    </x:row>
    <x:row r="95">
      <x:c r="B95">
        <x:v>4</x:v>
      </x:c>
      <x:c r="C95" t="inlineStr">
        <x:is>
          <x:t xml:space="preserve">PROJECTILE_SPEED</x:t>
        </x:is>
      </x:c>
      <x:c r="D95">
        <x:v>3</x:v>
      </x:c>
      <x:c r="E95" t="str">
        <x:v>미사일 지속 시간</x:v>
      </x:c>
      <x:c r="F95" t="n">
        <x:f>'밸런스 조정'!$C$6+D95*'밸런스 조정'!$D$6</x:f>
        <x:v>12</x:v>
      </x:c>
      <x:c r="G95" t="str">
        <x:v>percent</x:v>
      </x:c>
      <x:c r="H95" t="str">
        <x:v>Coin</x:v>
      </x:c>
      <x:c r="I95" t="n">
        <x:f>'밸런스 조정'!$E$6+(D95-1)*'밸런스 조정'!$F$6</x:f>
        <x:v>72</x:v>
      </x:c>
      <x:c r="J95" t="str">
        <x:v>미사일 지속 시간 증가</x:v>
      </x:c>
    </x:row>
    <x:row r="96">
      <x:c r="B96">
        <x:v>4</x:v>
      </x:c>
      <x:c r="C96" t="inlineStr">
        <x:is>
          <x:t xml:space="preserve">PROJECTILE_SPEED</x:t>
        </x:is>
      </x:c>
      <x:c r="D96">
        <x:v>4</x:v>
      </x:c>
      <x:c r="E96" t="str">
        <x:v>미사일 지속 시간</x:v>
      </x:c>
      <x:c r="F96" t="n">
        <x:f>'밸런스 조정'!$C$6+D96*'밸런스 조정'!$D$6</x:f>
        <x:v>16</x:v>
      </x:c>
      <x:c r="G96" t="str">
        <x:v>percent</x:v>
      </x:c>
      <x:c r="H96" t="str">
        <x:v>Coin</x:v>
      </x:c>
      <x:c r="I96" t="n">
        <x:f>'밸런스 조정'!$E$6+(D96-1)*'밸런스 조정'!$F$6</x:f>
        <x:v>88</x:v>
      </x:c>
      <x:c r="J96" t="str">
        <x:v>미사일 지속 시간 증가</x:v>
      </x:c>
    </x:row>
    <x:row r="97">
      <x:c r="B97">
        <x:v>4</x:v>
      </x:c>
      <x:c r="C97" t="inlineStr">
        <x:is>
          <x:t xml:space="preserve">PROJECTILE_SPEED</x:t>
        </x:is>
      </x:c>
      <x:c r="D97">
        <x:v>5</x:v>
      </x:c>
      <x:c r="E97" t="str">
        <x:v>미사일 지속 시간</x:v>
      </x:c>
      <x:c r="F97" t="n">
        <x:f>'밸런스 조정'!$C$6+D97*'밸런스 조정'!$D$6</x:f>
        <x:v>20</x:v>
      </x:c>
      <x:c r="G97" t="str">
        <x:v>percent</x:v>
      </x:c>
      <x:c r="H97" t="str">
        <x:v>Coin</x:v>
      </x:c>
      <x:c r="I97" t="n">
        <x:f>'밸런스 조정'!$E$6+(D97-1)*'밸런스 조정'!$F$6</x:f>
        <x:v>104</x:v>
      </x:c>
      <x:c r="J97" t="str">
        <x:v>미사일 지속 시간 증가</x:v>
      </x:c>
    </x:row>
    <x:row r="98">
      <x:c r="B98">
        <x:v>4</x:v>
      </x:c>
      <x:c r="C98" t="inlineStr">
        <x:is>
          <x:t xml:space="preserve">PROJECTILE_SPEED</x:t>
        </x:is>
      </x:c>
      <x:c r="D98">
        <x:v>6</x:v>
      </x:c>
      <x:c r="E98" t="str">
        <x:v>미사일 지속 시간</x:v>
      </x:c>
      <x:c r="F98" t="n">
        <x:f>'밸런스 조정'!$C$6+D98*'밸런스 조정'!$D$6</x:f>
        <x:v>24</x:v>
      </x:c>
      <x:c r="G98" t="str">
        <x:v>percent</x:v>
      </x:c>
      <x:c r="H98" t="str">
        <x:v>Coin</x:v>
      </x:c>
      <x:c r="I98" t="n">
        <x:f>'밸런스 조정'!$E$6+(D98-1)*'밸런스 조정'!$F$6</x:f>
        <x:v>120</x:v>
      </x:c>
      <x:c r="J98" t="str">
        <x:v>미사일 지속 시간 증가</x:v>
      </x:c>
    </x:row>
    <x:row r="99">
      <x:c r="B99">
        <x:v>4</x:v>
      </x:c>
      <x:c r="C99" t="inlineStr">
        <x:is>
          <x:t xml:space="preserve">PROJECTILE_SPEED</x:t>
        </x:is>
      </x:c>
      <x:c r="D99">
        <x:v>7</x:v>
      </x:c>
      <x:c r="E99" t="str">
        <x:v>미사일 지속 시간</x:v>
      </x:c>
      <x:c r="F99" t="n">
        <x:f>'밸런스 조정'!$C$6+D99*'밸런스 조정'!$D$6</x:f>
        <x:v>28</x:v>
      </x:c>
      <x:c r="G99" t="str">
        <x:v>percent</x:v>
      </x:c>
      <x:c r="H99" t="str">
        <x:v>Coin</x:v>
      </x:c>
      <x:c r="I99" t="n">
        <x:f>'밸런스 조정'!$E$6+(D99-1)*'밸런스 조정'!$F$6</x:f>
        <x:v>136</x:v>
      </x:c>
      <x:c r="J99" t="str">
        <x:v>미사일 지속 시간 증가</x:v>
      </x:c>
    </x:row>
    <x:row r="100">
      <x:c r="B100">
        <x:v>4</x:v>
      </x:c>
      <x:c r="C100" t="inlineStr">
        <x:is>
          <x:t xml:space="preserve">PROJECTILE_SPEED</x:t>
        </x:is>
      </x:c>
      <x:c r="D100">
        <x:v>8</x:v>
      </x:c>
      <x:c r="E100" t="str">
        <x:v>미사일 지속 시간</x:v>
      </x:c>
      <x:c r="F100" t="n">
        <x:f>'밸런스 조정'!$C$6+D100*'밸런스 조정'!$D$6</x:f>
        <x:v>32</x:v>
      </x:c>
      <x:c r="G100" t="str">
        <x:v>percent</x:v>
      </x:c>
      <x:c r="H100" t="str">
        <x:v>Coin</x:v>
      </x:c>
      <x:c r="I100" t="n">
        <x:f>'밸런스 조정'!$E$6+(D100-1)*'밸런스 조정'!$F$6</x:f>
        <x:v>152</x:v>
      </x:c>
      <x:c r="J100" t="str">
        <x:v>미사일 지속 시간 증가</x:v>
      </x:c>
    </x:row>
    <x:row r="101">
      <x:c r="B101">
        <x:v>4</x:v>
      </x:c>
      <x:c r="C101" t="inlineStr">
        <x:is>
          <x:t xml:space="preserve">PROJECTILE_SPEED</x:t>
        </x:is>
      </x:c>
      <x:c r="D101">
        <x:v>9</x:v>
      </x:c>
      <x:c r="E101" t="str">
        <x:v>미사일 지속 시간</x:v>
      </x:c>
      <x:c r="F101" t="n">
        <x:f>'밸런스 조정'!$C$6+D101*'밸런스 조정'!$D$6</x:f>
        <x:v>36</x:v>
      </x:c>
      <x:c r="G101" t="str">
        <x:v>percent</x:v>
      </x:c>
      <x:c r="H101" t="str">
        <x:v>Coin</x:v>
      </x:c>
      <x:c r="I101" t="n">
        <x:f>'밸런스 조정'!$E$6+(D101-1)*'밸런스 조정'!$F$6</x:f>
        <x:v>168</x:v>
      </x:c>
      <x:c r="J101" t="str">
        <x:v>미사일 지속 시간 증가</x:v>
      </x:c>
    </x:row>
    <x:row r="102">
      <x:c r="B102">
        <x:v>4</x:v>
      </x:c>
      <x:c r="C102" t="inlineStr">
        <x:is>
          <x:t xml:space="preserve">PROJECTILE_SPEED</x:t>
        </x:is>
      </x:c>
      <x:c r="D102">
        <x:v>10</x:v>
      </x:c>
      <x:c r="E102" t="str">
        <x:v>미사일 지속 시간</x:v>
      </x:c>
      <x:c r="F102" t="n">
        <x:f>'밸런스 조정'!$C$6+D102*'밸런스 조정'!$D$6</x:f>
        <x:v>40</x:v>
      </x:c>
      <x:c r="G102" t="str">
        <x:v>percent</x:v>
      </x:c>
      <x:c r="H102" t="str">
        <x:v>Coin</x:v>
      </x:c>
      <x:c r="I102" t="n">
        <x:f>'밸런스 조정'!$E$6+(D102-1)*'밸런스 조정'!$F$6</x:f>
        <x:v>184</x:v>
      </x:c>
      <x:c r="J102" t="str">
        <x:v>미사일 지속 시간 증가</x:v>
      </x:c>
    </x:row>
    <x:row r="103">
      <x:c r="B103">
        <x:v>4</x:v>
      </x:c>
      <x:c r="C103" t="inlineStr">
        <x:is>
          <x:t xml:space="preserve">PROJECTILE_SPEED</x:t>
        </x:is>
      </x:c>
      <x:c r="D103">
        <x:v>11</x:v>
      </x:c>
      <x:c r="E103" t="str">
        <x:v>미사일 지속 시간</x:v>
      </x:c>
      <x:c r="F103" t="n">
        <x:f>'밸런스 조정'!$C$6+D103*'밸런스 조정'!$D$6</x:f>
        <x:v>44</x:v>
      </x:c>
      <x:c r="G103" t="str">
        <x:v>percent</x:v>
      </x:c>
      <x:c r="H103" t="str">
        <x:v>Coin</x:v>
      </x:c>
      <x:c r="I103" t="n">
        <x:f>'밸런스 조정'!$E$6+(D103-1)*'밸런스 조정'!$F$6</x:f>
        <x:v>200</x:v>
      </x:c>
      <x:c r="J103" t="str">
        <x:v>미사일 지속 시간 증가</x:v>
      </x:c>
    </x:row>
    <x:row r="104">
      <x:c r="B104">
        <x:v>4</x:v>
      </x:c>
      <x:c r="C104" t="inlineStr">
        <x:is>
          <x:t xml:space="preserve">PROJECTILE_SPEED</x:t>
        </x:is>
      </x:c>
      <x:c r="D104">
        <x:v>12</x:v>
      </x:c>
      <x:c r="E104" t="str">
        <x:v>미사일 지속 시간</x:v>
      </x:c>
      <x:c r="F104" t="n">
        <x:f>'밸런스 조정'!$C$6+D104*'밸런스 조정'!$D$6</x:f>
        <x:v>48</x:v>
      </x:c>
      <x:c r="G104" t="str">
        <x:v>percent</x:v>
      </x:c>
      <x:c r="H104" t="str">
        <x:v>Coin</x:v>
      </x:c>
      <x:c r="I104" t="n">
        <x:f>'밸런스 조정'!$E$6+(D104-1)*'밸런스 조정'!$F$6</x:f>
        <x:v>216</x:v>
      </x:c>
      <x:c r="J104" t="str">
        <x:v>미사일 지속 시간 증가</x:v>
      </x:c>
    </x:row>
    <x:row r="105">
      <x:c r="B105">
        <x:v>4</x:v>
      </x:c>
      <x:c r="C105" t="inlineStr">
        <x:is>
          <x:t xml:space="preserve">PROJECTILE_SPEED</x:t>
        </x:is>
      </x:c>
      <x:c r="D105">
        <x:v>13</x:v>
      </x:c>
      <x:c r="E105" t="str">
        <x:v>미사일 지속 시간</x:v>
      </x:c>
      <x:c r="F105" t="n">
        <x:f>'밸런스 조정'!$C$6+D105*'밸런스 조정'!$D$6</x:f>
        <x:v>52</x:v>
      </x:c>
      <x:c r="G105" t="str">
        <x:v>percent</x:v>
      </x:c>
      <x:c r="H105" t="str">
        <x:v>Coin</x:v>
      </x:c>
      <x:c r="I105" t="n">
        <x:f>'밸런스 조정'!$E$6+(D105-1)*'밸런스 조정'!$F$6</x:f>
        <x:v>232</x:v>
      </x:c>
      <x:c r="J105" t="str">
        <x:v>미사일 지속 시간 증가</x:v>
      </x:c>
    </x:row>
    <x:row r="106">
      <x:c r="B106">
        <x:v>4</x:v>
      </x:c>
      <x:c r="C106" t="inlineStr">
        <x:is>
          <x:t xml:space="preserve">PROJECTILE_SPEED</x:t>
        </x:is>
      </x:c>
      <x:c r="D106">
        <x:v>14</x:v>
      </x:c>
      <x:c r="E106" t="str">
        <x:v>미사일 지속 시간</x:v>
      </x:c>
      <x:c r="F106" t="n">
        <x:f>'밸런스 조정'!$C$6+D106*'밸런스 조정'!$D$6</x:f>
        <x:v>56</x:v>
      </x:c>
      <x:c r="G106" t="str">
        <x:v>percent</x:v>
      </x:c>
      <x:c r="H106" t="str">
        <x:v>Coin</x:v>
      </x:c>
      <x:c r="I106" t="n">
        <x:f>'밸런스 조정'!$E$6+(D106-1)*'밸런스 조정'!$F$6</x:f>
        <x:v>248</x:v>
      </x:c>
      <x:c r="J106" t="str">
        <x:v>미사일 지속 시간 증가</x:v>
      </x:c>
    </x:row>
    <x:row r="107">
      <x:c r="B107">
        <x:v>4</x:v>
      </x:c>
      <x:c r="C107" t="inlineStr">
        <x:is>
          <x:t xml:space="preserve">PROJECTILE_SPEED</x:t>
        </x:is>
      </x:c>
      <x:c r="D107">
        <x:v>15</x:v>
      </x:c>
      <x:c r="E107" t="str">
        <x:v>미사일 지속 시간</x:v>
      </x:c>
      <x:c r="F107" t="n">
        <x:f>'밸런스 조정'!$C$6+D107*'밸런스 조정'!$D$6</x:f>
        <x:v>60</x:v>
      </x:c>
      <x:c r="G107" t="str">
        <x:v>percent</x:v>
      </x:c>
      <x:c r="H107" t="str">
        <x:v>Coin</x:v>
      </x:c>
      <x:c r="I107" t="n">
        <x:f>'밸런스 조정'!$E$6+(D107-1)*'밸런스 조정'!$F$6</x:f>
        <x:v>264</x:v>
      </x:c>
      <x:c r="J107" t="str">
        <x:v>미사일 지속 시간 증가</x:v>
      </x:c>
    </x:row>
    <x:row r="108">
      <x:c r="B108">
        <x:v>4</x:v>
      </x:c>
      <x:c r="C108" t="inlineStr">
        <x:is>
          <x:t xml:space="preserve">PROJECTILE_SPEED</x:t>
        </x:is>
      </x:c>
      <x:c r="D108">
        <x:v>16</x:v>
      </x:c>
      <x:c r="E108" t="str">
        <x:v>미사일 지속 시간</x:v>
      </x:c>
      <x:c r="F108" t="n">
        <x:f>'밸런스 조정'!$C$6+D108*'밸런스 조정'!$D$6</x:f>
        <x:v>64</x:v>
      </x:c>
      <x:c r="G108" t="str">
        <x:v>percent</x:v>
      </x:c>
      <x:c r="H108" t="str">
        <x:v>Coin</x:v>
      </x:c>
      <x:c r="I108" t="n">
        <x:f>'밸런스 조정'!$E$6+(D108-1)*'밸런스 조정'!$F$6</x:f>
        <x:v>280</x:v>
      </x:c>
      <x:c r="J108" t="str">
        <x:v>미사일 지속 시간 증가</x:v>
      </x:c>
    </x:row>
    <x:row r="109">
      <x:c r="B109">
        <x:v>4</x:v>
      </x:c>
      <x:c r="C109" t="inlineStr">
        <x:is>
          <x:t xml:space="preserve">PROJECTILE_SPEED</x:t>
        </x:is>
      </x:c>
      <x:c r="D109">
        <x:v>17</x:v>
      </x:c>
      <x:c r="E109" t="str">
        <x:v>미사일 지속 시간</x:v>
      </x:c>
      <x:c r="F109" t="n">
        <x:f>'밸런스 조정'!$C$6+D109*'밸런스 조정'!$D$6</x:f>
        <x:v>68</x:v>
      </x:c>
      <x:c r="G109" t="str">
        <x:v>percent</x:v>
      </x:c>
      <x:c r="H109" t="str">
        <x:v>Coin</x:v>
      </x:c>
      <x:c r="I109" t="n">
        <x:f>'밸런스 조정'!$E$6+(D109-1)*'밸런스 조정'!$F$6</x:f>
        <x:v>296</x:v>
      </x:c>
      <x:c r="J109" t="str">
        <x:v>미사일 지속 시간 증가</x:v>
      </x:c>
    </x:row>
    <x:row r="110">
      <x:c r="B110">
        <x:v>4</x:v>
      </x:c>
      <x:c r="C110" t="inlineStr">
        <x:is>
          <x:t xml:space="preserve">PROJECTILE_SPEED</x:t>
        </x:is>
      </x:c>
      <x:c r="D110">
        <x:v>18</x:v>
      </x:c>
      <x:c r="E110" t="str">
        <x:v>미사일 지속 시간</x:v>
      </x:c>
      <x:c r="F110" t="n">
        <x:f>'밸런스 조정'!$C$6+D110*'밸런스 조정'!$D$6</x:f>
        <x:v>72</x:v>
      </x:c>
      <x:c r="G110" t="str">
        <x:v>percent</x:v>
      </x:c>
      <x:c r="H110" t="str">
        <x:v>Coin</x:v>
      </x:c>
      <x:c r="I110" t="n">
        <x:f>'밸런스 조정'!$E$6+(D110-1)*'밸런스 조정'!$F$6</x:f>
        <x:v>312</x:v>
      </x:c>
      <x:c r="J110" t="str">
        <x:v>미사일 지속 시간 증가</x:v>
      </x:c>
    </x:row>
    <x:row r="111">
      <x:c r="B111">
        <x:v>4</x:v>
      </x:c>
      <x:c r="C111" t="inlineStr">
        <x:is>
          <x:t xml:space="preserve">PROJECTILE_SPEED</x:t>
        </x:is>
      </x:c>
      <x:c r="D111">
        <x:v>19</x:v>
      </x:c>
      <x:c r="E111" t="str">
        <x:v>미사일 지속 시간</x:v>
      </x:c>
      <x:c r="F111" t="n">
        <x:f>'밸런스 조정'!$C$6+D111*'밸런스 조정'!$D$6</x:f>
        <x:v>76</x:v>
      </x:c>
      <x:c r="G111" t="str">
        <x:v>percent</x:v>
      </x:c>
      <x:c r="H111" t="str">
        <x:v>Coin</x:v>
      </x:c>
      <x:c r="I111" t="n">
        <x:f>'밸런스 조정'!$E$6+(D111-1)*'밸런스 조정'!$F$6</x:f>
        <x:v>328</x:v>
      </x:c>
      <x:c r="J111" t="str">
        <x:v>미사일 지속 시간 증가</x:v>
      </x:c>
    </x:row>
    <x:row r="112">
      <x:c r="B112">
        <x:v>4</x:v>
      </x:c>
      <x:c r="C112" t="inlineStr">
        <x:is>
          <x:t xml:space="preserve">PROJECTILE_SPEED</x:t>
        </x:is>
      </x:c>
      <x:c r="D112">
        <x:v>20</x:v>
      </x:c>
      <x:c r="E112" t="str">
        <x:v>미사일 지속 시간</x:v>
      </x:c>
      <x:c r="F112" t="n">
        <x:f>'밸런스 조정'!$C$6+D112*'밸런스 조정'!$D$6</x:f>
        <x:v>80</x:v>
      </x:c>
      <x:c r="G112" t="str">
        <x:v>percent</x:v>
      </x:c>
      <x:c r="H112" t="str">
        <x:v>Coin</x:v>
      </x:c>
      <x:c r="I112" t="n">
        <x:f>'밸런스 조정'!$E$6+(D112-1)*'밸런스 조정'!$F$6</x:f>
        <x:v>344</x:v>
      </x:c>
      <x:c r="J112" t="str">
        <x:v>미사일 지속 시간 증가</x:v>
      </x:c>
    </x:row>
    <x:row r="113">
      <x:c r="B113">
        <x:v>4</x:v>
      </x:c>
      <x:c r="C113" t="inlineStr">
        <x:is>
          <x:t xml:space="preserve">PROJECTILE_SPEED</x:t>
        </x:is>
      </x:c>
      <x:c r="D113">
        <x:v>21</x:v>
      </x:c>
      <x:c r="E113" t="str">
        <x:v>미사일 지속 시간</x:v>
      </x:c>
      <x:c r="F113" t="n">
        <x:f>'밸런스 조정'!$C$6+D113*'밸런스 조정'!$D$6</x:f>
        <x:v>84</x:v>
      </x:c>
      <x:c r="G113" t="str">
        <x:v>percent</x:v>
      </x:c>
      <x:c r="H113" t="str">
        <x:v>Coin</x:v>
      </x:c>
      <x:c r="I113" t="n">
        <x:f>'밸런스 조정'!$E$6+(D113-1)*'밸런스 조정'!$F$6</x:f>
        <x:v>360</x:v>
      </x:c>
      <x:c r="J113" t="str">
        <x:v>미사일 지속 시간 증가</x:v>
      </x:c>
    </x:row>
    <x:row r="114">
      <x:c r="B114">
        <x:v>4</x:v>
      </x:c>
      <x:c r="C114" t="inlineStr">
        <x:is>
          <x:t xml:space="preserve">PROJECTILE_SPEED</x:t>
        </x:is>
      </x:c>
      <x:c r="D114">
        <x:v>22</x:v>
      </x:c>
      <x:c r="E114" t="str">
        <x:v>미사일 지속 시간</x:v>
      </x:c>
      <x:c r="F114" t="n">
        <x:f>'밸런스 조정'!$C$6+D114*'밸런스 조정'!$D$6</x:f>
        <x:v>88</x:v>
      </x:c>
      <x:c r="G114" t="str">
        <x:v>percent</x:v>
      </x:c>
      <x:c r="H114" t="str">
        <x:v>Coin</x:v>
      </x:c>
      <x:c r="I114" t="n">
        <x:f>'밸런스 조정'!$E$6+(D114-1)*'밸런스 조정'!$F$6</x:f>
        <x:v>376</x:v>
      </x:c>
      <x:c r="J114" t="str">
        <x:v>미사일 지속 시간 증가</x:v>
      </x:c>
    </x:row>
    <x:row r="115">
      <x:c r="B115">
        <x:v>4</x:v>
      </x:c>
      <x:c r="C115" t="inlineStr">
        <x:is>
          <x:t xml:space="preserve">PROJECTILE_SPEED</x:t>
        </x:is>
      </x:c>
      <x:c r="D115">
        <x:v>23</x:v>
      </x:c>
      <x:c r="E115" t="str">
        <x:v>미사일 지속 시간</x:v>
      </x:c>
      <x:c r="F115" t="n">
        <x:f>'밸런스 조정'!$C$6+D115*'밸런스 조정'!$D$6</x:f>
        <x:v>92</x:v>
      </x:c>
      <x:c r="G115" t="str">
        <x:v>percent</x:v>
      </x:c>
      <x:c r="H115" t="str">
        <x:v>Coin</x:v>
      </x:c>
      <x:c r="I115" t="n">
        <x:f>'밸런스 조정'!$E$6+(D115-1)*'밸런스 조정'!$F$6</x:f>
        <x:v>392</x:v>
      </x:c>
      <x:c r="J115" t="str">
        <x:v>미사일 지속 시간 증가</x:v>
      </x:c>
    </x:row>
    <x:row r="116">
      <x:c r="B116">
        <x:v>4</x:v>
      </x:c>
      <x:c r="C116" t="inlineStr">
        <x:is>
          <x:t xml:space="preserve">PROJECTILE_SPEED</x:t>
        </x:is>
      </x:c>
      <x:c r="D116">
        <x:v>24</x:v>
      </x:c>
      <x:c r="E116" t="str">
        <x:v>미사일 지속 시간</x:v>
      </x:c>
      <x:c r="F116" t="n">
        <x:f>'밸런스 조정'!$C$6+D116*'밸런스 조정'!$D$6</x:f>
        <x:v>96</x:v>
      </x:c>
      <x:c r="G116" t="str">
        <x:v>percent</x:v>
      </x:c>
      <x:c r="H116" t="str">
        <x:v>Coin</x:v>
      </x:c>
      <x:c r="I116" t="n">
        <x:f>'밸런스 조정'!$E$6+(D116-1)*'밸런스 조정'!$F$6</x:f>
        <x:v>408</x:v>
      </x:c>
      <x:c r="J116" t="str">
        <x:v>미사일 지속 시간 증가</x:v>
      </x:c>
    </x:row>
    <x:row r="117">
      <x:c r="B117">
        <x:v>4</x:v>
      </x:c>
      <x:c r="C117" t="inlineStr">
        <x:is>
          <x:t xml:space="preserve">PROJECTILE_SPEED</x:t>
        </x:is>
      </x:c>
      <x:c r="D117">
        <x:v>25</x:v>
      </x:c>
      <x:c r="E117" t="str">
        <x:v>미사일 지속 시간</x:v>
      </x:c>
      <x:c r="F117" t="n">
        <x:f>'밸런스 조정'!$C$6+D117*'밸런스 조정'!$D$6</x:f>
        <x:v>100</x:v>
      </x:c>
      <x:c r="G117" t="str">
        <x:v>percent</x:v>
      </x:c>
      <x:c r="H117" t="str">
        <x:v>Coin</x:v>
      </x:c>
      <x:c r="I117" t="n">
        <x:f>'밸런스 조정'!$E$6+(D117-1)*'밸런스 조정'!$F$6</x:f>
        <x:v>424</x:v>
      </x:c>
      <x:c r="J117" t="str">
        <x:v>미사일 지속 시간 증가</x:v>
      </x:c>
    </x:row>
    <x:row r="118">
      <x:c r="B118">
        <x:v>4</x:v>
      </x:c>
      <x:c r="C118" t="inlineStr">
        <x:is>
          <x:t xml:space="preserve">PROJECTILE_SPEED</x:t>
        </x:is>
      </x:c>
      <x:c r="D118">
        <x:v>26</x:v>
      </x:c>
      <x:c r="E118" t="str">
        <x:v>미사일 지속 시간</x:v>
      </x:c>
      <x:c r="F118" t="n">
        <x:f>'밸런스 조정'!$C$6+D118*'밸런스 조정'!$D$6</x:f>
        <x:v>104</x:v>
      </x:c>
      <x:c r="G118" t="str">
        <x:v>percent</x:v>
      </x:c>
      <x:c r="H118" t="str">
        <x:v>Coin</x:v>
      </x:c>
      <x:c r="I118" t="n">
        <x:f>'밸런스 조정'!$E$6+(D118-1)*'밸런스 조정'!$F$6</x:f>
        <x:v>440</x:v>
      </x:c>
      <x:c r="J118" t="str">
        <x:v>미사일 지속 시간 증가</x:v>
      </x:c>
    </x:row>
    <x:row r="119">
      <x:c r="B119">
        <x:v>4</x:v>
      </x:c>
      <x:c r="C119" t="inlineStr">
        <x:is>
          <x:t xml:space="preserve">PROJECTILE_SPEED</x:t>
        </x:is>
      </x:c>
      <x:c r="D119">
        <x:v>27</x:v>
      </x:c>
      <x:c r="E119" t="str">
        <x:v>미사일 지속 시간</x:v>
      </x:c>
      <x:c r="F119" t="n">
        <x:f>'밸런스 조정'!$C$6+D119*'밸런스 조정'!$D$6</x:f>
        <x:v>108</x:v>
      </x:c>
      <x:c r="G119" t="str">
        <x:v>percent</x:v>
      </x:c>
      <x:c r="H119" t="str">
        <x:v>Coin</x:v>
      </x:c>
      <x:c r="I119" t="n">
        <x:f>'밸런스 조정'!$E$6+(D119-1)*'밸런스 조정'!$F$6</x:f>
        <x:v>456</x:v>
      </x:c>
      <x:c r="J119" t="str">
        <x:v>미사일 지속 시간 증가</x:v>
      </x:c>
    </x:row>
    <x:row r="120">
      <x:c r="B120">
        <x:v>4</x:v>
      </x:c>
      <x:c r="C120" t="inlineStr">
        <x:is>
          <x:t xml:space="preserve">PROJECTILE_SPEED</x:t>
        </x:is>
      </x:c>
      <x:c r="D120">
        <x:v>28</x:v>
      </x:c>
      <x:c r="E120" t="str">
        <x:v>미사일 지속 시간</x:v>
      </x:c>
      <x:c r="F120" t="n">
        <x:f>'밸런스 조정'!$C$6+D120*'밸런스 조정'!$D$6</x:f>
        <x:v>112</x:v>
      </x:c>
      <x:c r="G120" t="str">
        <x:v>percent</x:v>
      </x:c>
      <x:c r="H120" t="str">
        <x:v>Coin</x:v>
      </x:c>
      <x:c r="I120" t="n">
        <x:f>'밸런스 조정'!$E$6+(D120-1)*'밸런스 조정'!$F$6</x:f>
        <x:v>472</x:v>
      </x:c>
      <x:c r="J120" t="str">
        <x:v>미사일 지속 시간 증가</x:v>
      </x:c>
    </x:row>
    <x:row r="121">
      <x:c r="B121">
        <x:v>4</x:v>
      </x:c>
      <x:c r="C121" t="inlineStr">
        <x:is>
          <x:t xml:space="preserve">PROJECTILE_SPEED</x:t>
        </x:is>
      </x:c>
      <x:c r="D121">
        <x:v>29</x:v>
      </x:c>
      <x:c r="E121" t="str">
        <x:v>미사일 지속 시간</x:v>
      </x:c>
      <x:c r="F121" t="n">
        <x:f>'밸런스 조정'!$C$6+D121*'밸런스 조정'!$D$6</x:f>
        <x:v>116</x:v>
      </x:c>
      <x:c r="G121" t="str">
        <x:v>percent</x:v>
      </x:c>
      <x:c r="H121" t="str">
        <x:v>Coin</x:v>
      </x:c>
      <x:c r="I121" t="n">
        <x:f>'밸런스 조정'!$E$6+(D121-1)*'밸런스 조정'!$F$6</x:f>
        <x:v>488</x:v>
      </x:c>
      <x:c r="J121" t="str">
        <x:v>미사일 지속 시간 증가</x:v>
      </x:c>
    </x:row>
    <x:row r="122">
      <x:c r="B122">
        <x:v>4</x:v>
      </x:c>
      <x:c r="C122" t="inlineStr">
        <x:is>
          <x:t xml:space="preserve">PROJECTILE_SPEED</x:t>
        </x:is>
      </x:c>
      <x:c r="D122">
        <x:v>30</x:v>
      </x:c>
      <x:c r="E122" t="str">
        <x:v>미사일 지속 시간</x:v>
      </x:c>
      <x:c r="F122" t="n">
        <x:f>'밸런스 조정'!$C$6+D122*'밸런스 조정'!$D$6</x:f>
        <x:v>120</x:v>
      </x:c>
      <x:c r="G122" t="str">
        <x:v>percent</x:v>
      </x:c>
      <x:c r="H122" t="str">
        <x:v>Coin</x:v>
      </x:c>
      <x:c r="I122" t="n">
        <x:f>'밸런스 조정'!$E$6+(D122-1)*'밸런스 조정'!$F$6</x:f>
        <x:v>504</x:v>
      </x:c>
      <x:c r="J122" t="str">
        <x:v>미사일 지속 시간 증가</x:v>
      </x:c>
    </x:row>
    <x:row r="123">
      <x:c r="B123">
        <x:v>5</x:v>
      </x:c>
      <x:c r="C123" t="inlineStr">
        <x:is>
          <x:t xml:space="preserve">BOSS_DAMAGE</x:t>
        </x:is>
      </x:c>
      <x:c r="D123">
        <x:v>1</x:v>
      </x:c>
      <x:c r="E123" t="inlineStr">
        <x:is>
          <x:t xml:space="preserve">보스 데미지</x:t>
        </x:is>
      </x:c>
      <x:c r="F123" t="n">
        <x:f>'밸런스 조정'!$C$7+D123*'밸런스 조정'!$D$7</x:f>
        <x:v>8</x:v>
      </x:c>
      <x:c r="G123" t="str">
        <x:v>percent</x:v>
      </x:c>
      <x:c r="H123" t="str">
        <x:v>Coin</x:v>
      </x:c>
      <x:c r="I123" t="n">
        <x:f>'밸런스 조정'!$E$7+(D123-1)*'밸런스 조정'!$F$7</x:f>
        <x:v>60</x:v>
      </x:c>
      <x:c r="J123" t="str">
        <x:v>보스에게 주는 피해 증가</x:v>
      </x:c>
    </x:row>
    <x:row r="124">
      <x:c r="B124">
        <x:v>5</x:v>
      </x:c>
      <x:c r="C124" t="inlineStr">
        <x:is>
          <x:t xml:space="preserve">BOSS_DAMAGE</x:t>
        </x:is>
      </x:c>
      <x:c r="D124">
        <x:v>2</x:v>
      </x:c>
      <x:c r="E124" t="inlineStr">
        <x:is>
          <x:t xml:space="preserve">보스 데미지</x:t>
        </x:is>
      </x:c>
      <x:c r="F124" t="n">
        <x:f>'밸런스 조정'!$C$7+D124*'밸런스 조정'!$D$7</x:f>
        <x:v>16</x:v>
      </x:c>
      <x:c r="G124" t="str">
        <x:v>percent</x:v>
      </x:c>
      <x:c r="H124" t="str">
        <x:v>Coin</x:v>
      </x:c>
      <x:c r="I124" t="n">
        <x:f>'밸런스 조정'!$E$7+(D124-1)*'밸런스 조정'!$F$7</x:f>
        <x:v>85</x:v>
      </x:c>
      <x:c r="J124" t="str">
        <x:v>보스에게 주는 피해 증가</x:v>
      </x:c>
    </x:row>
    <x:row r="125">
      <x:c r="B125">
        <x:v>5</x:v>
      </x:c>
      <x:c r="C125" t="inlineStr">
        <x:is>
          <x:t xml:space="preserve">BOSS_DAMAGE</x:t>
        </x:is>
      </x:c>
      <x:c r="D125">
        <x:v>3</x:v>
      </x:c>
      <x:c r="E125" t="inlineStr">
        <x:is>
          <x:t xml:space="preserve">보스 데미지</x:t>
        </x:is>
      </x:c>
      <x:c r="F125" t="n">
        <x:f>'밸런스 조정'!$C$7+D125*'밸런스 조정'!$D$7</x:f>
        <x:v>24</x:v>
      </x:c>
      <x:c r="G125" t="str">
        <x:v>percent</x:v>
      </x:c>
      <x:c r="H125" t="str">
        <x:v>Coin</x:v>
      </x:c>
      <x:c r="I125" t="n">
        <x:f>'밸런스 조정'!$E$7+(D125-1)*'밸런스 조정'!$F$7</x:f>
        <x:v>110</x:v>
      </x:c>
      <x:c r="J125" t="str">
        <x:v>보스에게 주는 피해 증가</x:v>
      </x:c>
    </x:row>
    <x:row r="126">
      <x:c r="B126">
        <x:v>5</x:v>
      </x:c>
      <x:c r="C126" t="inlineStr">
        <x:is>
          <x:t xml:space="preserve">BOSS_DAMAGE</x:t>
        </x:is>
      </x:c>
      <x:c r="D126">
        <x:v>4</x:v>
      </x:c>
      <x:c r="E126" t="inlineStr">
        <x:is>
          <x:t xml:space="preserve">보스 데미지</x:t>
        </x:is>
      </x:c>
      <x:c r="F126" t="n">
        <x:f>'밸런스 조정'!$C$7+D126*'밸런스 조정'!$D$7</x:f>
        <x:v>32</x:v>
      </x:c>
      <x:c r="G126" t="str">
        <x:v>percent</x:v>
      </x:c>
      <x:c r="H126" t="str">
        <x:v>Coin</x:v>
      </x:c>
      <x:c r="I126" t="n">
        <x:f>'밸런스 조정'!$E$7+(D126-1)*'밸런스 조정'!$F$7</x:f>
        <x:v>135</x:v>
      </x:c>
      <x:c r="J126" t="str">
        <x:v>보스에게 주는 피해 증가</x:v>
      </x:c>
    </x:row>
    <x:row r="127">
      <x:c r="B127">
        <x:v>5</x:v>
      </x:c>
      <x:c r="C127" t="inlineStr">
        <x:is>
          <x:t xml:space="preserve">BOSS_DAMAGE</x:t>
        </x:is>
      </x:c>
      <x:c r="D127">
        <x:v>5</x:v>
      </x:c>
      <x:c r="E127" t="inlineStr">
        <x:is>
          <x:t xml:space="preserve">보스 데미지</x:t>
        </x:is>
      </x:c>
      <x:c r="F127" t="n">
        <x:f>'밸런스 조정'!$C$7+D127*'밸런스 조정'!$D$7</x:f>
        <x:v>40</x:v>
      </x:c>
      <x:c r="G127" t="str">
        <x:v>percent</x:v>
      </x:c>
      <x:c r="H127" t="str">
        <x:v>Coin</x:v>
      </x:c>
      <x:c r="I127" t="n">
        <x:f>'밸런스 조정'!$E$7+(D127-1)*'밸런스 조정'!$F$7</x:f>
        <x:v>160</x:v>
      </x:c>
      <x:c r="J127" t="str">
        <x:v>보스에게 주는 피해 증가</x:v>
      </x:c>
    </x:row>
    <x:row r="128">
      <x:c r="B128">
        <x:v>5</x:v>
      </x:c>
      <x:c r="C128" t="inlineStr">
        <x:is>
          <x:t xml:space="preserve">BOSS_DAMAGE</x:t>
        </x:is>
      </x:c>
      <x:c r="D128">
        <x:v>6</x:v>
      </x:c>
      <x:c r="E128" t="inlineStr">
        <x:is>
          <x:t xml:space="preserve">보스 데미지</x:t>
        </x:is>
      </x:c>
      <x:c r="F128" t="n">
        <x:f>'밸런스 조정'!$C$7+D128*'밸런스 조정'!$D$7</x:f>
        <x:v>48</x:v>
      </x:c>
      <x:c r="G128" t="str">
        <x:v>percent</x:v>
      </x:c>
      <x:c r="H128" t="str">
        <x:v>Coin</x:v>
      </x:c>
      <x:c r="I128" t="n">
        <x:f>'밸런스 조정'!$E$7+(D128-1)*'밸런스 조정'!$F$7</x:f>
        <x:v>185</x:v>
      </x:c>
      <x:c r="J128" t="str">
        <x:v>보스에게 주는 피해 증가</x:v>
      </x:c>
    </x:row>
    <x:row r="129">
      <x:c r="B129">
        <x:v>5</x:v>
      </x:c>
      <x:c r="C129" t="inlineStr">
        <x:is>
          <x:t xml:space="preserve">BOSS_DAMAGE</x:t>
        </x:is>
      </x:c>
      <x:c r="D129">
        <x:v>7</x:v>
      </x:c>
      <x:c r="E129" t="inlineStr">
        <x:is>
          <x:t xml:space="preserve">보스 데미지</x:t>
        </x:is>
      </x:c>
      <x:c r="F129" t="n">
        <x:f>'밸런스 조정'!$C$7+D129*'밸런스 조정'!$D$7</x:f>
        <x:v>56</x:v>
      </x:c>
      <x:c r="G129" t="str">
        <x:v>percent</x:v>
      </x:c>
      <x:c r="H129" t="str">
        <x:v>Coin</x:v>
      </x:c>
      <x:c r="I129" t="n">
        <x:f>'밸런스 조정'!$E$7+(D129-1)*'밸런스 조정'!$F$7</x:f>
        <x:v>210</x:v>
      </x:c>
      <x:c r="J129" t="str">
        <x:v>보스에게 주는 피해 증가</x:v>
      </x:c>
    </x:row>
    <x:row r="130">
      <x:c r="B130">
        <x:v>5</x:v>
      </x:c>
      <x:c r="C130" t="inlineStr">
        <x:is>
          <x:t xml:space="preserve">BOSS_DAMAGE</x:t>
        </x:is>
      </x:c>
      <x:c r="D130">
        <x:v>8</x:v>
      </x:c>
      <x:c r="E130" t="inlineStr">
        <x:is>
          <x:t xml:space="preserve">보스 데미지</x:t>
        </x:is>
      </x:c>
      <x:c r="F130" t="n">
        <x:f>'밸런스 조정'!$C$7+D130*'밸런스 조정'!$D$7</x:f>
        <x:v>64</x:v>
      </x:c>
      <x:c r="G130" t="str">
        <x:v>percent</x:v>
      </x:c>
      <x:c r="H130" t="str">
        <x:v>Coin</x:v>
      </x:c>
      <x:c r="I130" t="n">
        <x:f>'밸런스 조정'!$E$7+(D130-1)*'밸런스 조정'!$F$7</x:f>
        <x:v>235</x:v>
      </x:c>
      <x:c r="J130" t="str">
        <x:v>보스에게 주는 피해 증가</x:v>
      </x:c>
    </x:row>
    <x:row r="131">
      <x:c r="B131">
        <x:v>5</x:v>
      </x:c>
      <x:c r="C131" t="inlineStr">
        <x:is>
          <x:t xml:space="preserve">BOSS_DAMAGE</x:t>
        </x:is>
      </x:c>
      <x:c r="D131">
        <x:v>9</x:v>
      </x:c>
      <x:c r="E131" t="inlineStr">
        <x:is>
          <x:t xml:space="preserve">보스 데미지</x:t>
        </x:is>
      </x:c>
      <x:c r="F131" t="n">
        <x:f>'밸런스 조정'!$C$7+D131*'밸런스 조정'!$D$7</x:f>
        <x:v>72</x:v>
      </x:c>
      <x:c r="G131" t="str">
        <x:v>percent</x:v>
      </x:c>
      <x:c r="H131" t="str">
        <x:v>Coin</x:v>
      </x:c>
      <x:c r="I131" t="n">
        <x:f>'밸런스 조정'!$E$7+(D131-1)*'밸런스 조정'!$F$7</x:f>
        <x:v>260</x:v>
      </x:c>
      <x:c r="J131" t="str">
        <x:v>보스에게 주는 피해 증가</x:v>
      </x:c>
    </x:row>
    <x:row r="132">
      <x:c r="B132">
        <x:v>5</x:v>
      </x:c>
      <x:c r="C132" t="inlineStr">
        <x:is>
          <x:t xml:space="preserve">BOSS_DAMAGE</x:t>
        </x:is>
      </x:c>
      <x:c r="D132">
        <x:v>10</x:v>
      </x:c>
      <x:c r="E132" t="inlineStr">
        <x:is>
          <x:t xml:space="preserve">보스 데미지</x:t>
        </x:is>
      </x:c>
      <x:c r="F132" t="n">
        <x:f>'밸런스 조정'!$C$7+D132*'밸런스 조정'!$D$7</x:f>
        <x:v>80</x:v>
      </x:c>
      <x:c r="G132" t="str">
        <x:v>percent</x:v>
      </x:c>
      <x:c r="H132" t="str">
        <x:v>Coin</x:v>
      </x:c>
      <x:c r="I132" t="n">
        <x:f>'밸런스 조정'!$E$7+(D132-1)*'밸런스 조정'!$F$7</x:f>
        <x:v>285</x:v>
      </x:c>
      <x:c r="J132" t="str">
        <x:v>보스에게 주는 피해 증가</x:v>
      </x:c>
    </x:row>
    <x:row r="133">
      <x:c r="B133">
        <x:v>5</x:v>
      </x:c>
      <x:c r="C133" t="inlineStr">
        <x:is>
          <x:t xml:space="preserve">BOSS_DAMAGE</x:t>
        </x:is>
      </x:c>
      <x:c r="D133">
        <x:v>11</x:v>
      </x:c>
      <x:c r="E133" t="inlineStr">
        <x:is>
          <x:t xml:space="preserve">보스 데미지</x:t>
        </x:is>
      </x:c>
      <x:c r="F133" t="n">
        <x:f>'밸런스 조정'!$C$7+D133*'밸런스 조정'!$D$7</x:f>
        <x:v>88</x:v>
      </x:c>
      <x:c r="G133" t="str">
        <x:v>percent</x:v>
      </x:c>
      <x:c r="H133" t="str">
        <x:v>Coin</x:v>
      </x:c>
      <x:c r="I133" t="n">
        <x:f>'밸런스 조정'!$E$7+(D133-1)*'밸런스 조정'!$F$7</x:f>
        <x:v>310</x:v>
      </x:c>
      <x:c r="J133" t="str">
        <x:v>보스에게 주는 피해 증가</x:v>
      </x:c>
    </x:row>
    <x:row r="134">
      <x:c r="B134">
        <x:v>5</x:v>
      </x:c>
      <x:c r="C134" t="inlineStr">
        <x:is>
          <x:t xml:space="preserve">BOSS_DAMAGE</x:t>
        </x:is>
      </x:c>
      <x:c r="D134">
        <x:v>12</x:v>
      </x:c>
      <x:c r="E134" t="inlineStr">
        <x:is>
          <x:t xml:space="preserve">보스 데미지</x:t>
        </x:is>
      </x:c>
      <x:c r="F134" t="n">
        <x:f>'밸런스 조정'!$C$7+D134*'밸런스 조정'!$D$7</x:f>
        <x:v>96</x:v>
      </x:c>
      <x:c r="G134" t="str">
        <x:v>percent</x:v>
      </x:c>
      <x:c r="H134" t="str">
        <x:v>Coin</x:v>
      </x:c>
      <x:c r="I134" t="n">
        <x:f>'밸런스 조정'!$E$7+(D134-1)*'밸런스 조정'!$F$7</x:f>
        <x:v>335</x:v>
      </x:c>
      <x:c r="J134" t="str">
        <x:v>보스에게 주는 피해 증가</x:v>
      </x:c>
    </x:row>
    <x:row r="135">
      <x:c r="B135">
        <x:v>5</x:v>
      </x:c>
      <x:c r="C135" t="inlineStr">
        <x:is>
          <x:t xml:space="preserve">BOSS_DAMAGE</x:t>
        </x:is>
      </x:c>
      <x:c r="D135">
        <x:v>13</x:v>
      </x:c>
      <x:c r="E135" t="inlineStr">
        <x:is>
          <x:t xml:space="preserve">보스 데미지</x:t>
        </x:is>
      </x:c>
      <x:c r="F135" t="n">
        <x:f>'밸런스 조정'!$C$7+D135*'밸런스 조정'!$D$7</x:f>
        <x:v>104</x:v>
      </x:c>
      <x:c r="G135" t="str">
        <x:v>percent</x:v>
      </x:c>
      <x:c r="H135" t="str">
        <x:v>Coin</x:v>
      </x:c>
      <x:c r="I135" t="n">
        <x:f>'밸런스 조정'!$E$7+(D135-1)*'밸런스 조정'!$F$7</x:f>
        <x:v>360</x:v>
      </x:c>
      <x:c r="J135" t="str">
        <x:v>보스에게 주는 피해 증가</x:v>
      </x:c>
    </x:row>
    <x:row r="136">
      <x:c r="B136">
        <x:v>5</x:v>
      </x:c>
      <x:c r="C136" t="inlineStr">
        <x:is>
          <x:t xml:space="preserve">BOSS_DAMAGE</x:t>
        </x:is>
      </x:c>
      <x:c r="D136">
        <x:v>14</x:v>
      </x:c>
      <x:c r="E136" t="inlineStr">
        <x:is>
          <x:t xml:space="preserve">보스 데미지</x:t>
        </x:is>
      </x:c>
      <x:c r="F136" t="n">
        <x:f>'밸런스 조정'!$C$7+D136*'밸런스 조정'!$D$7</x:f>
        <x:v>112</x:v>
      </x:c>
      <x:c r="G136" t="str">
        <x:v>percent</x:v>
      </x:c>
      <x:c r="H136" t="str">
        <x:v>Coin</x:v>
      </x:c>
      <x:c r="I136" t="n">
        <x:f>'밸런스 조정'!$E$7+(D136-1)*'밸런스 조정'!$F$7</x:f>
        <x:v>385</x:v>
      </x:c>
      <x:c r="J136" t="str">
        <x:v>보스에게 주는 피해 증가</x:v>
      </x:c>
    </x:row>
    <x:row r="137">
      <x:c r="B137">
        <x:v>5</x:v>
      </x:c>
      <x:c r="C137" t="inlineStr">
        <x:is>
          <x:t xml:space="preserve">BOSS_DAMAGE</x:t>
        </x:is>
      </x:c>
      <x:c r="D137">
        <x:v>15</x:v>
      </x:c>
      <x:c r="E137" t="inlineStr">
        <x:is>
          <x:t xml:space="preserve">보스 데미지</x:t>
        </x:is>
      </x:c>
      <x:c r="F137" t="n">
        <x:f>'밸런스 조정'!$C$7+D137*'밸런스 조정'!$D$7</x:f>
        <x:v>120</x:v>
      </x:c>
      <x:c r="G137" t="str">
        <x:v>percent</x:v>
      </x:c>
      <x:c r="H137" t="str">
        <x:v>Coin</x:v>
      </x:c>
      <x:c r="I137" t="n">
        <x:f>'밸런스 조정'!$E$7+(D137-1)*'밸런스 조정'!$F$7</x:f>
        <x:v>410</x:v>
      </x:c>
      <x:c r="J137" t="str">
        <x:v>보스에게 주는 피해 증가</x:v>
      </x:c>
    </x:row>
    <x:row r="138">
      <x:c r="B138">
        <x:v>5</x:v>
      </x:c>
      <x:c r="C138" t="inlineStr">
        <x:is>
          <x:t xml:space="preserve">BOSS_DAMAGE</x:t>
        </x:is>
      </x:c>
      <x:c r="D138">
        <x:v>16</x:v>
      </x:c>
      <x:c r="E138" t="inlineStr">
        <x:is>
          <x:t xml:space="preserve">보스 데미지</x:t>
        </x:is>
      </x:c>
      <x:c r="F138" t="n">
        <x:f>'밸런스 조정'!$C$7+D138*'밸런스 조정'!$D$7</x:f>
        <x:v>128</x:v>
      </x:c>
      <x:c r="G138" t="str">
        <x:v>percent</x:v>
      </x:c>
      <x:c r="H138" t="str">
        <x:v>Coin</x:v>
      </x:c>
      <x:c r="I138" t="n">
        <x:f>'밸런스 조정'!$E$7+(D138-1)*'밸런스 조정'!$F$7</x:f>
        <x:v>435</x:v>
      </x:c>
      <x:c r="J138" t="str">
        <x:v>보스에게 주는 피해 증가</x:v>
      </x:c>
    </x:row>
    <x:row r="139">
      <x:c r="B139">
        <x:v>5</x:v>
      </x:c>
      <x:c r="C139" t="inlineStr">
        <x:is>
          <x:t xml:space="preserve">BOSS_DAMAGE</x:t>
        </x:is>
      </x:c>
      <x:c r="D139">
        <x:v>17</x:v>
      </x:c>
      <x:c r="E139" t="inlineStr">
        <x:is>
          <x:t xml:space="preserve">보스 데미지</x:t>
        </x:is>
      </x:c>
      <x:c r="F139" t="n">
        <x:f>'밸런스 조정'!$C$7+D139*'밸런스 조정'!$D$7</x:f>
        <x:v>136</x:v>
      </x:c>
      <x:c r="G139" t="str">
        <x:v>percent</x:v>
      </x:c>
      <x:c r="H139" t="str">
        <x:v>Coin</x:v>
      </x:c>
      <x:c r="I139" t="n">
        <x:f>'밸런스 조정'!$E$7+(D139-1)*'밸런스 조정'!$F$7</x:f>
        <x:v>460</x:v>
      </x:c>
      <x:c r="J139" t="str">
        <x:v>보스에게 주는 피해 증가</x:v>
      </x:c>
    </x:row>
    <x:row r="140">
      <x:c r="B140">
        <x:v>5</x:v>
      </x:c>
      <x:c r="C140" t="inlineStr">
        <x:is>
          <x:t xml:space="preserve">BOSS_DAMAGE</x:t>
        </x:is>
      </x:c>
      <x:c r="D140">
        <x:v>18</x:v>
      </x:c>
      <x:c r="E140" t="inlineStr">
        <x:is>
          <x:t xml:space="preserve">보스 데미지</x:t>
        </x:is>
      </x:c>
      <x:c r="F140" t="n">
        <x:f>'밸런스 조정'!$C$7+D140*'밸런스 조정'!$D$7</x:f>
        <x:v>144</x:v>
      </x:c>
      <x:c r="G140" t="str">
        <x:v>percent</x:v>
      </x:c>
      <x:c r="H140" t="str">
        <x:v>Coin</x:v>
      </x:c>
      <x:c r="I140" t="n">
        <x:f>'밸런스 조정'!$E$7+(D140-1)*'밸런스 조정'!$F$7</x:f>
        <x:v>485</x:v>
      </x:c>
      <x:c r="J140" t="str">
        <x:v>보스에게 주는 피해 증가</x:v>
      </x:c>
    </x:row>
    <x:row r="141">
      <x:c r="B141">
        <x:v>5</x:v>
      </x:c>
      <x:c r="C141" t="inlineStr">
        <x:is>
          <x:t xml:space="preserve">BOSS_DAMAGE</x:t>
        </x:is>
      </x:c>
      <x:c r="D141">
        <x:v>19</x:v>
      </x:c>
      <x:c r="E141" t="inlineStr">
        <x:is>
          <x:t xml:space="preserve">보스 데미지</x:t>
        </x:is>
      </x:c>
      <x:c r="F141" t="n">
        <x:f>'밸런스 조정'!$C$7+D141*'밸런스 조정'!$D$7</x:f>
        <x:v>152</x:v>
      </x:c>
      <x:c r="G141" t="str">
        <x:v>percent</x:v>
      </x:c>
      <x:c r="H141" t="str">
        <x:v>Coin</x:v>
      </x:c>
      <x:c r="I141" t="n">
        <x:f>'밸런스 조정'!$E$7+(D141-1)*'밸런스 조정'!$F$7</x:f>
        <x:v>510</x:v>
      </x:c>
      <x:c r="J141" t="str">
        <x:v>보스에게 주는 피해 증가</x:v>
      </x:c>
    </x:row>
    <x:row r="142">
      <x:c r="B142">
        <x:v>5</x:v>
      </x:c>
      <x:c r="C142" t="inlineStr">
        <x:is>
          <x:t xml:space="preserve">BOSS_DAMAGE</x:t>
        </x:is>
      </x:c>
      <x:c r="D142">
        <x:v>20</x:v>
      </x:c>
      <x:c r="E142" t="inlineStr">
        <x:is>
          <x:t xml:space="preserve">보스 데미지</x:t>
        </x:is>
      </x:c>
      <x:c r="F142" t="n">
        <x:f>'밸런스 조정'!$C$7+D142*'밸런스 조정'!$D$7</x:f>
        <x:v>160</x:v>
      </x:c>
      <x:c r="G142" t="str">
        <x:v>percent</x:v>
      </x:c>
      <x:c r="H142" t="str">
        <x:v>Coin</x:v>
      </x:c>
      <x:c r="I142" t="n">
        <x:f>'밸런스 조정'!$E$7+(D142-1)*'밸런스 조정'!$F$7</x:f>
        <x:v>535</x:v>
      </x:c>
      <x:c r="J142" t="str">
        <x:v>보스에게 주는 피해 증가</x:v>
      </x:c>
    </x:row>
    <x:row r="143">
      <x:c r="B143">
        <x:v>5</x:v>
      </x:c>
      <x:c r="C143" t="inlineStr">
        <x:is>
          <x:t xml:space="preserve">BOSS_DAMAGE</x:t>
        </x:is>
      </x:c>
      <x:c r="D143">
        <x:v>21</x:v>
      </x:c>
      <x:c r="E143" t="inlineStr">
        <x:is>
          <x:t xml:space="preserve">보스 데미지</x:t>
        </x:is>
      </x:c>
      <x:c r="F143" t="n">
        <x:f>'밸런스 조정'!$C$7+D143*'밸런스 조정'!$D$7</x:f>
        <x:v>168</x:v>
      </x:c>
      <x:c r="G143" t="str">
        <x:v>percent</x:v>
      </x:c>
      <x:c r="H143" t="str">
        <x:v>Coin</x:v>
      </x:c>
      <x:c r="I143" t="n">
        <x:f>'밸런스 조정'!$E$7+(D143-1)*'밸런스 조정'!$F$7</x:f>
        <x:v>560</x:v>
      </x:c>
      <x:c r="J143" t="str">
        <x:v>보스에게 주는 피해 증가</x:v>
      </x:c>
    </x:row>
    <x:row r="144">
      <x:c r="B144">
        <x:v>5</x:v>
      </x:c>
      <x:c r="C144" t="inlineStr">
        <x:is>
          <x:t xml:space="preserve">BOSS_DAMAGE</x:t>
        </x:is>
      </x:c>
      <x:c r="D144">
        <x:v>22</x:v>
      </x:c>
      <x:c r="E144" t="inlineStr">
        <x:is>
          <x:t xml:space="preserve">보스 데미지</x:t>
        </x:is>
      </x:c>
      <x:c r="F144" t="n">
        <x:f>'밸런스 조정'!$C$7+D144*'밸런스 조정'!$D$7</x:f>
        <x:v>176</x:v>
      </x:c>
      <x:c r="G144" t="str">
        <x:v>percent</x:v>
      </x:c>
      <x:c r="H144" t="str">
        <x:v>Coin</x:v>
      </x:c>
      <x:c r="I144" t="n">
        <x:f>'밸런스 조정'!$E$7+(D144-1)*'밸런스 조정'!$F$7</x:f>
        <x:v>585</x:v>
      </x:c>
      <x:c r="J144" t="str">
        <x:v>보스에게 주는 피해 증가</x:v>
      </x:c>
    </x:row>
    <x:row r="145">
      <x:c r="B145">
        <x:v>5</x:v>
      </x:c>
      <x:c r="C145" t="inlineStr">
        <x:is>
          <x:t xml:space="preserve">BOSS_DAMAGE</x:t>
        </x:is>
      </x:c>
      <x:c r="D145">
        <x:v>23</x:v>
      </x:c>
      <x:c r="E145" t="inlineStr">
        <x:is>
          <x:t xml:space="preserve">보스 데미지</x:t>
        </x:is>
      </x:c>
      <x:c r="F145" t="n">
        <x:f>'밸런스 조정'!$C$7+D145*'밸런스 조정'!$D$7</x:f>
        <x:v>184</x:v>
      </x:c>
      <x:c r="G145" t="str">
        <x:v>percent</x:v>
      </x:c>
      <x:c r="H145" t="str">
        <x:v>Coin</x:v>
      </x:c>
      <x:c r="I145" t="n">
        <x:f>'밸런스 조정'!$E$7+(D145-1)*'밸런스 조정'!$F$7</x:f>
        <x:v>610</x:v>
      </x:c>
      <x:c r="J145" t="str">
        <x:v>보스에게 주는 피해 증가</x:v>
      </x:c>
    </x:row>
    <x:row r="146">
      <x:c r="B146">
        <x:v>5</x:v>
      </x:c>
      <x:c r="C146" t="inlineStr">
        <x:is>
          <x:t xml:space="preserve">BOSS_DAMAGE</x:t>
        </x:is>
      </x:c>
      <x:c r="D146">
        <x:v>24</x:v>
      </x:c>
      <x:c r="E146" t="inlineStr">
        <x:is>
          <x:t xml:space="preserve">보스 데미지</x:t>
        </x:is>
      </x:c>
      <x:c r="F146" t="n">
        <x:f>'밸런스 조정'!$C$7+D146*'밸런스 조정'!$D$7</x:f>
        <x:v>192</x:v>
      </x:c>
      <x:c r="G146" t="str">
        <x:v>percent</x:v>
      </x:c>
      <x:c r="H146" t="str">
        <x:v>Coin</x:v>
      </x:c>
      <x:c r="I146" t="n">
        <x:f>'밸런스 조정'!$E$7+(D146-1)*'밸런스 조정'!$F$7</x:f>
        <x:v>635</x:v>
      </x:c>
      <x:c r="J146" t="str">
        <x:v>보스에게 주는 피해 증가</x:v>
      </x:c>
    </x:row>
    <x:row r="147">
      <x:c r="B147">
        <x:v>5</x:v>
      </x:c>
      <x:c r="C147" t="inlineStr">
        <x:is>
          <x:t xml:space="preserve">BOSS_DAMAGE</x:t>
        </x:is>
      </x:c>
      <x:c r="D147">
        <x:v>25</x:v>
      </x:c>
      <x:c r="E147" t="inlineStr">
        <x:is>
          <x:t xml:space="preserve">보스 데미지</x:t>
        </x:is>
      </x:c>
      <x:c r="F147" t="n">
        <x:f>'밸런스 조정'!$C$7+D147*'밸런스 조정'!$D$7</x:f>
        <x:v>200</x:v>
      </x:c>
      <x:c r="G147" t="str">
        <x:v>percent</x:v>
      </x:c>
      <x:c r="H147" t="str">
        <x:v>Coin</x:v>
      </x:c>
      <x:c r="I147" t="n">
        <x:f>'밸런스 조정'!$E$7+(D147-1)*'밸런스 조정'!$F$7</x:f>
        <x:v>660</x:v>
      </x:c>
      <x:c r="J147" t="str">
        <x:v>보스에게 주는 피해 증가</x:v>
      </x:c>
    </x:row>
    <x:row r="148">
      <x:c r="B148">
        <x:v>5</x:v>
      </x:c>
      <x:c r="C148" t="inlineStr">
        <x:is>
          <x:t xml:space="preserve">BOSS_DAMAGE</x:t>
        </x:is>
      </x:c>
      <x:c r="D148">
        <x:v>26</x:v>
      </x:c>
      <x:c r="E148" t="inlineStr">
        <x:is>
          <x:t xml:space="preserve">보스 데미지</x:t>
        </x:is>
      </x:c>
      <x:c r="F148" t="n">
        <x:f>'밸런스 조정'!$C$7+D148*'밸런스 조정'!$D$7</x:f>
        <x:v>208</x:v>
      </x:c>
      <x:c r="G148" t="str">
        <x:v>percent</x:v>
      </x:c>
      <x:c r="H148" t="str">
        <x:v>Coin</x:v>
      </x:c>
      <x:c r="I148" t="n">
        <x:f>'밸런스 조정'!$E$7+(D148-1)*'밸런스 조정'!$F$7</x:f>
        <x:v>685</x:v>
      </x:c>
      <x:c r="J148" t="str">
        <x:v>보스에게 주는 피해 증가</x:v>
      </x:c>
    </x:row>
    <x:row r="149">
      <x:c r="B149">
        <x:v>5</x:v>
      </x:c>
      <x:c r="C149" t="inlineStr">
        <x:is>
          <x:t xml:space="preserve">BOSS_DAMAGE</x:t>
        </x:is>
      </x:c>
      <x:c r="D149">
        <x:v>27</x:v>
      </x:c>
      <x:c r="E149" t="inlineStr">
        <x:is>
          <x:t xml:space="preserve">보스 데미지</x:t>
        </x:is>
      </x:c>
      <x:c r="F149" t="n">
        <x:f>'밸런스 조정'!$C$7+D149*'밸런스 조정'!$D$7</x:f>
        <x:v>216</x:v>
      </x:c>
      <x:c r="G149" t="str">
        <x:v>percent</x:v>
      </x:c>
      <x:c r="H149" t="str">
        <x:v>Coin</x:v>
      </x:c>
      <x:c r="I149" t="n">
        <x:f>'밸런스 조정'!$E$7+(D149-1)*'밸런스 조정'!$F$7</x:f>
        <x:v>710</x:v>
      </x:c>
      <x:c r="J149" t="str">
        <x:v>보스에게 주는 피해 증가</x:v>
      </x:c>
    </x:row>
    <x:row r="150">
      <x:c r="B150">
        <x:v>5</x:v>
      </x:c>
      <x:c r="C150" t="inlineStr">
        <x:is>
          <x:t xml:space="preserve">BOSS_DAMAGE</x:t>
        </x:is>
      </x:c>
      <x:c r="D150">
        <x:v>28</x:v>
      </x:c>
      <x:c r="E150" t="inlineStr">
        <x:is>
          <x:t xml:space="preserve">보스 데미지</x:t>
        </x:is>
      </x:c>
      <x:c r="F150" t="n">
        <x:f>'밸런스 조정'!$C$7+D150*'밸런스 조정'!$D$7</x:f>
        <x:v>224</x:v>
      </x:c>
      <x:c r="G150" t="str">
        <x:v>percent</x:v>
      </x:c>
      <x:c r="H150" t="str">
        <x:v>Coin</x:v>
      </x:c>
      <x:c r="I150" t="n">
        <x:f>'밸런스 조정'!$E$7+(D150-1)*'밸런스 조정'!$F$7</x:f>
        <x:v>735</x:v>
      </x:c>
      <x:c r="J150" t="str">
        <x:v>보스에게 주는 피해 증가</x:v>
      </x:c>
    </x:row>
    <x:row r="151">
      <x:c r="B151">
        <x:v>5</x:v>
      </x:c>
      <x:c r="C151" t="inlineStr">
        <x:is>
          <x:t xml:space="preserve">BOSS_DAMAGE</x:t>
        </x:is>
      </x:c>
      <x:c r="D151">
        <x:v>29</x:v>
      </x:c>
      <x:c r="E151" t="inlineStr">
        <x:is>
          <x:t xml:space="preserve">보스 데미지</x:t>
        </x:is>
      </x:c>
      <x:c r="F151" t="n">
        <x:f>'밸런스 조정'!$C$7+D151*'밸런스 조정'!$D$7</x:f>
        <x:v>232</x:v>
      </x:c>
      <x:c r="G151" t="str">
        <x:v>percent</x:v>
      </x:c>
      <x:c r="H151" t="str">
        <x:v>Coin</x:v>
      </x:c>
      <x:c r="I151" t="n">
        <x:f>'밸런스 조정'!$E$7+(D151-1)*'밸런스 조정'!$F$7</x:f>
        <x:v>760</x:v>
      </x:c>
      <x:c r="J151" t="str">
        <x:v>보스에게 주는 피해 증가</x:v>
      </x:c>
    </x:row>
    <x:row r="152">
      <x:c r="B152">
        <x:v>5</x:v>
      </x:c>
      <x:c r="C152" t="inlineStr">
        <x:is>
          <x:t xml:space="preserve">BOSS_DAMAGE</x:t>
        </x:is>
      </x:c>
      <x:c r="D152">
        <x:v>30</x:v>
      </x:c>
      <x:c r="E152" t="inlineStr">
        <x:is>
          <x:t xml:space="preserve">보스 데미지</x:t>
        </x:is>
      </x:c>
      <x:c r="F152" t="n">
        <x:f>'밸런스 조정'!$C$7+D152*'밸런스 조정'!$D$7</x:f>
        <x:v>240</x:v>
      </x:c>
      <x:c r="G152" t="str">
        <x:v>percent</x:v>
      </x:c>
      <x:c r="H152" t="str">
        <x:v>Coin</x:v>
      </x:c>
      <x:c r="I152" t="n">
        <x:f>'밸런스 조정'!$E$7+(D152-1)*'밸런스 조정'!$F$7</x:f>
        <x:v>785</x:v>
      </x:c>
      <x:c r="J152" t="str">
        <x:v>보스에게 주는 피해 증가</x:v>
      </x:c>
    </x:row>
    <x:row r="153">
      <x:c r="B153">
        <x:v>6</x:v>
      </x:c>
      <x:c r="C153" t="inlineStr">
        <x:is>
          <x:t xml:space="preserve">COIN_BONUS</x:t>
        </x:is>
      </x:c>
      <x:c r="D153">
        <x:v>1</x:v>
      </x:c>
      <x:c r="E153" t="inlineStr">
        <x:is>
          <x:t xml:space="preserve">코인 보너스</x:t>
        </x:is>
      </x:c>
      <x:c r="F153" t="n">
        <x:f>'밸런스 조정'!$C$8+D153*'밸런스 조정'!$D$8</x:f>
        <x:v>8</x:v>
      </x:c>
      <x:c r="G153" t="str">
        <x:v>percent</x:v>
      </x:c>
      <x:c r="H153" t="str">
        <x:v>Coin</x:v>
      </x:c>
      <x:c r="I153" t="n">
        <x:f>'밸런스 조정'!$E$8+(D153-1)*'밸런스 조정'!$F$8</x:f>
        <x:v>70</x:v>
      </x:c>
      <x:c r="J153" t="str">
        <x:v>획득 코인 증가</x:v>
      </x:c>
    </x:row>
    <x:row r="154">
      <x:c r="B154">
        <x:v>6</x:v>
      </x:c>
      <x:c r="C154" t="inlineStr">
        <x:is>
          <x:t xml:space="preserve">COIN_BONUS</x:t>
        </x:is>
      </x:c>
      <x:c r="D154">
        <x:v>2</x:v>
      </x:c>
      <x:c r="E154" t="inlineStr">
        <x:is>
          <x:t xml:space="preserve">코인 보너스</x:t>
        </x:is>
      </x:c>
      <x:c r="F154" t="n">
        <x:f>'밸런스 조정'!$C$8+D154*'밸런스 조정'!$D$8</x:f>
        <x:v>16</x:v>
      </x:c>
      <x:c r="G154" t="str">
        <x:v>percent</x:v>
      </x:c>
      <x:c r="H154" t="str">
        <x:v>Coin</x:v>
      </x:c>
      <x:c r="I154" t="n">
        <x:f>'밸런스 조정'!$E$8+(D154-1)*'밸런스 조정'!$F$8</x:f>
        <x:v>105</x:v>
      </x:c>
      <x:c r="J154" t="str">
        <x:v>획득 코인 증가</x:v>
      </x:c>
    </x:row>
    <x:row r="155">
      <x:c r="B155">
        <x:v>6</x:v>
      </x:c>
      <x:c r="C155" t="inlineStr">
        <x:is>
          <x:t xml:space="preserve">COIN_BONUS</x:t>
        </x:is>
      </x:c>
      <x:c r="D155">
        <x:v>3</x:v>
      </x:c>
      <x:c r="E155" t="inlineStr">
        <x:is>
          <x:t xml:space="preserve">코인 보너스</x:t>
        </x:is>
      </x:c>
      <x:c r="F155" t="n">
        <x:f>'밸런스 조정'!$C$8+D155*'밸런스 조정'!$D$8</x:f>
        <x:v>24</x:v>
      </x:c>
      <x:c r="G155" t="str">
        <x:v>percent</x:v>
      </x:c>
      <x:c r="H155" t="str">
        <x:v>Coin</x:v>
      </x:c>
      <x:c r="I155" t="n">
        <x:f>'밸런스 조정'!$E$8+(D155-1)*'밸런스 조정'!$F$8</x:f>
        <x:v>140</x:v>
      </x:c>
      <x:c r="J155" t="str">
        <x:v>획득 코인 증가</x:v>
      </x:c>
    </x:row>
    <x:row r="156">
      <x:c r="B156">
        <x:v>6</x:v>
      </x:c>
      <x:c r="C156" t="inlineStr">
        <x:is>
          <x:t xml:space="preserve">COIN_BONUS</x:t>
        </x:is>
      </x:c>
      <x:c r="D156">
        <x:v>4</x:v>
      </x:c>
      <x:c r="E156" t="inlineStr">
        <x:is>
          <x:t xml:space="preserve">코인 보너스</x:t>
        </x:is>
      </x:c>
      <x:c r="F156" t="n">
        <x:f>'밸런스 조정'!$C$8+D156*'밸런스 조정'!$D$8</x:f>
        <x:v>32</x:v>
      </x:c>
      <x:c r="G156" t="str">
        <x:v>percent</x:v>
      </x:c>
      <x:c r="H156" t="str">
        <x:v>Coin</x:v>
      </x:c>
      <x:c r="I156" t="n">
        <x:f>'밸런스 조정'!$E$8+(D156-1)*'밸런스 조정'!$F$8</x:f>
        <x:v>175</x:v>
      </x:c>
      <x:c r="J156" t="str">
        <x:v>획득 코인 증가</x:v>
      </x:c>
    </x:row>
    <x:row r="157">
      <x:c r="B157">
        <x:v>6</x:v>
      </x:c>
      <x:c r="C157" t="inlineStr">
        <x:is>
          <x:t xml:space="preserve">COIN_BONUS</x:t>
        </x:is>
      </x:c>
      <x:c r="D157">
        <x:v>5</x:v>
      </x:c>
      <x:c r="E157" t="inlineStr">
        <x:is>
          <x:t xml:space="preserve">코인 보너스</x:t>
        </x:is>
      </x:c>
      <x:c r="F157" t="n">
        <x:f>'밸런스 조정'!$C$8+D157*'밸런스 조정'!$D$8</x:f>
        <x:v>40</x:v>
      </x:c>
      <x:c r="G157" t="str">
        <x:v>percent</x:v>
      </x:c>
      <x:c r="H157" t="str">
        <x:v>Coin</x:v>
      </x:c>
      <x:c r="I157" t="n">
        <x:f>'밸런스 조정'!$E$8+(D157-1)*'밸런스 조정'!$F$8</x:f>
        <x:v>210</x:v>
      </x:c>
      <x:c r="J157" t="str">
        <x:v>획득 코인 증가</x:v>
      </x:c>
    </x:row>
    <x:row r="158">
      <x:c r="B158">
        <x:v>6</x:v>
      </x:c>
      <x:c r="C158" t="inlineStr">
        <x:is>
          <x:t xml:space="preserve">COIN_BONUS</x:t>
        </x:is>
      </x:c>
      <x:c r="D158">
        <x:v>6</x:v>
      </x:c>
      <x:c r="E158" t="inlineStr">
        <x:is>
          <x:t xml:space="preserve">코인 보너스</x:t>
        </x:is>
      </x:c>
      <x:c r="F158" t="n">
        <x:f>'밸런스 조정'!$C$8+D158*'밸런스 조정'!$D$8</x:f>
        <x:v>48</x:v>
      </x:c>
      <x:c r="G158" t="str">
        <x:v>percent</x:v>
      </x:c>
      <x:c r="H158" t="str">
        <x:v>Coin</x:v>
      </x:c>
      <x:c r="I158" t="n">
        <x:f>'밸런스 조정'!$E$8+(D158-1)*'밸런스 조정'!$F$8</x:f>
        <x:v>245</x:v>
      </x:c>
      <x:c r="J158" t="str">
        <x:v>획득 코인 증가</x:v>
      </x:c>
    </x:row>
    <x:row r="159">
      <x:c r="B159">
        <x:v>6</x:v>
      </x:c>
      <x:c r="C159" t="inlineStr">
        <x:is>
          <x:t xml:space="preserve">COIN_BONUS</x:t>
        </x:is>
      </x:c>
      <x:c r="D159">
        <x:v>7</x:v>
      </x:c>
      <x:c r="E159" t="inlineStr">
        <x:is>
          <x:t xml:space="preserve">코인 보너스</x:t>
        </x:is>
      </x:c>
      <x:c r="F159" t="n">
        <x:f>'밸런스 조정'!$C$8+D159*'밸런스 조정'!$D$8</x:f>
        <x:v>56</x:v>
      </x:c>
      <x:c r="G159" t="str">
        <x:v>percent</x:v>
      </x:c>
      <x:c r="H159" t="str">
        <x:v>Coin</x:v>
      </x:c>
      <x:c r="I159" t="n">
        <x:f>'밸런스 조정'!$E$8+(D159-1)*'밸런스 조정'!$F$8</x:f>
        <x:v>280</x:v>
      </x:c>
      <x:c r="J159" t="str">
        <x:v>획득 코인 증가</x:v>
      </x:c>
    </x:row>
    <x:row r="160">
      <x:c r="B160">
        <x:v>6</x:v>
      </x:c>
      <x:c r="C160" t="inlineStr">
        <x:is>
          <x:t xml:space="preserve">COIN_BONUS</x:t>
        </x:is>
      </x:c>
      <x:c r="D160">
        <x:v>8</x:v>
      </x:c>
      <x:c r="E160" t="inlineStr">
        <x:is>
          <x:t xml:space="preserve">코인 보너스</x:t>
        </x:is>
      </x:c>
      <x:c r="F160" t="n">
        <x:f>'밸런스 조정'!$C$8+D160*'밸런스 조정'!$D$8</x:f>
        <x:v>64</x:v>
      </x:c>
      <x:c r="G160" t="str">
        <x:v>percent</x:v>
      </x:c>
      <x:c r="H160" t="str">
        <x:v>Coin</x:v>
      </x:c>
      <x:c r="I160" t="n">
        <x:f>'밸런스 조정'!$E$8+(D160-1)*'밸런스 조정'!$F$8</x:f>
        <x:v>315</x:v>
      </x:c>
      <x:c r="J160" t="str">
        <x:v>획득 코인 증가</x:v>
      </x:c>
    </x:row>
    <x:row r="161">
      <x:c r="B161">
        <x:v>6</x:v>
      </x:c>
      <x:c r="C161" t="inlineStr">
        <x:is>
          <x:t xml:space="preserve">COIN_BONUS</x:t>
        </x:is>
      </x:c>
      <x:c r="D161">
        <x:v>9</x:v>
      </x:c>
      <x:c r="E161" t="inlineStr">
        <x:is>
          <x:t xml:space="preserve">코인 보너스</x:t>
        </x:is>
      </x:c>
      <x:c r="F161" t="n">
        <x:f>'밸런스 조정'!$C$8+D161*'밸런스 조정'!$D$8</x:f>
        <x:v>72</x:v>
      </x:c>
      <x:c r="G161" t="str">
        <x:v>percent</x:v>
      </x:c>
      <x:c r="H161" t="str">
        <x:v>Coin</x:v>
      </x:c>
      <x:c r="I161" t="n">
        <x:f>'밸런스 조정'!$E$8+(D161-1)*'밸런스 조정'!$F$8</x:f>
        <x:v>350</x:v>
      </x:c>
      <x:c r="J161" t="str">
        <x:v>획득 코인 증가</x:v>
      </x:c>
    </x:row>
    <x:row r="162">
      <x:c r="B162">
        <x:v>6</x:v>
      </x:c>
      <x:c r="C162" t="inlineStr">
        <x:is>
          <x:t xml:space="preserve">COIN_BONUS</x:t>
        </x:is>
      </x:c>
      <x:c r="D162">
        <x:v>10</x:v>
      </x:c>
      <x:c r="E162" t="inlineStr">
        <x:is>
          <x:t xml:space="preserve">코인 보너스</x:t>
        </x:is>
      </x:c>
      <x:c r="F162" t="n">
        <x:f>'밸런스 조정'!$C$8+D162*'밸런스 조정'!$D$8</x:f>
        <x:v>80</x:v>
      </x:c>
      <x:c r="G162" t="str">
        <x:v>percent</x:v>
      </x:c>
      <x:c r="H162" t="str">
        <x:v>Coin</x:v>
      </x:c>
      <x:c r="I162" t="n">
        <x:f>'밸런스 조정'!$E$8+(D162-1)*'밸런스 조정'!$F$8</x:f>
        <x:v>385</x:v>
      </x:c>
      <x:c r="J162" t="str">
        <x:v>획득 코인 증가</x:v>
      </x:c>
    </x:row>
    <x:row r="163">
      <x:c r="B163">
        <x:v>6</x:v>
      </x:c>
      <x:c r="C163" t="inlineStr">
        <x:is>
          <x:t xml:space="preserve">COIN_BONUS</x:t>
        </x:is>
      </x:c>
      <x:c r="D163">
        <x:v>11</x:v>
      </x:c>
      <x:c r="E163" t="inlineStr">
        <x:is>
          <x:t xml:space="preserve">코인 보너스</x:t>
        </x:is>
      </x:c>
      <x:c r="F163" t="n">
        <x:f>'밸런스 조정'!$C$8+D163*'밸런스 조정'!$D$8</x:f>
        <x:v>88</x:v>
      </x:c>
      <x:c r="G163" t="str">
        <x:v>percent</x:v>
      </x:c>
      <x:c r="H163" t="str">
        <x:v>Coin</x:v>
      </x:c>
      <x:c r="I163" t="n">
        <x:f>'밸런스 조정'!$E$8+(D163-1)*'밸런스 조정'!$F$8</x:f>
        <x:v>420</x:v>
      </x:c>
      <x:c r="J163" t="str">
        <x:v>획득 코인 증가</x:v>
      </x:c>
    </x:row>
    <x:row r="164">
      <x:c r="B164">
        <x:v>6</x:v>
      </x:c>
      <x:c r="C164" t="inlineStr">
        <x:is>
          <x:t xml:space="preserve">COIN_BONUS</x:t>
        </x:is>
      </x:c>
      <x:c r="D164">
        <x:v>12</x:v>
      </x:c>
      <x:c r="E164" t="inlineStr">
        <x:is>
          <x:t xml:space="preserve">코인 보너스</x:t>
        </x:is>
      </x:c>
      <x:c r="F164" t="n">
        <x:f>'밸런스 조정'!$C$8+D164*'밸런스 조정'!$D$8</x:f>
        <x:v>96</x:v>
      </x:c>
      <x:c r="G164" t="str">
        <x:v>percent</x:v>
      </x:c>
      <x:c r="H164" t="str">
        <x:v>Coin</x:v>
      </x:c>
      <x:c r="I164" t="n">
        <x:f>'밸런스 조정'!$E$8+(D164-1)*'밸런스 조정'!$F$8</x:f>
        <x:v>455</x:v>
      </x:c>
      <x:c r="J164" t="str">
        <x:v>획득 코인 증가</x:v>
      </x:c>
    </x:row>
    <x:row r="165">
      <x:c r="B165">
        <x:v>6</x:v>
      </x:c>
      <x:c r="C165" t="inlineStr">
        <x:is>
          <x:t xml:space="preserve">COIN_BONUS</x:t>
        </x:is>
      </x:c>
      <x:c r="D165">
        <x:v>13</x:v>
      </x:c>
      <x:c r="E165" t="inlineStr">
        <x:is>
          <x:t xml:space="preserve">코인 보너스</x:t>
        </x:is>
      </x:c>
      <x:c r="F165" t="n">
        <x:f>'밸런스 조정'!$C$8+D165*'밸런스 조정'!$D$8</x:f>
        <x:v>104</x:v>
      </x:c>
      <x:c r="G165" t="str">
        <x:v>percent</x:v>
      </x:c>
      <x:c r="H165" t="str">
        <x:v>Coin</x:v>
      </x:c>
      <x:c r="I165" t="n">
        <x:f>'밸런스 조정'!$E$8+(D165-1)*'밸런스 조정'!$F$8</x:f>
        <x:v>490</x:v>
      </x:c>
      <x:c r="J165" t="str">
        <x:v>획득 코인 증가</x:v>
      </x:c>
    </x:row>
    <x:row r="166">
      <x:c r="B166">
        <x:v>6</x:v>
      </x:c>
      <x:c r="C166" t="inlineStr">
        <x:is>
          <x:t xml:space="preserve">COIN_BONUS</x:t>
        </x:is>
      </x:c>
      <x:c r="D166">
        <x:v>14</x:v>
      </x:c>
      <x:c r="E166" t="inlineStr">
        <x:is>
          <x:t xml:space="preserve">코인 보너스</x:t>
        </x:is>
      </x:c>
      <x:c r="F166" t="n">
        <x:f>'밸런스 조정'!$C$8+D166*'밸런스 조정'!$D$8</x:f>
        <x:v>112</x:v>
      </x:c>
      <x:c r="G166" t="str">
        <x:v>percent</x:v>
      </x:c>
      <x:c r="H166" t="str">
        <x:v>Coin</x:v>
      </x:c>
      <x:c r="I166" t="n">
        <x:f>'밸런스 조정'!$E$8+(D166-1)*'밸런스 조정'!$F$8</x:f>
        <x:v>525</x:v>
      </x:c>
      <x:c r="J166" t="str">
        <x:v>획득 코인 증가</x:v>
      </x:c>
    </x:row>
    <x:row r="167">
      <x:c r="B167">
        <x:v>6</x:v>
      </x:c>
      <x:c r="C167" t="inlineStr">
        <x:is>
          <x:t xml:space="preserve">COIN_BONUS</x:t>
        </x:is>
      </x:c>
      <x:c r="D167">
        <x:v>15</x:v>
      </x:c>
      <x:c r="E167" t="inlineStr">
        <x:is>
          <x:t xml:space="preserve">코인 보너스</x:t>
        </x:is>
      </x:c>
      <x:c r="F167" t="n">
        <x:f>'밸런스 조정'!$C$8+D167*'밸런스 조정'!$D$8</x:f>
        <x:v>120</x:v>
      </x:c>
      <x:c r="G167" t="str">
        <x:v>percent</x:v>
      </x:c>
      <x:c r="H167" t="str">
        <x:v>Coin</x:v>
      </x:c>
      <x:c r="I167" t="n">
        <x:f>'밸런스 조정'!$E$8+(D167-1)*'밸런스 조정'!$F$8</x:f>
        <x:v>560</x:v>
      </x:c>
      <x:c r="J167" t="str">
        <x:v>획득 코인 증가</x:v>
      </x:c>
    </x:row>
    <x:row r="168">
      <x:c r="B168">
        <x:v>6</x:v>
      </x:c>
      <x:c r="C168" t="inlineStr">
        <x:is>
          <x:t xml:space="preserve">COIN_BONUS</x:t>
        </x:is>
      </x:c>
      <x:c r="D168">
        <x:v>16</x:v>
      </x:c>
      <x:c r="E168" t="inlineStr">
        <x:is>
          <x:t xml:space="preserve">코인 보너스</x:t>
        </x:is>
      </x:c>
      <x:c r="F168" t="n">
        <x:f>'밸런스 조정'!$C$8+D168*'밸런스 조정'!$D$8</x:f>
        <x:v>128</x:v>
      </x:c>
      <x:c r="G168" t="str">
        <x:v>percent</x:v>
      </x:c>
      <x:c r="H168" t="str">
        <x:v>Coin</x:v>
      </x:c>
      <x:c r="I168" t="n">
        <x:f>'밸런스 조정'!$E$8+(D168-1)*'밸런스 조정'!$F$8</x:f>
        <x:v>595</x:v>
      </x:c>
      <x:c r="J168" t="str">
        <x:v>획득 코인 증가</x:v>
      </x:c>
    </x:row>
    <x:row r="169">
      <x:c r="B169">
        <x:v>6</x:v>
      </x:c>
      <x:c r="C169" t="inlineStr">
        <x:is>
          <x:t xml:space="preserve">COIN_BONUS</x:t>
        </x:is>
      </x:c>
      <x:c r="D169">
        <x:v>17</x:v>
      </x:c>
      <x:c r="E169" t="inlineStr">
        <x:is>
          <x:t xml:space="preserve">코인 보너스</x:t>
        </x:is>
      </x:c>
      <x:c r="F169" t="n">
        <x:f>'밸런스 조정'!$C$8+D169*'밸런스 조정'!$D$8</x:f>
        <x:v>136</x:v>
      </x:c>
      <x:c r="G169" t="str">
        <x:v>percent</x:v>
      </x:c>
      <x:c r="H169" t="str">
        <x:v>Coin</x:v>
      </x:c>
      <x:c r="I169" t="n">
        <x:f>'밸런스 조정'!$E$8+(D169-1)*'밸런스 조정'!$F$8</x:f>
        <x:v>630</x:v>
      </x:c>
      <x:c r="J169" t="str">
        <x:v>획득 코인 증가</x:v>
      </x:c>
    </x:row>
    <x:row r="170">
      <x:c r="B170">
        <x:v>6</x:v>
      </x:c>
      <x:c r="C170" t="inlineStr">
        <x:is>
          <x:t xml:space="preserve">COIN_BONUS</x:t>
        </x:is>
      </x:c>
      <x:c r="D170">
        <x:v>18</x:v>
      </x:c>
      <x:c r="E170" t="inlineStr">
        <x:is>
          <x:t xml:space="preserve">코인 보너스</x:t>
        </x:is>
      </x:c>
      <x:c r="F170" t="n">
        <x:f>'밸런스 조정'!$C$8+D170*'밸런스 조정'!$D$8</x:f>
        <x:v>144</x:v>
      </x:c>
      <x:c r="G170" t="str">
        <x:v>percent</x:v>
      </x:c>
      <x:c r="H170" t="str">
        <x:v>Coin</x:v>
      </x:c>
      <x:c r="I170" t="n">
        <x:f>'밸런스 조정'!$E$8+(D170-1)*'밸런스 조정'!$F$8</x:f>
        <x:v>665</x:v>
      </x:c>
      <x:c r="J170" t="str">
        <x:v>획득 코인 증가</x:v>
      </x:c>
    </x:row>
    <x:row r="171">
      <x:c r="B171">
        <x:v>6</x:v>
      </x:c>
      <x:c r="C171" t="inlineStr">
        <x:is>
          <x:t xml:space="preserve">COIN_BONUS</x:t>
        </x:is>
      </x:c>
      <x:c r="D171">
        <x:v>19</x:v>
      </x:c>
      <x:c r="E171" t="inlineStr">
        <x:is>
          <x:t xml:space="preserve">코인 보너스</x:t>
        </x:is>
      </x:c>
      <x:c r="F171" t="n">
        <x:f>'밸런스 조정'!$C$8+D171*'밸런스 조정'!$D$8</x:f>
        <x:v>152</x:v>
      </x:c>
      <x:c r="G171" t="str">
        <x:v>percent</x:v>
      </x:c>
      <x:c r="H171" t="str">
        <x:v>Coin</x:v>
      </x:c>
      <x:c r="I171" t="n">
        <x:f>'밸런스 조정'!$E$8+(D171-1)*'밸런스 조정'!$F$8</x:f>
        <x:v>700</x:v>
      </x:c>
      <x:c r="J171" t="str">
        <x:v>획득 코인 증가</x:v>
      </x:c>
    </x:row>
    <x:row r="172">
      <x:c r="B172">
        <x:v>6</x:v>
      </x:c>
      <x:c r="C172" t="inlineStr">
        <x:is>
          <x:t xml:space="preserve">COIN_BONUS</x:t>
        </x:is>
      </x:c>
      <x:c r="D172">
        <x:v>20</x:v>
      </x:c>
      <x:c r="E172" t="inlineStr">
        <x:is>
          <x:t xml:space="preserve">코인 보너스</x:t>
        </x:is>
      </x:c>
      <x:c r="F172" t="n">
        <x:f>'밸런스 조정'!$C$8+D172*'밸런스 조정'!$D$8</x:f>
        <x:v>160</x:v>
      </x:c>
      <x:c r="G172" t="str">
        <x:v>percent</x:v>
      </x:c>
      <x:c r="H172" t="str">
        <x:v>Coin</x:v>
      </x:c>
      <x:c r="I172" t="n">
        <x:f>'밸런스 조정'!$E$8+(D172-1)*'밸런스 조정'!$F$8</x:f>
        <x:v>735</x:v>
      </x:c>
      <x:c r="J172" t="str">
        <x:v>획득 코인 증가</x:v>
      </x:c>
    </x:row>
    <x:row r="173">
      <x:c r="B173">
        <x:v>6</x:v>
      </x:c>
      <x:c r="C173" t="inlineStr">
        <x:is>
          <x:t xml:space="preserve">COIN_BONUS</x:t>
        </x:is>
      </x:c>
      <x:c r="D173">
        <x:v>21</x:v>
      </x:c>
      <x:c r="E173" t="inlineStr">
        <x:is>
          <x:t xml:space="preserve">코인 보너스</x:t>
        </x:is>
      </x:c>
      <x:c r="F173" t="n">
        <x:f>'밸런스 조정'!$C$8+D173*'밸런스 조정'!$D$8</x:f>
        <x:v>168</x:v>
      </x:c>
      <x:c r="G173" t="str">
        <x:v>percent</x:v>
      </x:c>
      <x:c r="H173" t="str">
        <x:v>Coin</x:v>
      </x:c>
      <x:c r="I173" t="n">
        <x:f>'밸런스 조정'!$E$8+(D173-1)*'밸런스 조정'!$F$8</x:f>
        <x:v>770</x:v>
      </x:c>
      <x:c r="J173" t="str">
        <x:v>획득 코인 증가</x:v>
      </x:c>
    </x:row>
    <x:row r="174">
      <x:c r="B174">
        <x:v>6</x:v>
      </x:c>
      <x:c r="C174" t="inlineStr">
        <x:is>
          <x:t xml:space="preserve">COIN_BONUS</x:t>
        </x:is>
      </x:c>
      <x:c r="D174">
        <x:v>22</x:v>
      </x:c>
      <x:c r="E174" t="inlineStr">
        <x:is>
          <x:t xml:space="preserve">코인 보너스</x:t>
        </x:is>
      </x:c>
      <x:c r="F174" t="n">
        <x:f>'밸런스 조정'!$C$8+D174*'밸런스 조정'!$D$8</x:f>
        <x:v>176</x:v>
      </x:c>
      <x:c r="G174" t="str">
        <x:v>percent</x:v>
      </x:c>
      <x:c r="H174" t="str">
        <x:v>Coin</x:v>
      </x:c>
      <x:c r="I174" t="n">
        <x:f>'밸런스 조정'!$E$8+(D174-1)*'밸런스 조정'!$F$8</x:f>
        <x:v>805</x:v>
      </x:c>
      <x:c r="J174" t="str">
        <x:v>획득 코인 증가</x:v>
      </x:c>
    </x:row>
    <x:row r="175">
      <x:c r="B175">
        <x:v>6</x:v>
      </x:c>
      <x:c r="C175" t="inlineStr">
        <x:is>
          <x:t xml:space="preserve">COIN_BONUS</x:t>
        </x:is>
      </x:c>
      <x:c r="D175">
        <x:v>23</x:v>
      </x:c>
      <x:c r="E175" t="inlineStr">
        <x:is>
          <x:t xml:space="preserve">코인 보너스</x:t>
        </x:is>
      </x:c>
      <x:c r="F175" t="n">
        <x:f>'밸런스 조정'!$C$8+D175*'밸런스 조정'!$D$8</x:f>
        <x:v>184</x:v>
      </x:c>
      <x:c r="G175" t="str">
        <x:v>percent</x:v>
      </x:c>
      <x:c r="H175" t="str">
        <x:v>Coin</x:v>
      </x:c>
      <x:c r="I175" t="n">
        <x:f>'밸런스 조정'!$E$8+(D175-1)*'밸런스 조정'!$F$8</x:f>
        <x:v>840</x:v>
      </x:c>
      <x:c r="J175" t="str">
        <x:v>획득 코인 증가</x:v>
      </x:c>
    </x:row>
    <x:row r="176">
      <x:c r="B176">
        <x:v>6</x:v>
      </x:c>
      <x:c r="C176" t="inlineStr">
        <x:is>
          <x:t xml:space="preserve">COIN_BONUS</x:t>
        </x:is>
      </x:c>
      <x:c r="D176">
        <x:v>24</x:v>
      </x:c>
      <x:c r="E176" t="inlineStr">
        <x:is>
          <x:t xml:space="preserve">코인 보너스</x:t>
        </x:is>
      </x:c>
      <x:c r="F176" t="n">
        <x:f>'밸런스 조정'!$C$8+D176*'밸런스 조정'!$D$8</x:f>
        <x:v>192</x:v>
      </x:c>
      <x:c r="G176" t="str">
        <x:v>percent</x:v>
      </x:c>
      <x:c r="H176" t="str">
        <x:v>Coin</x:v>
      </x:c>
      <x:c r="I176" t="n">
        <x:f>'밸런스 조정'!$E$8+(D176-1)*'밸런스 조정'!$F$8</x:f>
        <x:v>875</x:v>
      </x:c>
      <x:c r="J176" t="str">
        <x:v>획득 코인 증가</x:v>
      </x:c>
    </x:row>
    <x:row r="177">
      <x:c r="B177">
        <x:v>6</x:v>
      </x:c>
      <x:c r="C177" t="inlineStr">
        <x:is>
          <x:t xml:space="preserve">COIN_BONUS</x:t>
        </x:is>
      </x:c>
      <x:c r="D177">
        <x:v>25</x:v>
      </x:c>
      <x:c r="E177" t="inlineStr">
        <x:is>
          <x:t xml:space="preserve">코인 보너스</x:t>
        </x:is>
      </x:c>
      <x:c r="F177" t="n">
        <x:f>'밸런스 조정'!$C$8+D177*'밸런스 조정'!$D$8</x:f>
        <x:v>200</x:v>
      </x:c>
      <x:c r="G177" t="str">
        <x:v>percent</x:v>
      </x:c>
      <x:c r="H177" t="str">
        <x:v>Coin</x:v>
      </x:c>
      <x:c r="I177" t="n">
        <x:f>'밸런스 조정'!$E$8+(D177-1)*'밸런스 조정'!$F$8</x:f>
        <x:v>910</x:v>
      </x:c>
      <x:c r="J177" t="str">
        <x:v>획득 코인 증가</x:v>
      </x:c>
    </x:row>
    <x:row r="178">
      <x:c r="B178">
        <x:v>6</x:v>
      </x:c>
      <x:c r="C178" t="inlineStr">
        <x:is>
          <x:t xml:space="preserve">COIN_BONUS</x:t>
        </x:is>
      </x:c>
      <x:c r="D178">
        <x:v>26</x:v>
      </x:c>
      <x:c r="E178" t="inlineStr">
        <x:is>
          <x:t xml:space="preserve">코인 보너스</x:t>
        </x:is>
      </x:c>
      <x:c r="F178" t="n">
        <x:f>'밸런스 조정'!$C$8+D178*'밸런스 조정'!$D$8</x:f>
        <x:v>208</x:v>
      </x:c>
      <x:c r="G178" t="str">
        <x:v>percent</x:v>
      </x:c>
      <x:c r="H178" t="str">
        <x:v>Coin</x:v>
      </x:c>
      <x:c r="I178" t="n">
        <x:f>'밸런스 조정'!$E$8+(D178-1)*'밸런스 조정'!$F$8</x:f>
        <x:v>945</x:v>
      </x:c>
      <x:c r="J178" t="str">
        <x:v>획득 코인 증가</x:v>
      </x:c>
    </x:row>
    <x:row r="179">
      <x:c r="B179">
        <x:v>6</x:v>
      </x:c>
      <x:c r="C179" t="inlineStr">
        <x:is>
          <x:t xml:space="preserve">COIN_BONUS</x:t>
        </x:is>
      </x:c>
      <x:c r="D179">
        <x:v>27</x:v>
      </x:c>
      <x:c r="E179" t="inlineStr">
        <x:is>
          <x:t xml:space="preserve">코인 보너스</x:t>
        </x:is>
      </x:c>
      <x:c r="F179" t="n">
        <x:f>'밸런스 조정'!$C$8+D179*'밸런스 조정'!$D$8</x:f>
        <x:v>216</x:v>
      </x:c>
      <x:c r="G179" t="str">
        <x:v>percent</x:v>
      </x:c>
      <x:c r="H179" t="str">
        <x:v>Coin</x:v>
      </x:c>
      <x:c r="I179" t="n">
        <x:f>'밸런스 조정'!$E$8+(D179-1)*'밸런스 조정'!$F$8</x:f>
        <x:v>980</x:v>
      </x:c>
      <x:c r="J179" t="str">
        <x:v>획득 코인 증가</x:v>
      </x:c>
    </x:row>
    <x:row r="180">
      <x:c r="B180">
        <x:v>6</x:v>
      </x:c>
      <x:c r="C180" t="inlineStr">
        <x:is>
          <x:t xml:space="preserve">COIN_BONUS</x:t>
        </x:is>
      </x:c>
      <x:c r="D180">
        <x:v>28</x:v>
      </x:c>
      <x:c r="E180" t="inlineStr">
        <x:is>
          <x:t xml:space="preserve">코인 보너스</x:t>
        </x:is>
      </x:c>
      <x:c r="F180" t="n">
        <x:f>'밸런스 조정'!$C$8+D180*'밸런스 조정'!$D$8</x:f>
        <x:v>224</x:v>
      </x:c>
      <x:c r="G180" t="str">
        <x:v>percent</x:v>
      </x:c>
      <x:c r="H180" t="str">
        <x:v>Coin</x:v>
      </x:c>
      <x:c r="I180" t="n">
        <x:f>'밸런스 조정'!$E$8+(D180-1)*'밸런스 조정'!$F$8</x:f>
        <x:v>1015</x:v>
      </x:c>
      <x:c r="J180" t="str">
        <x:v>획득 코인 증가</x:v>
      </x:c>
    </x:row>
    <x:row r="181">
      <x:c r="B181">
        <x:v>6</x:v>
      </x:c>
      <x:c r="C181" t="inlineStr">
        <x:is>
          <x:t xml:space="preserve">COIN_BONUS</x:t>
        </x:is>
      </x:c>
      <x:c r="D181">
        <x:v>29</x:v>
      </x:c>
      <x:c r="E181" t="inlineStr">
        <x:is>
          <x:t xml:space="preserve">코인 보너스</x:t>
        </x:is>
      </x:c>
      <x:c r="F181" t="n">
        <x:f>'밸런스 조정'!$C$8+D181*'밸런스 조정'!$D$8</x:f>
        <x:v>232</x:v>
      </x:c>
      <x:c r="G181" t="str">
        <x:v>percent</x:v>
      </x:c>
      <x:c r="H181" t="str">
        <x:v>Coin</x:v>
      </x:c>
      <x:c r="I181" t="n">
        <x:f>'밸런스 조정'!$E$8+(D181-1)*'밸런스 조정'!$F$8</x:f>
        <x:v>1050</x:v>
      </x:c>
      <x:c r="J181" t="str">
        <x:v>획득 코인 증가</x:v>
      </x:c>
    </x:row>
    <x:row r="182">
      <x:c r="B182">
        <x:v>6</x:v>
      </x:c>
      <x:c r="C182" t="inlineStr">
        <x:is>
          <x:t xml:space="preserve">COIN_BONUS</x:t>
        </x:is>
      </x:c>
      <x:c r="D182">
        <x:v>30</x:v>
      </x:c>
      <x:c r="E182" t="inlineStr">
        <x:is>
          <x:t xml:space="preserve">코인 보너스</x:t>
        </x:is>
      </x:c>
      <x:c r="F182" t="n">
        <x:f>'밸런스 조정'!$C$8+D182*'밸런스 조정'!$D$8</x:f>
        <x:v>240</x:v>
      </x:c>
      <x:c r="G182" t="str">
        <x:v>percent</x:v>
      </x:c>
      <x:c r="H182" t="str">
        <x:v>Coin</x:v>
      </x:c>
      <x:c r="I182" t="n">
        <x:f>'밸런스 조정'!$E$8+(D182-1)*'밸런스 조정'!$F$8</x:f>
        <x:v>1085</x:v>
      </x:c>
      <x:c r="J182" t="str">
        <x:v>획득 코인 증가</x:v>
      </x:c>
    </x:row>
    <x:row r="183">
      <x:c r="B183">
        <x:v>7</x:v>
      </x:c>
      <x:c r="C183" t="inlineStr">
        <x:is>
          <x:t xml:space="preserve">HP_REGEN</x:t>
        </x:is>
      </x:c>
      <x:c r="D183">
        <x:v>1</x:v>
      </x:c>
      <x:c r="E183" t="inlineStr">
        <x:is>
          <x:t xml:space="preserve">체력 회복</x:t>
        </x:is>
      </x:c>
      <x:c r="F183" s="33" t="n">
        <x:f>'밸런스 조정'!$C$9+D183*'밸런스 조정'!$D$9</x:f>
        <x:v>0.1</x:v>
      </x:c>
      <x:c r="G183" t="str">
        <x:v>value</x:v>
      </x:c>
      <x:c r="H183" t="str">
        <x:v>Coin</x:v>
      </x:c>
      <x:c r="I183" t="n">
        <x:f>'밸런스 조정'!$E$9+(D183-1)*'밸런스 조정'!$F$9</x:f>
        <x:v>80</x:v>
      </x:c>
      <x:c r="J183" t="str">
        <x:v>초당 체력 회복</x:v>
      </x:c>
    </x:row>
    <x:row r="184">
      <x:c r="B184">
        <x:v>7</x:v>
      </x:c>
      <x:c r="C184" t="inlineStr">
        <x:is>
          <x:t xml:space="preserve">HP_REGEN</x:t>
        </x:is>
      </x:c>
      <x:c r="D184">
        <x:v>2</x:v>
      </x:c>
      <x:c r="E184" s="1" t="inlineStr">
        <x:is>
          <x:t xml:space="preserve">체력 회복</x:t>
        </x:is>
      </x:c>
      <x:c r="F184" s="33" t="n">
        <x:f>'밸런스 조정'!$C$9+D184*'밸런스 조정'!$D$9</x:f>
        <x:v>0.2</x:v>
      </x:c>
      <x:c r="G184" t="str">
        <x:v>value</x:v>
      </x:c>
      <x:c r="H184" t="str">
        <x:v>Coin</x:v>
      </x:c>
      <x:c r="I184" t="n">
        <x:f>'밸런스 조정'!$E$9+(D184-1)*'밸런스 조정'!$F$9</x:f>
        <x:v>115</x:v>
      </x:c>
      <x:c r="J184" t="str">
        <x:v>초당 체력 회복</x:v>
      </x:c>
    </x:row>
    <x:row r="185">
      <x:c r="B185">
        <x:v>7</x:v>
      </x:c>
      <x:c r="C185" t="inlineStr">
        <x:is>
          <x:t xml:space="preserve">HP_REGEN</x:t>
        </x:is>
      </x:c>
      <x:c r="D185">
        <x:v>3</x:v>
      </x:c>
      <x:c r="E185" s="1" t="inlineStr">
        <x:is>
          <x:t xml:space="preserve">체력 회복</x:t>
        </x:is>
      </x:c>
      <x:c r="F185" s="33" t="n">
        <x:f>'밸런스 조정'!$C$9+D185*'밸런스 조정'!$D$9</x:f>
        <x:v>0.30000000000000004</x:v>
      </x:c>
      <x:c r="G185" t="str">
        <x:v>value</x:v>
      </x:c>
      <x:c r="H185" t="str">
        <x:v>Coin</x:v>
      </x:c>
      <x:c r="I185" t="n">
        <x:f>'밸런스 조정'!$E$9+(D185-1)*'밸런스 조정'!$F$9</x:f>
        <x:v>150</x:v>
      </x:c>
      <x:c r="J185" t="str">
        <x:v>초당 체력 회복</x:v>
      </x:c>
    </x:row>
    <x:row r="186">
      <x:c r="B186">
        <x:v>7</x:v>
      </x:c>
      <x:c r="C186" t="inlineStr">
        <x:is>
          <x:t xml:space="preserve">HP_REGEN</x:t>
        </x:is>
      </x:c>
      <x:c r="D186">
        <x:v>4</x:v>
      </x:c>
      <x:c r="E186" s="1" t="inlineStr">
        <x:is>
          <x:t xml:space="preserve">체력 회복</x:t>
        </x:is>
      </x:c>
      <x:c r="F186" s="33" t="n">
        <x:f>'밸런스 조정'!$C$9+D186*'밸런스 조정'!$D$9</x:f>
        <x:v>0.4</x:v>
      </x:c>
      <x:c r="G186" t="str">
        <x:v>value</x:v>
      </x:c>
      <x:c r="H186" t="str">
        <x:v>Coin</x:v>
      </x:c>
      <x:c r="I186" t="n">
        <x:f>'밸런스 조정'!$E$9+(D186-1)*'밸런스 조정'!$F$9</x:f>
        <x:v>185</x:v>
      </x:c>
      <x:c r="J186" t="str">
        <x:v>초당 체력 회복</x:v>
      </x:c>
    </x:row>
    <x:row r="187">
      <x:c r="B187">
        <x:v>7</x:v>
      </x:c>
      <x:c r="C187" t="inlineStr">
        <x:is>
          <x:t xml:space="preserve">HP_REGEN</x:t>
        </x:is>
      </x:c>
      <x:c r="D187">
        <x:v>5</x:v>
      </x:c>
      <x:c r="E187" s="1" t="inlineStr">
        <x:is>
          <x:t xml:space="preserve">체력 회복</x:t>
        </x:is>
      </x:c>
      <x:c r="F187" s="33" t="n">
        <x:f>'밸런스 조정'!$C$9+D187*'밸런스 조정'!$D$9</x:f>
        <x:v>0.5</x:v>
      </x:c>
      <x:c r="G187" t="str">
        <x:v>value</x:v>
      </x:c>
      <x:c r="H187" t="str">
        <x:v>Coin</x:v>
      </x:c>
      <x:c r="I187" t="n">
        <x:f>'밸런스 조정'!$E$9+(D187-1)*'밸런스 조정'!$F$9</x:f>
        <x:v>220</x:v>
      </x:c>
      <x:c r="J187" t="str">
        <x:v>초당 체력 회복</x:v>
      </x:c>
    </x:row>
    <x:row r="188">
      <x:c r="B188">
        <x:v>7</x:v>
      </x:c>
      <x:c r="C188" t="inlineStr">
        <x:is>
          <x:t xml:space="preserve">HP_REGEN</x:t>
        </x:is>
      </x:c>
      <x:c r="D188">
        <x:v>6</x:v>
      </x:c>
      <x:c r="E188" s="1" t="inlineStr">
        <x:is>
          <x:t xml:space="preserve">체력 회복</x:t>
        </x:is>
      </x:c>
      <x:c r="F188" s="33" t="n">
        <x:f>'밸런스 조정'!$C$9+D188*'밸런스 조정'!$D$9</x:f>
        <x:v>0.6000000000000001</x:v>
      </x:c>
      <x:c r="G188" t="str">
        <x:v>value</x:v>
      </x:c>
      <x:c r="H188" t="str">
        <x:v>Coin</x:v>
      </x:c>
      <x:c r="I188" t="n">
        <x:f>'밸런스 조정'!$E$9+(D188-1)*'밸런스 조정'!$F$9</x:f>
        <x:v>255</x:v>
      </x:c>
      <x:c r="J188" t="str">
        <x:v>초당 체력 회복</x:v>
      </x:c>
    </x:row>
    <x:row r="189">
      <x:c r="B189">
        <x:v>7</x:v>
      </x:c>
      <x:c r="C189" t="inlineStr">
        <x:is>
          <x:t xml:space="preserve">HP_REGEN</x:t>
        </x:is>
      </x:c>
      <x:c r="D189">
        <x:v>7</x:v>
      </x:c>
      <x:c r="E189" s="1" t="inlineStr">
        <x:is>
          <x:t xml:space="preserve">체력 회복</x:t>
        </x:is>
      </x:c>
      <x:c r="F189" s="33" t="n">
        <x:f>'밸런스 조정'!$C$9+D189*'밸런스 조정'!$D$9</x:f>
        <x:v>0.7000000000000001</x:v>
      </x:c>
      <x:c r="G189" t="str">
        <x:v>value</x:v>
      </x:c>
      <x:c r="H189" t="str">
        <x:v>Coin</x:v>
      </x:c>
      <x:c r="I189" t="n">
        <x:f>'밸런스 조정'!$E$9+(D189-1)*'밸런스 조정'!$F$9</x:f>
        <x:v>290</x:v>
      </x:c>
      <x:c r="J189" t="str">
        <x:v>초당 체력 회복</x:v>
      </x:c>
    </x:row>
    <x:row r="190">
      <x:c r="B190">
        <x:v>7</x:v>
      </x:c>
      <x:c r="C190" t="inlineStr">
        <x:is>
          <x:t xml:space="preserve">HP_REGEN</x:t>
        </x:is>
      </x:c>
      <x:c r="D190">
        <x:v>8</x:v>
      </x:c>
      <x:c r="E190" s="1" t="inlineStr">
        <x:is>
          <x:t xml:space="preserve">체력 회복</x:t>
        </x:is>
      </x:c>
      <x:c r="F190" s="33" t="n">
        <x:f>'밸런스 조정'!$C$9+D190*'밸런스 조정'!$D$9</x:f>
        <x:v>0.8</x:v>
      </x:c>
      <x:c r="G190" t="str">
        <x:v>value</x:v>
      </x:c>
      <x:c r="H190" t="str">
        <x:v>Coin</x:v>
      </x:c>
      <x:c r="I190" t="n">
        <x:f>'밸런스 조정'!$E$9+(D190-1)*'밸런스 조정'!$F$9</x:f>
        <x:v>325</x:v>
      </x:c>
      <x:c r="J190" t="str">
        <x:v>초당 체력 회복</x:v>
      </x:c>
    </x:row>
    <x:row r="191">
      <x:c r="B191">
        <x:v>7</x:v>
      </x:c>
      <x:c r="C191" t="inlineStr">
        <x:is>
          <x:t xml:space="preserve">HP_REGEN</x:t>
        </x:is>
      </x:c>
      <x:c r="D191">
        <x:v>9</x:v>
      </x:c>
      <x:c r="E191" s="1" t="inlineStr">
        <x:is>
          <x:t xml:space="preserve">체력 회복</x:t>
        </x:is>
      </x:c>
      <x:c r="F191" s="33" t="n">
        <x:f>'밸런스 조정'!$C$9+D191*'밸런스 조정'!$D$9</x:f>
        <x:v>0.9</x:v>
      </x:c>
      <x:c r="G191" t="str">
        <x:v>value</x:v>
      </x:c>
      <x:c r="H191" t="str">
        <x:v>Coin</x:v>
      </x:c>
      <x:c r="I191" t="n">
        <x:f>'밸런스 조정'!$E$9+(D191-1)*'밸런스 조정'!$F$9</x:f>
        <x:v>360</x:v>
      </x:c>
      <x:c r="J191" t="str">
        <x:v>초당 체력 회복</x:v>
      </x:c>
    </x:row>
    <x:row r="192">
      <x:c r="B192">
        <x:v>7</x:v>
      </x:c>
      <x:c r="C192" t="inlineStr">
        <x:is>
          <x:t xml:space="preserve">HP_REGEN</x:t>
        </x:is>
      </x:c>
      <x:c r="D192">
        <x:v>10</x:v>
      </x:c>
      <x:c r="E192" s="1" t="inlineStr">
        <x:is>
          <x:t xml:space="preserve">체력 회복</x:t>
        </x:is>
      </x:c>
      <x:c r="F192" s="33" t="n">
        <x:f>'밸런스 조정'!$C$9+D192*'밸런스 조정'!$D$9</x:f>
        <x:v>1</x:v>
      </x:c>
      <x:c r="G192" t="str">
        <x:v>value</x:v>
      </x:c>
      <x:c r="H192" t="str">
        <x:v>Coin</x:v>
      </x:c>
      <x:c r="I192" t="n">
        <x:f>'밸런스 조정'!$E$9+(D192-1)*'밸런스 조정'!$F$9</x:f>
        <x:v>395</x:v>
      </x:c>
      <x:c r="J192" t="str">
        <x:v>초당 체력 회복</x:v>
      </x:c>
    </x:row>
    <x:row r="193">
      <x:c r="B193">
        <x:v>7</x:v>
      </x:c>
      <x:c r="C193" t="inlineStr">
        <x:is>
          <x:t xml:space="preserve">HP_REGEN</x:t>
        </x:is>
      </x:c>
      <x:c r="D193">
        <x:v>11</x:v>
      </x:c>
      <x:c r="E193" s="1" t="inlineStr">
        <x:is>
          <x:t xml:space="preserve">체력 회복</x:t>
        </x:is>
      </x:c>
      <x:c r="F193" s="33" t="n">
        <x:f>'밸런스 조정'!$C$9+D193*'밸런스 조정'!$D$9</x:f>
        <x:v>1.1</x:v>
      </x:c>
      <x:c r="G193" t="str">
        <x:v>value</x:v>
      </x:c>
      <x:c r="H193" t="str">
        <x:v>Coin</x:v>
      </x:c>
      <x:c r="I193" t="n">
        <x:f>'밸런스 조정'!$E$9+(D193-1)*'밸런스 조정'!$F$9</x:f>
        <x:v>430</x:v>
      </x:c>
      <x:c r="J193" t="str">
        <x:v>초당 체력 회복</x:v>
      </x:c>
    </x:row>
    <x:row r="194">
      <x:c r="B194">
        <x:v>7</x:v>
      </x:c>
      <x:c r="C194" t="inlineStr">
        <x:is>
          <x:t xml:space="preserve">HP_REGEN</x:t>
        </x:is>
      </x:c>
      <x:c r="D194">
        <x:v>12</x:v>
      </x:c>
      <x:c r="E194" s="1" t="inlineStr">
        <x:is>
          <x:t xml:space="preserve">체력 회복</x:t>
        </x:is>
      </x:c>
      <x:c r="F194" s="33" t="n">
        <x:f>'밸런스 조정'!$C$9+D194*'밸런스 조정'!$D$9</x:f>
        <x:v>1.2000000000000002</x:v>
      </x:c>
      <x:c r="G194" t="str">
        <x:v>value</x:v>
      </x:c>
      <x:c r="H194" t="str">
        <x:v>Coin</x:v>
      </x:c>
      <x:c r="I194" t="n">
        <x:f>'밸런스 조정'!$E$9+(D194-1)*'밸런스 조정'!$F$9</x:f>
        <x:v>465</x:v>
      </x:c>
      <x:c r="J194" t="str">
        <x:v>초당 체력 회복</x:v>
      </x:c>
    </x:row>
    <x:row r="195">
      <x:c r="B195">
        <x:v>7</x:v>
      </x:c>
      <x:c r="C195" t="inlineStr">
        <x:is>
          <x:t xml:space="preserve">HP_REGEN</x:t>
        </x:is>
      </x:c>
      <x:c r="D195">
        <x:v>13</x:v>
      </x:c>
      <x:c r="E195" s="1" t="inlineStr">
        <x:is>
          <x:t xml:space="preserve">체력 회복</x:t>
        </x:is>
      </x:c>
      <x:c r="F195" s="33" t="n">
        <x:f>'밸런스 조정'!$C$9+D195*'밸런스 조정'!$D$9</x:f>
        <x:v>1.3</x:v>
      </x:c>
      <x:c r="G195" t="str">
        <x:v>value</x:v>
      </x:c>
      <x:c r="H195" t="str">
        <x:v>Coin</x:v>
      </x:c>
      <x:c r="I195" t="n">
        <x:f>'밸런스 조정'!$E$9+(D195-1)*'밸런스 조정'!$F$9</x:f>
        <x:v>500</x:v>
      </x:c>
      <x:c r="J195" t="str">
        <x:v>초당 체력 회복</x:v>
      </x:c>
    </x:row>
    <x:row r="196">
      <x:c r="B196">
        <x:v>7</x:v>
      </x:c>
      <x:c r="C196" t="inlineStr">
        <x:is>
          <x:t xml:space="preserve">HP_REGEN</x:t>
        </x:is>
      </x:c>
      <x:c r="D196">
        <x:v>14</x:v>
      </x:c>
      <x:c r="E196" s="1" t="inlineStr">
        <x:is>
          <x:t xml:space="preserve">체력 회복</x:t>
        </x:is>
      </x:c>
      <x:c r="F196" s="33" t="n">
        <x:f>'밸런스 조정'!$C$9+D196*'밸런스 조정'!$D$9</x:f>
        <x:v>1.4000000000000001</x:v>
      </x:c>
      <x:c r="G196" t="str">
        <x:v>value</x:v>
      </x:c>
      <x:c r="H196" t="str">
        <x:v>Coin</x:v>
      </x:c>
      <x:c r="I196" t="n">
        <x:f>'밸런스 조정'!$E$9+(D196-1)*'밸런스 조정'!$F$9</x:f>
        <x:v>535</x:v>
      </x:c>
      <x:c r="J196" t="str">
        <x:v>초당 체력 회복</x:v>
      </x:c>
    </x:row>
    <x:row r="197">
      <x:c r="B197">
        <x:v>7</x:v>
      </x:c>
      <x:c r="C197" t="inlineStr">
        <x:is>
          <x:t xml:space="preserve">HP_REGEN</x:t>
        </x:is>
      </x:c>
      <x:c r="D197">
        <x:v>15</x:v>
      </x:c>
      <x:c r="E197" s="1" t="inlineStr">
        <x:is>
          <x:t xml:space="preserve">체력 회복</x:t>
        </x:is>
      </x:c>
      <x:c r="F197" s="33" t="n">
        <x:f>'밸런스 조정'!$C$9+D197*'밸런스 조정'!$D$9</x:f>
        <x:v>1.5</x:v>
      </x:c>
      <x:c r="G197" t="str">
        <x:v>value</x:v>
      </x:c>
      <x:c r="H197" t="str">
        <x:v>Coin</x:v>
      </x:c>
      <x:c r="I197" t="n">
        <x:f>'밸런스 조정'!$E$9+(D197-1)*'밸런스 조정'!$F$9</x:f>
        <x:v>570</x:v>
      </x:c>
      <x:c r="J197" t="str">
        <x:v>초당 체력 회복</x:v>
      </x:c>
    </x:row>
    <x:row r="198">
      <x:c r="B198">
        <x:v>7</x:v>
      </x:c>
      <x:c r="C198" t="inlineStr">
        <x:is>
          <x:t xml:space="preserve">HP_REGEN</x:t>
        </x:is>
      </x:c>
      <x:c r="D198">
        <x:v>16</x:v>
      </x:c>
      <x:c r="E198" s="1" t="inlineStr">
        <x:is>
          <x:t xml:space="preserve">체력 회복</x:t>
        </x:is>
      </x:c>
      <x:c r="F198" s="33" t="n">
        <x:f>'밸런스 조정'!$C$9+D198*'밸런스 조정'!$D$9</x:f>
        <x:v>1.6</x:v>
      </x:c>
      <x:c r="G198" t="str">
        <x:v>value</x:v>
      </x:c>
      <x:c r="H198" t="str">
        <x:v>Coin</x:v>
      </x:c>
      <x:c r="I198" t="n">
        <x:f>'밸런스 조정'!$E$9+(D198-1)*'밸런스 조정'!$F$9</x:f>
        <x:v>605</x:v>
      </x:c>
      <x:c r="J198" t="str">
        <x:v>초당 체력 회복</x:v>
      </x:c>
    </x:row>
    <x:row r="199">
      <x:c r="B199">
        <x:v>7</x:v>
      </x:c>
      <x:c r="C199" t="inlineStr">
        <x:is>
          <x:t xml:space="preserve">HP_REGEN</x:t>
        </x:is>
      </x:c>
      <x:c r="D199">
        <x:v>17</x:v>
      </x:c>
      <x:c r="E199" s="1" t="inlineStr">
        <x:is>
          <x:t xml:space="preserve">체력 회복</x:t>
        </x:is>
      </x:c>
      <x:c r="F199" s="33" t="n">
        <x:f>'밸런스 조정'!$C$9+D199*'밸런스 조정'!$D$9</x:f>
        <x:v>1.7000000000000002</x:v>
      </x:c>
      <x:c r="G199" t="str">
        <x:v>value</x:v>
      </x:c>
      <x:c r="H199" t="str">
        <x:v>Coin</x:v>
      </x:c>
      <x:c r="I199" t="n">
        <x:f>'밸런스 조정'!$E$9+(D199-1)*'밸런스 조정'!$F$9</x:f>
        <x:v>640</x:v>
      </x:c>
      <x:c r="J199" t="str">
        <x:v>초당 체력 회복</x:v>
      </x:c>
    </x:row>
    <x:row r="200">
      <x:c r="B200">
        <x:v>7</x:v>
      </x:c>
      <x:c r="C200" t="inlineStr">
        <x:is>
          <x:t xml:space="preserve">HP_REGEN</x:t>
        </x:is>
      </x:c>
      <x:c r="D200">
        <x:v>18</x:v>
      </x:c>
      <x:c r="E200" s="1" t="inlineStr">
        <x:is>
          <x:t xml:space="preserve">체력 회복</x:t>
        </x:is>
      </x:c>
      <x:c r="F200" s="33" t="n">
        <x:f>'밸런스 조정'!$C$9+D200*'밸런스 조정'!$D$9</x:f>
        <x:v>1.8</x:v>
      </x:c>
      <x:c r="G200" t="str">
        <x:v>value</x:v>
      </x:c>
      <x:c r="H200" t="str">
        <x:v>Coin</x:v>
      </x:c>
      <x:c r="I200" t="n">
        <x:f>'밸런스 조정'!$E$9+(D200-1)*'밸런스 조정'!$F$9</x:f>
        <x:v>675</x:v>
      </x:c>
      <x:c r="J200" t="str">
        <x:v>초당 체력 회복</x:v>
      </x:c>
    </x:row>
    <x:row r="201">
      <x:c r="B201">
        <x:v>7</x:v>
      </x:c>
      <x:c r="C201" t="inlineStr">
        <x:is>
          <x:t xml:space="preserve">HP_REGEN</x:t>
        </x:is>
      </x:c>
      <x:c r="D201">
        <x:v>19</x:v>
      </x:c>
      <x:c r="E201" s="1" t="inlineStr">
        <x:is>
          <x:t xml:space="preserve">체력 회복</x:t>
        </x:is>
      </x:c>
      <x:c r="F201" s="33" t="n">
        <x:f>'밸런스 조정'!$C$9+D201*'밸런스 조정'!$D$9</x:f>
        <x:v>1.9000000000000001</x:v>
      </x:c>
      <x:c r="G201" t="str">
        <x:v>value</x:v>
      </x:c>
      <x:c r="H201" t="str">
        <x:v>Coin</x:v>
      </x:c>
      <x:c r="I201" t="n">
        <x:f>'밸런스 조정'!$E$9+(D201-1)*'밸런스 조정'!$F$9</x:f>
        <x:v>710</x:v>
      </x:c>
      <x:c r="J201" t="str">
        <x:v>초당 체력 회복</x:v>
      </x:c>
    </x:row>
    <x:row r="202">
      <x:c r="B202">
        <x:v>7</x:v>
      </x:c>
      <x:c r="C202" t="inlineStr">
        <x:is>
          <x:t xml:space="preserve">HP_REGEN</x:t>
        </x:is>
      </x:c>
      <x:c r="D202">
        <x:v>20</x:v>
      </x:c>
      <x:c r="E202" s="1" t="inlineStr">
        <x:is>
          <x:t xml:space="preserve">체력 회복</x:t>
        </x:is>
      </x:c>
      <x:c r="F202" s="33" t="n">
        <x:f>'밸런스 조정'!$C$9+D202*'밸런스 조정'!$D$9</x:f>
        <x:v>2</x:v>
      </x:c>
      <x:c r="G202" t="str">
        <x:v>value</x:v>
      </x:c>
      <x:c r="H202" t="str">
        <x:v>Coin</x:v>
      </x:c>
      <x:c r="I202" t="n">
        <x:f>'밸런스 조정'!$E$9+(D202-1)*'밸런스 조정'!$F$9</x:f>
        <x:v>745</x:v>
      </x:c>
      <x:c r="J202" t="str">
        <x:v>초당 체력 회복</x:v>
      </x:c>
    </x:row>
    <x:row r="203">
      <x:c r="B203">
        <x:v>8</x:v>
      </x:c>
      <x:c r="C203" t="inlineStr">
        <x:is>
          <x:t xml:space="preserve">TUNGTUNGTUNG</x:t>
        </x:is>
      </x:c>
      <x:c r="D203">
        <x:v>1</x:v>
      </x:c>
      <x:c r="E203" t="inlineStr">
        <x:is>
          <x:t xml:space="preserve">퉁퉁퉁 사후르</x:t>
        </x:is>
      </x:c>
      <x:c r="F203" t="n">
        <x:f>'밸런스 조정'!$C$10+D203*'밸런스 조정'!$D$10</x:f>
        <x:v>100</x:v>
      </x:c>
      <x:c r="G203" t="str">
        <x:v>percent</x:v>
      </x:c>
      <x:c r="H203" t="str">
        <x:v>Coin</x:v>
      </x:c>
      <x:c r="I203" t="n">
        <x:f>'밸런스 조정'!$E$10+(D203-1)*'밸런스 조정'!$F$10</x:f>
        <x:v>450</x:v>
      </x:c>
      <x:c r="J203" t="str">
        <x:v>퉁퉁퉁 한 명 · 플레이어 체력 비율</x:v>
      </x:c>
    </x:row>
    <x:row r="204">
      <x:c r="B204">
        <x:v>8</x:v>
      </x:c>
      <x:c r="C204" t="inlineStr">
        <x:is>
          <x:t xml:space="preserve">TUNGTUNGTUNG</x:t>
        </x:is>
      </x:c>
      <x:c r="D204">
        <x:v>2</x:v>
      </x:c>
      <x:c r="E204" t="inlineStr">
        <x:is>
          <x:t xml:space="preserve">퉁퉁퉁 사후르</x:t>
        </x:is>
      </x:c>
      <x:c r="F204" t="n">
        <x:f>'밸런스 조정'!$C$10+D204*'밸런스 조정'!$D$10</x:f>
        <x:v>105</x:v>
      </x:c>
      <x:c r="G204" t="str">
        <x:v>percent</x:v>
      </x:c>
      <x:c r="H204" t="str">
        <x:v>Coin</x:v>
      </x:c>
      <x:c r="I204" t="n">
        <x:f>'밸런스 조정'!$E$10+(D204-1)*'밸런스 조정'!$F$10</x:f>
        <x:v>570</x:v>
      </x:c>
      <x:c r="J204" t="str">
        <x:v>퉁퉁퉁 한 명 · 플레이어 체력 비율</x:v>
      </x:c>
    </x:row>
    <x:row r="205">
      <x:c r="B205">
        <x:v>8</x:v>
      </x:c>
      <x:c r="C205" t="inlineStr">
        <x:is>
          <x:t xml:space="preserve">TUNGTUNGTUNG</x:t>
        </x:is>
      </x:c>
      <x:c r="D205">
        <x:v>3</x:v>
      </x:c>
      <x:c r="E205" t="inlineStr">
        <x:is>
          <x:t xml:space="preserve">퉁퉁퉁 사후르</x:t>
        </x:is>
      </x:c>
      <x:c r="F205" t="n">
        <x:f>'밸런스 조정'!$C$10+D205*'밸런스 조정'!$D$10</x:f>
        <x:v>110</x:v>
      </x:c>
      <x:c r="G205" t="str">
        <x:v>percent</x:v>
      </x:c>
      <x:c r="H205" t="str">
        <x:v>Coin</x:v>
      </x:c>
      <x:c r="I205" t="n">
        <x:f>'밸런스 조정'!$E$10+(D205-1)*'밸런스 조정'!$F$10</x:f>
        <x:v>690</x:v>
      </x:c>
      <x:c r="J205" t="str">
        <x:v>퉁퉁퉁 한 명 · 플레이어 체력 비율</x:v>
      </x:c>
    </x:row>
    <x:row r="206">
      <x:c r="B206">
        <x:v>8</x:v>
      </x:c>
      <x:c r="C206" t="inlineStr">
        <x:is>
          <x:t xml:space="preserve">TUNGTUNGTUNG</x:t>
        </x:is>
      </x:c>
      <x:c r="D206">
        <x:v>4</x:v>
      </x:c>
      <x:c r="E206" t="inlineStr">
        <x:is>
          <x:t xml:space="preserve">퉁퉁퉁 사후르</x:t>
        </x:is>
      </x:c>
      <x:c r="F206" t="n">
        <x:f>'밸런스 조정'!$C$10+D206*'밸런스 조정'!$D$10</x:f>
        <x:v>115</x:v>
      </x:c>
      <x:c r="G206" t="str">
        <x:v>percent</x:v>
      </x:c>
      <x:c r="H206" t="str">
        <x:v>Coin</x:v>
      </x:c>
      <x:c r="I206" t="n">
        <x:f>'밸런스 조정'!$E$10+(D206-1)*'밸런스 조정'!$F$10</x:f>
        <x:v>810</x:v>
      </x:c>
      <x:c r="J206" t="str">
        <x:v>퉁퉁퉁 한 명 · 플레이어 체력 비율</x:v>
      </x:c>
    </x:row>
    <x:row r="207">
      <x:c r="B207">
        <x:v>8</x:v>
      </x:c>
      <x:c r="C207" t="inlineStr">
        <x:is>
          <x:t xml:space="preserve">TUNGTUNGTUNG</x:t>
        </x:is>
      </x:c>
      <x:c r="D207">
        <x:v>5</x:v>
      </x:c>
      <x:c r="E207" t="inlineStr">
        <x:is>
          <x:t xml:space="preserve">퉁퉁퉁 사후르</x:t>
        </x:is>
      </x:c>
      <x:c r="F207" t="n">
        <x:f>'밸런스 조정'!$C$10+D207*'밸런스 조정'!$D$10</x:f>
        <x:v>120</x:v>
      </x:c>
      <x:c r="G207" t="str">
        <x:v>percent</x:v>
      </x:c>
      <x:c r="H207" t="str">
        <x:v>Coin</x:v>
      </x:c>
      <x:c r="I207" t="n">
        <x:f>'밸런스 조정'!$E$10+(D207-1)*'밸런스 조정'!$F$10</x:f>
        <x:v>930</x:v>
      </x:c>
      <x:c r="J207" t="str">
        <x:v>퉁퉁퉁 한 명 · 플레이어 체력 비율</x:v>
      </x:c>
    </x:row>
    <x:row r="208">
      <x:c r="B208">
        <x:v>8</x:v>
      </x:c>
      <x:c r="C208" t="inlineStr">
        <x:is>
          <x:t xml:space="preserve">TUNGTUNGTUNG</x:t>
        </x:is>
      </x:c>
      <x:c r="D208">
        <x:v>6</x:v>
      </x:c>
      <x:c r="E208" t="inlineStr">
        <x:is>
          <x:t xml:space="preserve">퉁퉁퉁 사후르</x:t>
        </x:is>
      </x:c>
      <x:c r="F208" t="n">
        <x:f>'밸런스 조정'!$C$10+D208*'밸런스 조정'!$D$10</x:f>
        <x:v>125</x:v>
      </x:c>
      <x:c r="G208" t="str">
        <x:v>percent</x:v>
      </x:c>
      <x:c r="H208" t="str">
        <x:v>Coin</x:v>
      </x:c>
      <x:c r="I208" t="n">
        <x:f>'밸런스 조정'!$E$10+(D208-1)*'밸런스 조정'!$F$10</x:f>
        <x:v>1050</x:v>
      </x:c>
      <x:c r="J208" t="str">
        <x:v>퉁퉁퉁 한 명 · 플레이어 체력 비율</x:v>
      </x:c>
    </x:row>
    <x:row r="209">
      <x:c r="B209">
        <x:v>8</x:v>
      </x:c>
      <x:c r="C209" t="inlineStr">
        <x:is>
          <x:t xml:space="preserve">TUNGTUNGTUNG</x:t>
        </x:is>
      </x:c>
      <x:c r="D209">
        <x:v>7</x:v>
      </x:c>
      <x:c r="E209" t="inlineStr">
        <x:is>
          <x:t xml:space="preserve">퉁퉁퉁 사후르</x:t>
        </x:is>
      </x:c>
      <x:c r="F209" t="n">
        <x:f>'밸런스 조정'!$C$10+D209*'밸런스 조정'!$D$10</x:f>
        <x:v>130</x:v>
      </x:c>
      <x:c r="G209" t="str">
        <x:v>percent</x:v>
      </x:c>
      <x:c r="H209" t="str">
        <x:v>Coin</x:v>
      </x:c>
      <x:c r="I209" t="n">
        <x:f>'밸런스 조정'!$E$10+(D209-1)*'밸런스 조정'!$F$10</x:f>
        <x:v>1170</x:v>
      </x:c>
      <x:c r="J209" t="str">
        <x:v>퉁퉁퉁 한 명 · 플레이어 체력 비율</x:v>
      </x:c>
    </x:row>
    <x:row r="210">
      <x:c r="B210">
        <x:v>8</x:v>
      </x:c>
      <x:c r="C210" t="inlineStr">
        <x:is>
          <x:t xml:space="preserve">TUNGTUNGTUNG</x:t>
        </x:is>
      </x:c>
      <x:c r="D210">
        <x:v>8</x:v>
      </x:c>
      <x:c r="E210" t="inlineStr">
        <x:is>
          <x:t xml:space="preserve">퉁퉁퉁 사후르</x:t>
        </x:is>
      </x:c>
      <x:c r="F210" t="n">
        <x:f>'밸런스 조정'!$C$10+D210*'밸런스 조정'!$D$10</x:f>
        <x:v>135</x:v>
      </x:c>
      <x:c r="G210" t="str">
        <x:v>percent</x:v>
      </x:c>
      <x:c r="H210" t="str">
        <x:v>Coin</x:v>
      </x:c>
      <x:c r="I210" t="n">
        <x:f>'밸런스 조정'!$E$10+(D210-1)*'밸런스 조정'!$F$10</x:f>
        <x:v>1290</x:v>
      </x:c>
      <x:c r="J210" t="str">
        <x:v>퉁퉁퉁 한 명 · 플레이어 체력 비율</x:v>
      </x:c>
    </x:row>
    <x:row r="211">
      <x:c r="B211">
        <x:v>8</x:v>
      </x:c>
      <x:c r="C211" t="inlineStr">
        <x:is>
          <x:t xml:space="preserve">TUNGTUNGTUNG</x:t>
        </x:is>
      </x:c>
      <x:c r="D211">
        <x:v>9</x:v>
      </x:c>
      <x:c r="E211" t="inlineStr">
        <x:is>
          <x:t xml:space="preserve">퉁퉁퉁 사후르</x:t>
        </x:is>
      </x:c>
      <x:c r="F211" t="n">
        <x:f>'밸런스 조정'!$C$10+D211*'밸런스 조정'!$D$10</x:f>
        <x:v>140</x:v>
      </x:c>
      <x:c r="G211" t="str">
        <x:v>percent</x:v>
      </x:c>
      <x:c r="H211" t="str">
        <x:v>Coin</x:v>
      </x:c>
      <x:c r="I211" t="n">
        <x:f>'밸런스 조정'!$E$10+(D211-1)*'밸런스 조정'!$F$10</x:f>
        <x:v>1410</x:v>
      </x:c>
      <x:c r="J211" t="str">
        <x:v>퉁퉁퉁 한 명 · 플레이어 체력 비율</x:v>
      </x:c>
    </x:row>
    <x:row r="212">
      <x:c r="B212">
        <x:v>8</x:v>
      </x:c>
      <x:c r="C212" t="inlineStr">
        <x:is>
          <x:t xml:space="preserve">TUNGTUNGTUNG</x:t>
        </x:is>
      </x:c>
      <x:c r="D212">
        <x:v>10</x:v>
      </x:c>
      <x:c r="E212" t="inlineStr">
        <x:is>
          <x:t xml:space="preserve">퉁퉁퉁 사후르</x:t>
        </x:is>
      </x:c>
      <x:c r="F212" t="n">
        <x:f>'밸런스 조정'!$C$10+D212*'밸런스 조정'!$D$10</x:f>
        <x:v>145</x:v>
      </x:c>
      <x:c r="G212" t="str">
        <x:v>percent</x:v>
      </x:c>
      <x:c r="H212" t="str">
        <x:v>Coin</x:v>
      </x:c>
      <x:c r="I212" t="n">
        <x:f>'밸런스 조정'!$E$10+(D212-1)*'밸런스 조정'!$F$10</x:f>
        <x:v>1530</x:v>
      </x:c>
      <x:c r="J212" t="str">
        <x:v>퉁퉁퉁 한 명 · 플레이어 체력 비율</x:v>
      </x:c>
    </x:row>
    <x:row r="213">
      <x:c r="B213">
        <x:v>8</x:v>
      </x:c>
      <x:c r="C213" t="inlineStr">
        <x:is>
          <x:t xml:space="preserve">TUNGTUNGTUNG</x:t>
        </x:is>
      </x:c>
      <x:c r="D213">
        <x:v>11</x:v>
      </x:c>
      <x:c r="E213" t="inlineStr">
        <x:is>
          <x:t xml:space="preserve">퉁퉁퉁 사후르</x:t>
        </x:is>
      </x:c>
      <x:c r="F213" t="n">
        <x:f>'밸런스 조정'!$C$10+D213*'밸런스 조정'!$D$10</x:f>
        <x:v>150</x:v>
      </x:c>
      <x:c r="G213" t="str">
        <x:v>percent</x:v>
      </x:c>
      <x:c r="H213" t="str">
        <x:v>Coin</x:v>
      </x:c>
      <x:c r="I213" t="n">
        <x:f>'밸런스 조정'!$E$10+(D213-1)*'밸런스 조정'!$F$10</x:f>
        <x:v>1650</x:v>
      </x:c>
      <x:c r="J213" t="str">
        <x:v>퉁퉁퉁 한 명 · 플레이어 체력 비율</x:v>
      </x:c>
    </x:row>
    <x:row r="214">
      <x:c r="B214">
        <x:v>8</x:v>
      </x:c>
      <x:c r="C214" t="inlineStr">
        <x:is>
          <x:t xml:space="preserve">TUNGTUNGTUNG</x:t>
        </x:is>
      </x:c>
      <x:c r="D214">
        <x:v>12</x:v>
      </x:c>
      <x:c r="E214" t="inlineStr">
        <x:is>
          <x:t xml:space="preserve">퉁퉁퉁 사후르</x:t>
        </x:is>
      </x:c>
      <x:c r="F214" t="n">
        <x:f>'밸런스 조정'!$C$10+D214*'밸런스 조정'!$D$10</x:f>
        <x:v>155</x:v>
      </x:c>
      <x:c r="G214" t="str">
        <x:v>percent</x:v>
      </x:c>
      <x:c r="H214" t="str">
        <x:v>Coin</x:v>
      </x:c>
      <x:c r="I214" t="n">
        <x:f>'밸런스 조정'!$E$10+(D214-1)*'밸런스 조정'!$F$10</x:f>
        <x:v>1770</x:v>
      </x:c>
      <x:c r="J214" t="str">
        <x:v>퉁퉁퉁 한 명 · 플레이어 체력 비율</x:v>
      </x:c>
    </x:row>
    <x:row r="215">
      <x:c r="B215">
        <x:v>8</x:v>
      </x:c>
      <x:c r="C215" t="inlineStr">
        <x:is>
          <x:t xml:space="preserve">TUNGTUNGTUNG</x:t>
        </x:is>
      </x:c>
      <x:c r="D215">
        <x:v>13</x:v>
      </x:c>
      <x:c r="E215" t="inlineStr">
        <x:is>
          <x:t xml:space="preserve">퉁퉁퉁 사후르</x:t>
        </x:is>
      </x:c>
      <x:c r="F215" t="n">
        <x:f>'밸런스 조정'!$C$10+D215*'밸런스 조정'!$D$10</x:f>
        <x:v>160</x:v>
      </x:c>
      <x:c r="G215" t="str">
        <x:v>percent</x:v>
      </x:c>
      <x:c r="H215" t="str">
        <x:v>Coin</x:v>
      </x:c>
      <x:c r="I215" t="n">
        <x:f>'밸런스 조정'!$E$10+(D215-1)*'밸런스 조정'!$F$10</x:f>
        <x:v>1890</x:v>
      </x:c>
      <x:c r="J215" t="str">
        <x:v>퉁퉁퉁 한 명 · 플레이어 체력 비율</x:v>
      </x:c>
    </x:row>
    <x:row r="216">
      <x:c r="B216">
        <x:v>8</x:v>
      </x:c>
      <x:c r="C216" t="inlineStr">
        <x:is>
          <x:t xml:space="preserve">TUNGTUNGTUNG</x:t>
        </x:is>
      </x:c>
      <x:c r="D216">
        <x:v>14</x:v>
      </x:c>
      <x:c r="E216" t="inlineStr">
        <x:is>
          <x:t xml:space="preserve">퉁퉁퉁 사후르</x:t>
        </x:is>
      </x:c>
      <x:c r="F216" t="n">
        <x:f>'밸런스 조정'!$C$10+D216*'밸런스 조정'!$D$10</x:f>
        <x:v>165</x:v>
      </x:c>
      <x:c r="G216" t="str">
        <x:v>percent</x:v>
      </x:c>
      <x:c r="H216" t="str">
        <x:v>Coin</x:v>
      </x:c>
      <x:c r="I216" t="n">
        <x:f>'밸런스 조정'!$E$10+(D216-1)*'밸런스 조정'!$F$10</x:f>
        <x:v>2010</x:v>
      </x:c>
      <x:c r="J216" t="str">
        <x:v>퉁퉁퉁 한 명 · 플레이어 체력 비율</x:v>
      </x:c>
    </x:row>
    <x:row r="217">
      <x:c r="B217">
        <x:v>8</x:v>
      </x:c>
      <x:c r="C217" t="inlineStr">
        <x:is>
          <x:t xml:space="preserve">TUNGTUNGTUNG</x:t>
        </x:is>
      </x:c>
      <x:c r="D217">
        <x:v>15</x:v>
      </x:c>
      <x:c r="E217" t="inlineStr">
        <x:is>
          <x:t xml:space="preserve">퉁퉁퉁 사후르</x:t>
        </x:is>
      </x:c>
      <x:c r="F217" t="n">
        <x:f>'밸런스 조정'!$C$10+D217*'밸런스 조정'!$D$10</x:f>
        <x:v>170</x:v>
      </x:c>
      <x:c r="G217" t="str">
        <x:v>percent</x:v>
      </x:c>
      <x:c r="H217" t="str">
        <x:v>Coin</x:v>
      </x:c>
      <x:c r="I217" t="n">
        <x:f>'밸런스 조정'!$E$10+(D217-1)*'밸런스 조정'!$F$10</x:f>
        <x:v>2130</x:v>
      </x:c>
      <x:c r="J217" t="str">
        <x:v>퉁퉁퉁 한 명 · 플레이어 체력 비율</x:v>
      </x:c>
    </x:row>
    <x:row r="218">
      <x:c r="B218">
        <x:v>8</x:v>
      </x:c>
      <x:c r="C218" t="inlineStr">
        <x:is>
          <x:t xml:space="preserve">TUNGTUNGTUNG</x:t>
        </x:is>
      </x:c>
      <x:c r="D218">
        <x:v>16</x:v>
      </x:c>
      <x:c r="E218" t="inlineStr">
        <x:is>
          <x:t xml:space="preserve">퉁퉁퉁 사후르</x:t>
        </x:is>
      </x:c>
      <x:c r="F218" t="n">
        <x:f>'밸런스 조정'!$C$10+D218*'밸런스 조정'!$D$10</x:f>
        <x:v>175</x:v>
      </x:c>
      <x:c r="G218" t="str">
        <x:v>percent</x:v>
      </x:c>
      <x:c r="H218" t="str">
        <x:v>Coin</x:v>
      </x:c>
      <x:c r="I218" t="n">
        <x:f>'밸런스 조정'!$E$10+(D218-1)*'밸런스 조정'!$F$10</x:f>
        <x:v>2250</x:v>
      </x:c>
      <x:c r="J218" t="str">
        <x:v>퉁퉁퉁 한 명 · 플레이어 체력 비율</x:v>
      </x:c>
    </x:row>
    <x:row r="219">
      <x:c r="B219">
        <x:v>8</x:v>
      </x:c>
      <x:c r="C219" t="inlineStr">
        <x:is>
          <x:t xml:space="preserve">TUNGTUNGTUNG</x:t>
        </x:is>
      </x:c>
      <x:c r="D219">
        <x:v>17</x:v>
      </x:c>
      <x:c r="E219" t="inlineStr">
        <x:is>
          <x:t xml:space="preserve">퉁퉁퉁 사후르</x:t>
        </x:is>
      </x:c>
      <x:c r="F219" t="n">
        <x:f>'밸런스 조정'!$C$10+D219*'밸런스 조정'!$D$10</x:f>
        <x:v>180</x:v>
      </x:c>
      <x:c r="G219" t="str">
        <x:v>percent</x:v>
      </x:c>
      <x:c r="H219" t="str">
        <x:v>Coin</x:v>
      </x:c>
      <x:c r="I219" t="n">
        <x:f>'밸런스 조정'!$E$10+(D219-1)*'밸런스 조정'!$F$10</x:f>
        <x:v>2370</x:v>
      </x:c>
      <x:c r="J219" t="str">
        <x:v>퉁퉁퉁 한 명 · 플레이어 체력 비율</x:v>
      </x:c>
    </x:row>
    <x:row r="220">
      <x:c r="B220">
        <x:v>8</x:v>
      </x:c>
      <x:c r="C220" t="inlineStr">
        <x:is>
          <x:t xml:space="preserve">TUNGTUNGTUNG</x:t>
        </x:is>
      </x:c>
      <x:c r="D220">
        <x:v>18</x:v>
      </x:c>
      <x:c r="E220" t="inlineStr">
        <x:is>
          <x:t xml:space="preserve">퉁퉁퉁 사후르</x:t>
        </x:is>
      </x:c>
      <x:c r="F220" t="n">
        <x:f>'밸런스 조정'!$C$10+D220*'밸런스 조정'!$D$10</x:f>
        <x:v>185</x:v>
      </x:c>
      <x:c r="G220" t="str">
        <x:v>percent</x:v>
      </x:c>
      <x:c r="H220" t="str">
        <x:v>Coin</x:v>
      </x:c>
      <x:c r="I220" t="n">
        <x:f>'밸런스 조정'!$E$10+(D220-1)*'밸런스 조정'!$F$10</x:f>
        <x:v>2490</x:v>
      </x:c>
      <x:c r="J220" t="str">
        <x:v>퉁퉁퉁 한 명 · 플레이어 체력 비율</x:v>
      </x:c>
    </x:row>
    <x:row r="221">
      <x:c r="B221">
        <x:v>8</x:v>
      </x:c>
      <x:c r="C221" t="inlineStr">
        <x:is>
          <x:t xml:space="preserve">TUNGTUNGTUNG</x:t>
        </x:is>
      </x:c>
      <x:c r="D221">
        <x:v>19</x:v>
      </x:c>
      <x:c r="E221" t="inlineStr">
        <x:is>
          <x:t xml:space="preserve">퉁퉁퉁 사후르</x:t>
        </x:is>
      </x:c>
      <x:c r="F221" t="n">
        <x:f>'밸런스 조정'!$C$10+D221*'밸런스 조정'!$D$10</x:f>
        <x:v>190</x:v>
      </x:c>
      <x:c r="G221" t="str">
        <x:v>percent</x:v>
      </x:c>
      <x:c r="H221" t="str">
        <x:v>Coin</x:v>
      </x:c>
      <x:c r="I221" t="n">
        <x:f>'밸런스 조정'!$E$10+(D221-1)*'밸런스 조정'!$F$10</x:f>
        <x:v>2610</x:v>
      </x:c>
      <x:c r="J221" t="str">
        <x:v>퉁퉁퉁 한 명 · 플레이어 체력 비율</x:v>
      </x:c>
    </x:row>
    <x:row r="222">
      <x:c r="B222">
        <x:v>8</x:v>
      </x:c>
      <x:c r="C222" t="inlineStr">
        <x:is>
          <x:t xml:space="preserve">TUNGTUNGTUNG</x:t>
        </x:is>
      </x:c>
      <x:c r="D222">
        <x:v>20</x:v>
      </x:c>
      <x:c r="E222" t="inlineStr">
        <x:is>
          <x:t xml:space="preserve">퉁퉁퉁 사후르</x:t>
        </x:is>
      </x:c>
      <x:c r="F222" t="n">
        <x:f>'밸런스 조정'!$C$10+D222*'밸런스 조정'!$D$10</x:f>
        <x:v>195</x:v>
      </x:c>
      <x:c r="G222" t="str">
        <x:v>percent</x:v>
      </x:c>
      <x:c r="H222" t="str">
        <x:v>Coin</x:v>
      </x:c>
      <x:c r="I222" t="n">
        <x:f>'밸런스 조정'!$E$10+(D222-1)*'밸런스 조정'!$F$10</x:f>
        <x:v>2730</x:v>
      </x:c>
      <x:c r="J222" t="str">
        <x:v>퉁퉁퉁 한 명 · 플레이어 체력 비율</x:v>
      </x:c>
    </x:row>
    <x:row r="223">
      <x:c r="B223">
        <x:v>9</x:v>
      </x:c>
      <x:c r="C223" t="inlineStr">
        <x:is>
          <x:t xml:space="preserve">BOOMBAR</x:t>
        </x:is>
      </x:c>
      <x:c r="D223">
        <x:v>1</x:v>
      </x:c>
      <x:c r="E223" t="inlineStr">
        <x:is>
          <x:t xml:space="preserve">붐바르 딜로</x:t>
        </x:is>
      </x:c>
      <x:c r="F223" t="n">
        <x:f>'밸런스 조정'!$C$11+D223*'밸런스 조정'!$D$11</x:f>
        <x:v>130</x:v>
      </x:c>
      <x:c r="G223" t="str">
        <x:v>percent</x:v>
      </x:c>
      <x:c r="H223" t="str">
        <x:v>Coin</x:v>
      </x:c>
      <x:c r="I223" t="n">
        <x:f>'밸런스 조정'!$E$11+(D223-1)*'밸런스 조정'!$F$11</x:f>
        <x:v>550</x:v>
      </x:c>
      <x:c r="J223" t="str">
        <x:v>붐바르 한 명 · 플레이어 공격력 비율</x:v>
      </x:c>
    </x:row>
    <x:row r="224">
      <x:c r="B224">
        <x:v>9</x:v>
      </x:c>
      <x:c r="C224" t="inlineStr">
        <x:is>
          <x:t xml:space="preserve">BOOMBAR</x:t>
        </x:is>
      </x:c>
      <x:c r="D224">
        <x:v>2</x:v>
      </x:c>
      <x:c r="E224" t="inlineStr">
        <x:is>
          <x:t xml:space="preserve">붐바르 딜로</x:t>
        </x:is>
      </x:c>
      <x:c r="F224" t="n">
        <x:f>'밸런스 조정'!$C$11+D224*'밸런스 조정'!$D$11</x:f>
        <x:v>135</x:v>
      </x:c>
      <x:c r="G224" t="str">
        <x:v>percent</x:v>
      </x:c>
      <x:c r="H224" t="str">
        <x:v>Coin</x:v>
      </x:c>
      <x:c r="I224" t="n">
        <x:f>'밸런스 조정'!$E$11+(D224-1)*'밸런스 조정'!$F$11</x:f>
        <x:v>700</x:v>
      </x:c>
      <x:c r="J224" t="str">
        <x:v>붐바르 한 명 · 플레이어 공격력 비율</x:v>
      </x:c>
    </x:row>
    <x:row r="225">
      <x:c r="B225">
        <x:v>9</x:v>
      </x:c>
      <x:c r="C225" t="inlineStr">
        <x:is>
          <x:t xml:space="preserve">BOOMBAR</x:t>
        </x:is>
      </x:c>
      <x:c r="D225">
        <x:v>3</x:v>
      </x:c>
      <x:c r="E225" t="inlineStr">
        <x:is>
          <x:t xml:space="preserve">붐바르 딜로</x:t>
        </x:is>
      </x:c>
      <x:c r="F225" t="n">
        <x:f>'밸런스 조정'!$C$11+D225*'밸런스 조정'!$D$11</x:f>
        <x:v>140</x:v>
      </x:c>
      <x:c r="G225" t="str">
        <x:v>percent</x:v>
      </x:c>
      <x:c r="H225" t="str">
        <x:v>Coin</x:v>
      </x:c>
      <x:c r="I225" t="n">
        <x:f>'밸런스 조정'!$E$11+(D225-1)*'밸런스 조정'!$F$11</x:f>
        <x:v>850</x:v>
      </x:c>
      <x:c r="J225" t="str">
        <x:v>붐바르 한 명 · 플레이어 공격력 비율</x:v>
      </x:c>
    </x:row>
    <x:row r="226">
      <x:c r="B226">
        <x:v>9</x:v>
      </x:c>
      <x:c r="C226" t="inlineStr">
        <x:is>
          <x:t xml:space="preserve">BOOMBAR</x:t>
        </x:is>
      </x:c>
      <x:c r="D226">
        <x:v>4</x:v>
      </x:c>
      <x:c r="E226" t="inlineStr">
        <x:is>
          <x:t xml:space="preserve">붐바르 딜로</x:t>
        </x:is>
      </x:c>
      <x:c r="F226" t="n">
        <x:f>'밸런스 조정'!$C$11+D226*'밸런스 조정'!$D$11</x:f>
        <x:v>145</x:v>
      </x:c>
      <x:c r="G226" t="str">
        <x:v>percent</x:v>
      </x:c>
      <x:c r="H226" t="str">
        <x:v>Coin</x:v>
      </x:c>
      <x:c r="I226" t="n">
        <x:f>'밸런스 조정'!$E$11+(D226-1)*'밸런스 조정'!$F$11</x:f>
        <x:v>1000</x:v>
      </x:c>
      <x:c r="J226" t="str">
        <x:v>붐바르 한 명 · 플레이어 공격력 비율</x:v>
      </x:c>
    </x:row>
    <x:row r="227">
      <x:c r="B227">
        <x:v>9</x:v>
      </x:c>
      <x:c r="C227" t="inlineStr">
        <x:is>
          <x:t xml:space="preserve">BOOMBAR</x:t>
        </x:is>
      </x:c>
      <x:c r="D227">
        <x:v>5</x:v>
      </x:c>
      <x:c r="E227" t="inlineStr">
        <x:is>
          <x:t xml:space="preserve">붐바르 딜로</x:t>
        </x:is>
      </x:c>
      <x:c r="F227" t="n">
        <x:f>'밸런스 조정'!$C$11+D227*'밸런스 조정'!$D$11</x:f>
        <x:v>150</x:v>
      </x:c>
      <x:c r="G227" t="str">
        <x:v>percent</x:v>
      </x:c>
      <x:c r="H227" t="str">
        <x:v>Coin</x:v>
      </x:c>
      <x:c r="I227" t="n">
        <x:f>'밸런스 조정'!$E$11+(D227-1)*'밸런스 조정'!$F$11</x:f>
        <x:v>1150</x:v>
      </x:c>
      <x:c r="J227" t="str">
        <x:v>붐바르 한 명 · 플레이어 공격력 비율</x:v>
      </x:c>
    </x:row>
    <x:row r="228">
      <x:c r="B228">
        <x:v>9</x:v>
      </x:c>
      <x:c r="C228" t="inlineStr">
        <x:is>
          <x:t xml:space="preserve">BOOMBAR</x:t>
        </x:is>
      </x:c>
      <x:c r="D228">
        <x:v>6</x:v>
      </x:c>
      <x:c r="E228" t="inlineStr">
        <x:is>
          <x:t xml:space="preserve">붐바르 딜로</x:t>
        </x:is>
      </x:c>
      <x:c r="F228" t="n">
        <x:f>'밸런스 조정'!$C$11+D228*'밸런스 조정'!$D$11</x:f>
        <x:v>155</x:v>
      </x:c>
      <x:c r="G228" t="str">
        <x:v>percent</x:v>
      </x:c>
      <x:c r="H228" t="str">
        <x:v>Coin</x:v>
      </x:c>
      <x:c r="I228" t="n">
        <x:f>'밸런스 조정'!$E$11+(D228-1)*'밸런스 조정'!$F$11</x:f>
        <x:v>1300</x:v>
      </x:c>
      <x:c r="J228" t="str">
        <x:v>붐바르 한 명 · 플레이어 공격력 비율</x:v>
      </x:c>
    </x:row>
    <x:row r="229">
      <x:c r="B229">
        <x:v>9</x:v>
      </x:c>
      <x:c r="C229" t="inlineStr">
        <x:is>
          <x:t xml:space="preserve">BOOMBAR</x:t>
        </x:is>
      </x:c>
      <x:c r="D229">
        <x:v>7</x:v>
      </x:c>
      <x:c r="E229" t="inlineStr">
        <x:is>
          <x:t xml:space="preserve">붐바르 딜로</x:t>
        </x:is>
      </x:c>
      <x:c r="F229" t="n">
        <x:f>'밸런스 조정'!$C$11+D229*'밸런스 조정'!$D$11</x:f>
        <x:v>160</x:v>
      </x:c>
      <x:c r="G229" t="str">
        <x:v>percent</x:v>
      </x:c>
      <x:c r="H229" t="str">
        <x:v>Coin</x:v>
      </x:c>
      <x:c r="I229" t="n">
        <x:f>'밸런스 조정'!$E$11+(D229-1)*'밸런스 조정'!$F$11</x:f>
        <x:v>1450</x:v>
      </x:c>
      <x:c r="J229" t="str">
        <x:v>붐바르 한 명 · 플레이어 공격력 비율</x:v>
      </x:c>
    </x:row>
    <x:row r="230">
      <x:c r="B230">
        <x:v>9</x:v>
      </x:c>
      <x:c r="C230" t="inlineStr">
        <x:is>
          <x:t xml:space="preserve">BOOMBAR</x:t>
        </x:is>
      </x:c>
      <x:c r="D230">
        <x:v>8</x:v>
      </x:c>
      <x:c r="E230" t="inlineStr">
        <x:is>
          <x:t xml:space="preserve">붐바르 딜로</x:t>
        </x:is>
      </x:c>
      <x:c r="F230" t="n">
        <x:f>'밸런스 조정'!$C$11+D230*'밸런스 조정'!$D$11</x:f>
        <x:v>165</x:v>
      </x:c>
      <x:c r="G230" t="str">
        <x:v>percent</x:v>
      </x:c>
      <x:c r="H230" t="str">
        <x:v>Coin</x:v>
      </x:c>
      <x:c r="I230" t="n">
        <x:f>'밸런스 조정'!$E$11+(D230-1)*'밸런스 조정'!$F$11</x:f>
        <x:v>1600</x:v>
      </x:c>
      <x:c r="J230" t="str">
        <x:v>붐바르 한 명 · 플레이어 공격력 비율</x:v>
      </x:c>
    </x:row>
    <x:row r="231">
      <x:c r="B231">
        <x:v>9</x:v>
      </x:c>
      <x:c r="C231" t="inlineStr">
        <x:is>
          <x:t xml:space="preserve">BOOMBAR</x:t>
        </x:is>
      </x:c>
      <x:c r="D231">
        <x:v>9</x:v>
      </x:c>
      <x:c r="E231" t="inlineStr">
        <x:is>
          <x:t xml:space="preserve">붐바르 딜로</x:t>
        </x:is>
      </x:c>
      <x:c r="F231" t="n">
        <x:f>'밸런스 조정'!$C$11+D231*'밸런스 조정'!$D$11</x:f>
        <x:v>170</x:v>
      </x:c>
      <x:c r="G231" t="str">
        <x:v>percent</x:v>
      </x:c>
      <x:c r="H231" t="str">
        <x:v>Coin</x:v>
      </x:c>
      <x:c r="I231" t="n">
        <x:f>'밸런스 조정'!$E$11+(D231-1)*'밸런스 조정'!$F$11</x:f>
        <x:v>1750</x:v>
      </x:c>
      <x:c r="J231" t="str">
        <x:v>붐바르 한 명 · 플레이어 공격력 비율</x:v>
      </x:c>
    </x:row>
    <x:row r="232">
      <x:c r="B232">
        <x:v>9</x:v>
      </x:c>
      <x:c r="C232" t="inlineStr">
        <x:is>
          <x:t xml:space="preserve">BOOMBAR</x:t>
        </x:is>
      </x:c>
      <x:c r="D232">
        <x:v>10</x:v>
      </x:c>
      <x:c r="E232" t="inlineStr">
        <x:is>
          <x:t xml:space="preserve">붐바르 딜로</x:t>
        </x:is>
      </x:c>
      <x:c r="F232" t="n">
        <x:f>'밸런스 조정'!$C$11+D232*'밸런스 조정'!$D$11</x:f>
        <x:v>175</x:v>
      </x:c>
      <x:c r="G232" t="str">
        <x:v>percent</x:v>
      </x:c>
      <x:c r="H232" t="str">
        <x:v>Coin</x:v>
      </x:c>
      <x:c r="I232" t="n">
        <x:f>'밸런스 조정'!$E$11+(D232-1)*'밸런스 조정'!$F$11</x:f>
        <x:v>1900</x:v>
      </x:c>
      <x:c r="J232" t="str">
        <x:v>붐바르 한 명 · 플레이어 공격력 비율</x:v>
      </x:c>
    </x:row>
    <x:row r="233">
      <x:c r="B233">
        <x:v>9</x:v>
      </x:c>
      <x:c r="C233" t="inlineStr">
        <x:is>
          <x:t xml:space="preserve">BOOMBAR</x:t>
        </x:is>
      </x:c>
      <x:c r="D233">
        <x:v>11</x:v>
      </x:c>
      <x:c r="E233" t="inlineStr">
        <x:is>
          <x:t xml:space="preserve">붐바르 딜로</x:t>
        </x:is>
      </x:c>
      <x:c r="F233" t="n">
        <x:f>'밸런스 조정'!$C$11+D233*'밸런스 조정'!$D$11</x:f>
        <x:v>180</x:v>
      </x:c>
      <x:c r="G233" t="str">
        <x:v>percent</x:v>
      </x:c>
      <x:c r="H233" t="str">
        <x:v>Coin</x:v>
      </x:c>
      <x:c r="I233" t="n">
        <x:f>'밸런스 조정'!$E$11+(D233-1)*'밸런스 조정'!$F$11</x:f>
        <x:v>2050</x:v>
      </x:c>
      <x:c r="J233" t="str">
        <x:v>붐바르 한 명 · 플레이어 공격력 비율</x:v>
      </x:c>
    </x:row>
    <x:row r="234">
      <x:c r="B234">
        <x:v>9</x:v>
      </x:c>
      <x:c r="C234" t="inlineStr">
        <x:is>
          <x:t xml:space="preserve">BOOMBAR</x:t>
        </x:is>
      </x:c>
      <x:c r="D234">
        <x:v>12</x:v>
      </x:c>
      <x:c r="E234" t="inlineStr">
        <x:is>
          <x:t xml:space="preserve">붐바르 딜로</x:t>
        </x:is>
      </x:c>
      <x:c r="F234" t="n">
        <x:f>'밸런스 조정'!$C$11+D234*'밸런스 조정'!$D$11</x:f>
        <x:v>185</x:v>
      </x:c>
      <x:c r="G234" t="str">
        <x:v>percent</x:v>
      </x:c>
      <x:c r="H234" t="str">
        <x:v>Coin</x:v>
      </x:c>
      <x:c r="I234" t="n">
        <x:f>'밸런스 조정'!$E$11+(D234-1)*'밸런스 조정'!$F$11</x:f>
        <x:v>2200</x:v>
      </x:c>
      <x:c r="J234" t="str">
        <x:v>붐바르 한 명 · 플레이어 공격력 비율</x:v>
      </x:c>
    </x:row>
    <x:row r="235">
      <x:c r="B235">
        <x:v>9</x:v>
      </x:c>
      <x:c r="C235" t="inlineStr">
        <x:is>
          <x:t xml:space="preserve">BOOMBAR</x:t>
        </x:is>
      </x:c>
      <x:c r="D235">
        <x:v>13</x:v>
      </x:c>
      <x:c r="E235" t="inlineStr">
        <x:is>
          <x:t xml:space="preserve">붐바르 딜로</x:t>
        </x:is>
      </x:c>
      <x:c r="F235" t="n">
        <x:f>'밸런스 조정'!$C$11+D235*'밸런스 조정'!$D$11</x:f>
        <x:v>190</x:v>
      </x:c>
      <x:c r="G235" t="str">
        <x:v>percent</x:v>
      </x:c>
      <x:c r="H235" t="str">
        <x:v>Coin</x:v>
      </x:c>
      <x:c r="I235" t="n">
        <x:f>'밸런스 조정'!$E$11+(D235-1)*'밸런스 조정'!$F$11</x:f>
        <x:v>2350</x:v>
      </x:c>
      <x:c r="J235" t="str">
        <x:v>붐바르 한 명 · 플레이어 공격력 비율</x:v>
      </x:c>
    </x:row>
    <x:row r="236">
      <x:c r="B236">
        <x:v>9</x:v>
      </x:c>
      <x:c r="C236" t="inlineStr">
        <x:is>
          <x:t xml:space="preserve">BOOMBAR</x:t>
        </x:is>
      </x:c>
      <x:c r="D236">
        <x:v>14</x:v>
      </x:c>
      <x:c r="E236" t="inlineStr">
        <x:is>
          <x:t xml:space="preserve">붐바르 딜로</x:t>
        </x:is>
      </x:c>
      <x:c r="F236" t="n">
        <x:f>'밸런스 조정'!$C$11+D236*'밸런스 조정'!$D$11</x:f>
        <x:v>195</x:v>
      </x:c>
      <x:c r="G236" t="str">
        <x:v>percent</x:v>
      </x:c>
      <x:c r="H236" t="str">
        <x:v>Coin</x:v>
      </x:c>
      <x:c r="I236" t="n">
        <x:f>'밸런스 조정'!$E$11+(D236-1)*'밸런스 조정'!$F$11</x:f>
        <x:v>2500</x:v>
      </x:c>
      <x:c r="J236" t="str">
        <x:v>붐바르 한 명 · 플레이어 공격력 비율</x:v>
      </x:c>
    </x:row>
    <x:row r="237">
      <x:c r="B237">
        <x:v>9</x:v>
      </x:c>
      <x:c r="C237" t="inlineStr">
        <x:is>
          <x:t xml:space="preserve">BOOMBAR</x:t>
        </x:is>
      </x:c>
      <x:c r="D237">
        <x:v>15</x:v>
      </x:c>
      <x:c r="E237" t="inlineStr">
        <x:is>
          <x:t xml:space="preserve">붐바르 딜로</x:t>
        </x:is>
      </x:c>
      <x:c r="F237" t="n">
        <x:f>'밸런스 조정'!$C$11+D237*'밸런스 조정'!$D$11</x:f>
        <x:v>200</x:v>
      </x:c>
      <x:c r="G237" t="str">
        <x:v>percent</x:v>
      </x:c>
      <x:c r="H237" t="str">
        <x:v>Coin</x:v>
      </x:c>
      <x:c r="I237" t="n">
        <x:f>'밸런스 조정'!$E$11+(D237-1)*'밸런스 조정'!$F$11</x:f>
        <x:v>2650</x:v>
      </x:c>
      <x:c r="J237" t="str">
        <x:v>붐바르 한 명 · 플레이어 공격력 비율</x:v>
      </x:c>
    </x:row>
    <x:row r="238">
      <x:c r="B238">
        <x:v>9</x:v>
      </x:c>
      <x:c r="C238" t="inlineStr">
        <x:is>
          <x:t xml:space="preserve">BOOMBAR</x:t>
        </x:is>
      </x:c>
      <x:c r="D238">
        <x:v>16</x:v>
      </x:c>
      <x:c r="E238" t="inlineStr">
        <x:is>
          <x:t xml:space="preserve">붐바르 딜로</x:t>
        </x:is>
      </x:c>
      <x:c r="F238" t="n">
        <x:f>'밸런스 조정'!$C$11+D238*'밸런스 조정'!$D$11</x:f>
        <x:v>205</x:v>
      </x:c>
      <x:c r="G238" t="str">
        <x:v>percent</x:v>
      </x:c>
      <x:c r="H238" t="str">
        <x:v>Coin</x:v>
      </x:c>
      <x:c r="I238" t="n">
        <x:f>'밸런스 조정'!$E$11+(D238-1)*'밸런스 조정'!$F$11</x:f>
        <x:v>2800</x:v>
      </x:c>
      <x:c r="J238" t="str">
        <x:v>붐바르 한 명 · 플레이어 공격력 비율</x:v>
      </x:c>
    </x:row>
    <x:row r="239">
      <x:c r="B239">
        <x:v>9</x:v>
      </x:c>
      <x:c r="C239" t="inlineStr">
        <x:is>
          <x:t xml:space="preserve">BOOMBAR</x:t>
        </x:is>
      </x:c>
      <x:c r="D239">
        <x:v>17</x:v>
      </x:c>
      <x:c r="E239" t="inlineStr">
        <x:is>
          <x:t xml:space="preserve">붐바르 딜로</x:t>
        </x:is>
      </x:c>
      <x:c r="F239" t="n">
        <x:f>'밸런스 조정'!$C$11+D239*'밸런스 조정'!$D$11</x:f>
        <x:v>210</x:v>
      </x:c>
      <x:c r="G239" t="str">
        <x:v>percent</x:v>
      </x:c>
      <x:c r="H239" t="str">
        <x:v>Coin</x:v>
      </x:c>
      <x:c r="I239" t="n">
        <x:f>'밸런스 조정'!$E$11+(D239-1)*'밸런스 조정'!$F$11</x:f>
        <x:v>2950</x:v>
      </x:c>
      <x:c r="J239" t="str">
        <x:v>붐바르 한 명 · 플레이어 공격력 비율</x:v>
      </x:c>
    </x:row>
    <x:row r="240">
      <x:c r="B240">
        <x:v>9</x:v>
      </x:c>
      <x:c r="C240" t="inlineStr">
        <x:is>
          <x:t xml:space="preserve">BOOMBAR</x:t>
        </x:is>
      </x:c>
      <x:c r="D240">
        <x:v>18</x:v>
      </x:c>
      <x:c r="E240" t="inlineStr">
        <x:is>
          <x:t xml:space="preserve">붐바르 딜로</x:t>
        </x:is>
      </x:c>
      <x:c r="F240" t="n">
        <x:f>'밸런스 조정'!$C$11+D240*'밸런스 조정'!$D$11</x:f>
        <x:v>215</x:v>
      </x:c>
      <x:c r="G240" t="str">
        <x:v>percent</x:v>
      </x:c>
      <x:c r="H240" t="str">
        <x:v>Coin</x:v>
      </x:c>
      <x:c r="I240" t="n">
        <x:f>'밸런스 조정'!$E$11+(D240-1)*'밸런스 조정'!$F$11</x:f>
        <x:v>3100</x:v>
      </x:c>
      <x:c r="J240" t="str">
        <x:v>붐바르 한 명 · 플레이어 공격력 비율</x:v>
      </x:c>
    </x:row>
    <x:row r="241">
      <x:c r="B241">
        <x:v>9</x:v>
      </x:c>
      <x:c r="C241" t="inlineStr">
        <x:is>
          <x:t xml:space="preserve">BOOMBAR</x:t>
        </x:is>
      </x:c>
      <x:c r="D241">
        <x:v>19</x:v>
      </x:c>
      <x:c r="E241" t="inlineStr">
        <x:is>
          <x:t xml:space="preserve">붐바르 딜로</x:t>
        </x:is>
      </x:c>
      <x:c r="F241" t="n">
        <x:f>'밸런스 조정'!$C$11+D241*'밸런스 조정'!$D$11</x:f>
        <x:v>220</x:v>
      </x:c>
      <x:c r="G241" t="str">
        <x:v>percent</x:v>
      </x:c>
      <x:c r="H241" t="str">
        <x:v>Coin</x:v>
      </x:c>
      <x:c r="I241" t="n">
        <x:f>'밸런스 조정'!$E$11+(D241-1)*'밸런스 조정'!$F$11</x:f>
        <x:v>3250</x:v>
      </x:c>
      <x:c r="J241" t="str">
        <x:v>붐바르 한 명 · 플레이어 공격력 비율</x:v>
      </x:c>
    </x:row>
    <x:row r="242">
      <x:c r="B242">
        <x:v>9</x:v>
      </x:c>
      <x:c r="C242" t="inlineStr">
        <x:is>
          <x:t xml:space="preserve">BOOMBAR</x:t>
        </x:is>
      </x:c>
      <x:c r="D242">
        <x:v>20</x:v>
      </x:c>
      <x:c r="E242" t="inlineStr">
        <x:is>
          <x:t xml:space="preserve">붐바르 딜로</x:t>
        </x:is>
      </x:c>
      <x:c r="F242" t="n">
        <x:f>'밸런스 조정'!$C$11+D242*'밸런스 조정'!$D$11</x:f>
        <x:v>225</x:v>
      </x:c>
      <x:c r="G242" t="str">
        <x:v>percent</x:v>
      </x:c>
      <x:c r="H242" t="str">
        <x:v>Coin</x:v>
      </x:c>
      <x:c r="I242" t="n">
        <x:f>'밸런스 조정'!$E$11+(D242-1)*'밸런스 조정'!$F$11</x:f>
        <x:v>3400</x:v>
      </x:c>
      <x:c r="J242" t="str">
        <x:v>붐바르 한 명 · 플레이어 공격력 비율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20.5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공격 한 번</x:v>
      </x:c>
      <x:c r="G3" s="24" t="n">
        <x:v>2</x:v>
      </x:c>
      <x:c r="H3" s="24" t="n">
        <x:v>0</x:v>
      </x:c>
      <x:c r="I3" s="24" t="n">
        <x:v>0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0</x:v>
      </x:c>
      <x:c r="J4" s="24" t="n">
        <x:v>2</x:v>
      </x:c>
      <x:c r="K4" s="24" t="n">
        <x:v>12</x:v>
      </x:c>
      <x:c r="L4" s="21" t="str">
        <x:v>같은 구간 왼쪽 적의 공격력·체력 참조.</x:v>
      </x:c>
      <x:c r="M4" s="29" t="str">
        <x:v>Normal</x:v>
      </x:c>
      <x:c r="N4" s="30" t="n">
        <x:f>N3</x:f>
        <x:v>8</x:v>
      </x:c>
      <x:c r="O4" s="30" t="n">
        <x:f>O3</x:f>
        <x:v>45</x:v>
      </x:c>
      <x:c r="P4" s="31"/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4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4</x:v>
      </x:c>
      <x:c r="J6" s="24" t="n">
        <x:v>2</x:v>
      </x:c>
      <x:c r="K6" s="24" t="n">
        <x:v>12</x:v>
      </x:c>
      <x:c r="L6" s="21" t="str">
        <x:v>같은 구간 왼쪽 적의 공격력·체력 참조.</x:v>
      </x:c>
      <x:c r="M6" s="29" t="str">
        <x:v>Normal</x:v>
      </x:c>
      <x:c r="N6" s="30" t="n">
        <x:f>N5</x:f>
        <x:v>8</x:v>
      </x:c>
      <x:c r="O6" s="30" t="n">
        <x:f>O5</x:f>
        <x:v>55</x:v>
      </x:c>
      <x:c r="P6" s="31"/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18</x:v>
      </x:c>
      <x:c r="J8" s="24" t="n">
        <x:v>2</x:v>
      </x:c>
      <x:c r="K8" s="24" t="n">
        <x:v>12</x:v>
      </x:c>
      <x:c r="L8" s="21" t="str">
        <x:v>같은 구간 왼쪽 적의 공격력·체력 참조.</x:v>
      </x:c>
      <x:c r="M8" s="29" t="str">
        <x:v>Normal</x:v>
      </x:c>
      <x:c r="N8" s="30" t="n">
        <x:f>N7</x:f>
        <x:v>8</x:v>
      </x:c>
      <x:c r="O8" s="30" t="n">
        <x:f>O7</x:f>
        <x:v>130</x:v>
      </x:c>
      <x:c r="P8" s="31"/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4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4</x:v>
      </x:c>
      <x:c r="J10" s="24" t="n">
        <x:v>2</x:v>
      </x:c>
      <x:c r="K10" s="24" t="n">
        <x:v>12</x:v>
      </x:c>
      <x:c r="L10" s="21" t="str">
        <x:v>같은 구간 왼쪽 적의 공격력·체력 참조.</x:v>
      </x:c>
      <x:c r="M10" s="29" t="str">
        <x:v>Normal</x:v>
      </x:c>
      <x:c r="N10" s="30" t="n">
        <x:f>N9</x:f>
        <x:v>8</x:v>
      </x:c>
      <x:c r="O10" s="30" t="n">
        <x:f>O9</x:f>
        <x:v>143</x:v>
      </x:c>
      <x:c r="P10" s="31"/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44</x:v>
      </x:c>
      <x:c r="J11" s="24" t="n">
        <x:v>0.8</x:v>
      </x:c>
      <x:c r="K11" s="24" t="n">
        <x:v>14</x:v>
      </x:c>
      <x:c r="L11" s="21" t="str">
        <x:v>공격력·체력은 밸런스 조정 시트에서 계산.</x:v>
      </x:c>
      <x:c r="M11" s="29" t="str">
        <x:v>Normal</x:v>
      </x:c>
      <x:c r="N11" s="30" t="n">
        <x:f>ROUND(N9*(1+'밸런스 조정'!$C$17),0)</x:f>
        <x:v>8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44</x:v>
      </x:c>
      <x:c r="J12" s="24" t="n">
        <x:v>0.8</x:v>
      </x:c>
      <x:c r="K12" s="24" t="n">
        <x:v>14</x:v>
      </x:c>
      <x:c r="L12" s="21" t="str">
        <x:v>같은 구간 왼쪽 적의 공격력·체력 참조.</x:v>
      </x:c>
      <x:c r="M12" s="29" t="str">
        <x:v>Normal</x:v>
      </x:c>
      <x:c r="N12" s="30" t="n">
        <x:f>N11</x:f>
        <x:v>8</x:v>
      </x:c>
      <x:c r="O12" s="30" t="n">
        <x:f>O11</x:f>
        <x:v>157</x:v>
      </x:c>
      <x:c r="P12" s="31"/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1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18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8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18</x:v>
      </x:c>
      <x:c r="J14" s="24" t="n">
        <x:v>2</x:v>
      </x:c>
      <x:c r="K14" s="24" t="n">
        <x:v>12</x:v>
      </x:c>
      <x:c r="L14" s="21" t="str">
        <x:v>같은 구간 왼쪽 적의 공격력·체력 참조.</x:v>
      </x:c>
      <x:c r="M14" s="29" t="str">
        <x:v>Normal</x:v>
      </x:c>
      <x:c r="N14" s="30" t="n">
        <x:f>N13</x:f>
        <x:v>8</x:v>
      </x:c>
      <x:c r="O14" s="30" t="n">
        <x:f>O13</x:f>
        <x:v>173</x:v>
      </x:c>
      <x:c r="P14" s="31"/>
      <x:c r="Q14" s="52" t="n">
        <x:f>'밸런스 조정'!$C$64</x:f>
        <x:v>0</x:v>
      </x:c>
      <x:c r="R14" s="52" t="n">
        <x:f>'밸런스 조정'!$C$65*IF(M14="Boss",5,IF(M14="Elite",2,1))</x:f>
        <x:v>10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8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18</x:v>
      </x:c>
      <x:c r="J16" s="24" t="n">
        <x:v>2</x:v>
      </x:c>
      <x:c r="K16" s="24" t="n">
        <x:v>12</x:v>
      </x:c>
      <x:c r="L16" s="21" t="str">
        <x:v>같은 구간 왼쪽 적의 공격력·체력 참조.</x:v>
      </x:c>
      <x:c r="M16" s="29" t="str">
        <x:v>Normal</x:v>
      </x:c>
      <x:c r="N16" s="30" t="n">
        <x:f>N15</x:f>
        <x:v>8</x:v>
      </x:c>
      <x:c r="O16" s="30" t="n">
        <x:f>O15</x:f>
        <x:v>190</x:v>
      </x:c>
      <x:c r="P16" s="31"/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전방 매복 사격</x:v>
      </x:c>
      <x:c r="G17" s="24" t="n">
        <x:v>3</x:v>
      </x:c>
      <x:c r="H17" s="24" t="n">
        <x:v>8</x:v>
      </x:c>
      <x:c r="I17" s="24" t="n">
        <x:v>44</x:v>
      </x:c>
      <x:c r="J17" s="24" t="n">
        <x:v>0.8</x:v>
      </x:c>
      <x:c r="K17" s="24" t="n">
        <x:v>14</x:v>
      </x:c>
      <x:c r="L17" s="21" t="str">
        <x:v>공격력·체력은 밸런스 조정 시트에서 계산.</x:v>
      </x:c>
      <x:c r="M17" s="29" t="str">
        <x:v>Elite</x:v>
      </x:c>
      <x:c r="N17" s="30" t="n">
        <x:f>ROUND(N15*'밸런스 조정'!$C$19,0)</x:f>
        <x:v>13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전방 매복 사격</x:v>
      </x:c>
      <x:c r="G18" s="24" t="n">
        <x:v>3</x:v>
      </x:c>
      <x:c r="H18" s="24" t="n">
        <x:v>8</x:v>
      </x:c>
      <x:c r="I18" s="24" t="n">
        <x:v>44</x:v>
      </x:c>
      <x:c r="J18" s="24" t="n">
        <x:v>0.8</x:v>
      </x:c>
      <x:c r="K18" s="24" t="n">
        <x:v>14</x:v>
      </x:c>
      <x:c r="L18" s="21" t="str">
        <x:v>같은 구간 왼쪽 적의 공격력·체력 참조.</x:v>
      </x:c>
      <x:c r="M18" s="29" t="str">
        <x:v>Elite</x:v>
      </x:c>
      <x:c r="N18" s="30" t="n">
        <x:f>N17</x:f>
        <x:v>13</x:v>
      </x:c>
      <x:c r="O18" s="30" t="n">
        <x:f>O17</x:f>
        <x:v>342</x:v>
      </x:c>
      <x:c r="P18" s="31"/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18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8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18</x:v>
      </x:c>
      <x:c r="J20" s="24" t="n">
        <x:v>2</x:v>
      </x:c>
      <x:c r="K20" s="24" t="n">
        <x:v>12</x:v>
      </x:c>
      <x:c r="L20" s="21" t="str">
        <x:v>같은 구간 왼쪽 적의 공격력·체력 참조.</x:v>
      </x:c>
      <x:c r="M20" s="29" t="str">
        <x:v>Normal</x:v>
      </x:c>
      <x:c r="N20" s="30" t="n">
        <x:f>N19</x:f>
        <x:v>8</x:v>
      </x:c>
      <x:c r="O20" s="30" t="n">
        <x:f>O19</x:f>
        <x:v>209</x:v>
      </x:c>
      <x:c r="P20" s="31"/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8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18</x:v>
      </x:c>
      <x:c r="J22" s="24" t="n">
        <x:v>2</x:v>
      </x:c>
      <x:c r="K22" s="24" t="n">
        <x:v>12</x:v>
      </x:c>
      <x:c r="L22" s="21" t="str">
        <x:v>같은 구간 왼쪽 적의 공격력·체력 참조.</x:v>
      </x:c>
      <x:c r="M22" s="29" t="str">
        <x:v>Normal</x:v>
      </x:c>
      <x:c r="N22" s="30" t="n">
        <x:f>N21</x:f>
        <x:v>8</x:v>
      </x:c>
      <x:c r="O22" s="30" t="n">
        <x:f>O21</x:f>
        <x:v>230</x:v>
      </x:c>
      <x:c r="P22" s="31"/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5.6415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8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5.6415</x:v>
      </x:c>
      <x:c r="J24" s="24" t="n">
        <x:v>2</x:v>
      </x:c>
      <x:c r="K24" s="24" t="n">
        <x:v>12</x:v>
      </x:c>
      <x:c r="L24" s="21" t="str">
        <x:v>같은 구간 왼쪽 적의 공격력·체력 참조.</x:v>
      </x:c>
      <x:c r="M24" s="29" t="str">
        <x:v>Normal</x:v>
      </x:c>
      <x:c r="N24" s="30" t="n">
        <x:f>N23</x:f>
        <x:v>8</x:v>
      </x:c>
      <x:c r="O24" s="30" t="n">
        <x:f>O23</x:f>
        <x:v>253</x:v>
      </x:c>
      <x:c r="P24" s="31"/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전방 매복 사격</x:v>
      </x:c>
      <x:c r="G25" s="24" t="n">
        <x:v>3</x:v>
      </x:c>
      <x:c r="H25" s="24" t="n">
        <x:v>8</x:v>
      </x:c>
      <x:c r="I25" s="24" t="n">
        <x:v>44</x:v>
      </x:c>
      <x:c r="J25" s="24" t="n">
        <x:v>0.8</x:v>
      </x:c>
      <x:c r="K25" s="24" t="n">
        <x:v>14</x:v>
      </x:c>
      <x:c r="L25" s="21" t="str">
        <x:v>공격력·체력은 밸런스 조정 시트에서 계산.</x:v>
      </x:c>
      <x:c r="M25" s="29" t="str">
        <x:v>Elite</x:v>
      </x:c>
      <x:c r="N25" s="30" t="n">
        <x:f>ROUND(N23*'밸런스 조정'!$C$19,0)</x:f>
        <x:v>13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전방 매복 사격</x:v>
      </x:c>
      <x:c r="G26" s="24" t="n">
        <x:v>3</x:v>
      </x:c>
      <x:c r="H26" s="24" t="n">
        <x:v>8</x:v>
      </x:c>
      <x:c r="I26" s="24" t="n">
        <x:v>44</x:v>
      </x:c>
      <x:c r="J26" s="24" t="n">
        <x:v>0.8</x:v>
      </x:c>
      <x:c r="K26" s="24" t="n">
        <x:v>14</x:v>
      </x:c>
      <x:c r="L26" s="21" t="str">
        <x:v>같은 구간 왼쪽 적의 공격력·체력 참조.</x:v>
      </x:c>
      <x:c r="M26" s="29" t="str">
        <x:v>Elite</x:v>
      </x:c>
      <x:c r="N26" s="30" t="n">
        <x:f>N25</x:f>
        <x:v>13</x:v>
      </x:c>
      <x:c r="O26" s="30" t="n">
        <x:f>O25</x:f>
        <x:v>455</x:v>
      </x:c>
      <x:c r="P26" s="31"/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18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8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18</x:v>
      </x:c>
      <x:c r="J28" s="24" t="n">
        <x:v>2</x:v>
      </x:c>
      <x:c r="K28" s="24" t="n">
        <x:v>12</x:v>
      </x:c>
      <x:c r="L28" s="21" t="str">
        <x:v>같은 구간 왼쪽 적의 공격력·체력 참조.</x:v>
      </x:c>
      <x:c r="M28" s="29" t="str">
        <x:v>Normal</x:v>
      </x:c>
      <x:c r="N28" s="30" t="n">
        <x:f>N27</x:f>
        <x:v>8</x:v>
      </x:c>
      <x:c r="O28" s="30" t="n">
        <x:f>O27</x:f>
        <x:v>278</x:v>
      </x:c>
      <x:c r="P28" s="31"/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18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8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18</x:v>
      </x:c>
      <x:c r="J30" t="n">
        <x:v>2</x:v>
      </x:c>
      <x:c r="K30" t="n">
        <x:v>12</x:v>
      </x:c>
      <x:c r="L30" t="str">
        <x:v>같은 구간 왼쪽 적의 공격력·체력 참조.</x:v>
      </x:c>
      <x:c r="M30" t="str">
        <x:v>Normal</x:v>
      </x:c>
      <x:c r="N30" t="n">
        <x:f>N29</x:f>
        <x:v>8</x:v>
      </x:c>
      <x:c r="O30" t="n">
        <x:f>O29</x:f>
        <x:v>306</x:v>
      </x:c>
      <x:c r="P30"/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8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18</x:v>
      </x:c>
      <x:c r="J32" t="n">
        <x:v>2</x:v>
      </x:c>
      <x:c r="K32" t="n">
        <x:v>12</x:v>
      </x:c>
      <x:c r="L32" t="str">
        <x:v>같은 구간 왼쪽 적의 공격력·체력 참조.</x:v>
      </x:c>
      <x:c r="M32" t="str">
        <x:v>Normal</x:v>
      </x:c>
      <x:c r="N32" t="n">
        <x:f>N31</x:f>
        <x:v>8</x:v>
      </x:c>
      <x:c r="O32" t="n">
        <x:f>O31</x:f>
        <x:v>337</x:v>
      </x:c>
      <x:c r="P32"/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18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8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18</x:v>
      </x:c>
      <x:c r="J34" t="n">
        <x:v>2</x:v>
      </x:c>
      <x:c r="K34" t="n">
        <x:v>12</x:v>
      </x:c>
      <x:c r="L34" t="str">
        <x:v>같은 구간 왼쪽 적의 공격력·체력 참조.</x:v>
      </x:c>
      <x:c r="M34" t="str">
        <x:v>Normal</x:v>
      </x:c>
      <x:c r="N34" t="n">
        <x:f>N33</x:f>
        <x:v>8</x:v>
      </x:c>
      <x:c r="O34" t="n">
        <x:f>O33</x:f>
        <x:v>371</x:v>
      </x:c>
      <x:c r="P34"/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44</x:v>
      </x:c>
      <x:c r="J35" t="n">
        <x:v>0.8</x:v>
      </x:c>
      <x:c r="K35" t="n">
        <x:v>14</x:v>
      </x:c>
      <x:c r="L35" t="str">
        <x:v>공격력·체력은 밸런스 조정 시트에서 계산.</x:v>
      </x:c>
      <x:c r="M35" t="str">
        <x:v>Normal</x:v>
      </x:c>
      <x:c r="N35" t="n">
        <x:f>ROUND(N33*(1+'밸런스 조정'!$C$17),0)</x:f>
        <x:v>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44</x:v>
      </x:c>
      <x:c r="J36" t="n">
        <x:v>0.8</x:v>
      </x:c>
      <x:c r="K36" t="n">
        <x:v>14</x:v>
      </x:c>
      <x:c r="L36" t="str">
        <x:v>같은 구간 왼쪽 적의 공격력·체력 참조.</x:v>
      </x:c>
      <x:c r="M36" t="str">
        <x:v>Normal</x:v>
      </x:c>
      <x:c r="N36" t="n">
        <x:f>N35</x:f>
        <x:v>8</x:v>
      </x:c>
      <x:c r="O36" t="n">
        <x:f>O35</x:f>
        <x:v>408</x:v>
      </x:c>
      <x:c r="P36"/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18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8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18</x:v>
      </x:c>
      <x:c r="J38" t="n">
        <x:v>2</x:v>
      </x:c>
      <x:c r="K38" t="n">
        <x:v>12</x:v>
      </x:c>
      <x:c r="L38" t="str">
        <x:v>같은 구간 왼쪽 적의 공격력·체력 참조.</x:v>
      </x:c>
      <x:c r="M38" t="str">
        <x:v>Normal</x:v>
      </x:c>
      <x:c r="N38" t="n">
        <x:f>N37</x:f>
        <x:v>8</x:v>
      </x:c>
      <x:c r="O38" t="n">
        <x:f>O37</x:f>
        <x:v>449</x:v>
      </x:c>
      <x:c r="P38"/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8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18</x:v>
      </x:c>
      <x:c r="J40" t="n">
        <x:v>2</x:v>
      </x:c>
      <x:c r="K40" t="n">
        <x:v>12</x:v>
      </x:c>
      <x:c r="L40" t="str">
        <x:v>같은 구간 왼쪽 적의 공격력·체력 참조.</x:v>
      </x:c>
      <x:c r="M40" t="str">
        <x:v>Normal</x:v>
      </x:c>
      <x:c r="N40" t="n">
        <x:f>N39</x:f>
        <x:v>8</x:v>
      </x:c>
      <x:c r="O40" t="n">
        <x:f>O39</x:f>
        <x:v>494</x:v>
      </x:c>
      <x:c r="P40"/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18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8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18</x:v>
      </x:c>
      <x:c r="J42" t="n">
        <x:v>2</x:v>
      </x:c>
      <x:c r="K42" t="n">
        <x:v>12</x:v>
      </x:c>
      <x:c r="L42" t="str">
        <x:v>같은 구간 왼쪽 적의 공격력·체력 참조.</x:v>
      </x:c>
      <x:c r="M42" t="str">
        <x:v>Normal</x:v>
      </x:c>
      <x:c r="N42" t="n">
        <x:f>N41</x:f>
        <x:v>8</x:v>
      </x:c>
      <x:c r="O42" t="n">
        <x:f>O41</x:f>
        <x:v>543</x:v>
      </x:c>
      <x:c r="P42"/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18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8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18</x:v>
      </x:c>
      <x:c r="J44" t="n">
        <x:v>2</x:v>
      </x:c>
      <x:c r="K44" t="n">
        <x:v>12</x:v>
      </x:c>
      <x:c r="L44" t="str">
        <x:v>같은 구간 왼쪽 적의 공격력·체력 참조.</x:v>
      </x:c>
      <x:c r="M44" t="str">
        <x:v>Normal</x:v>
      </x:c>
      <x:c r="N44" t="n">
        <x:f>N43</x:f>
        <x:v>8</x:v>
      </x:c>
      <x:c r="O44" t="n">
        <x:f>O43</x:f>
        <x:v>597</x:v>
      </x:c>
      <x:c r="P44"/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18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8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18</x:v>
      </x:c>
      <x:c r="J46" t="n">
        <x:v>2</x:v>
      </x:c>
      <x:c r="K46" t="n">
        <x:v>12</x:v>
      </x:c>
      <x:c r="L46" t="str">
        <x:v>같은 구간 왼쪽 적의 공격력·체력 참조.</x:v>
      </x:c>
      <x:c r="M46" t="str">
        <x:v>Normal</x:v>
      </x:c>
      <x:c r="N46" t="n">
        <x:f>N45</x:f>
        <x:v>8</x:v>
      </x:c>
      <x:c r="O46" t="n">
        <x:f>O45</x:f>
        <x:v>657</x:v>
      </x:c>
      <x:c r="P46"/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18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8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18</x:v>
      </x:c>
      <x:c r="J48" t="n">
        <x:v>2</x:v>
      </x:c>
      <x:c r="K48" t="n">
        <x:v>12</x:v>
      </x:c>
      <x:c r="L48" t="str">
        <x:v>같은 구간 왼쪽 적의 공격력·체력 참조.</x:v>
      </x:c>
      <x:c r="M48" t="str">
        <x:v>Normal</x:v>
      </x:c>
      <x:c r="N48" t="n">
        <x:f>N47</x:f>
        <x:v>8</x:v>
      </x:c>
      <x:c r="O48" t="n">
        <x:f>O47</x:f>
        <x:v>723</x:v>
      </x:c>
      <x:c r="P48"/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전방 매복 사격</x:v>
      </x:c>
      <x:c r="G49" t="n">
        <x:v>3</x:v>
      </x:c>
      <x:c r="H49" t="n">
        <x:v>4</x:v>
      </x:c>
      <x:c r="I49" t="n">
        <x:v>44</x:v>
      </x:c>
      <x:c r="J49" t="n">
        <x:v>0.8</x:v>
      </x:c>
      <x:c r="K49" t="n">
        <x:v>14</x:v>
      </x:c>
      <x:c r="L49" t="str">
        <x:v>공격력·체력은 밸런스 조정 시트에서 계산.</x:v>
      </x:c>
      <x:c r="M49" t="str">
        <x:v>Elite</x:v>
      </x:c>
      <x:c r="N49" t="n">
        <x:f>ROUND(N47*'밸런스 조정'!$C$19,0)</x:f>
        <x:v>13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전방 매복 사격</x:v>
      </x:c>
      <x:c r="G50" t="n">
        <x:v>3</x:v>
      </x:c>
      <x:c r="H50" t="n">
        <x:v>4</x:v>
      </x:c>
      <x:c r="I50" t="n">
        <x:v>44</x:v>
      </x:c>
      <x:c r="J50" t="n">
        <x:v>0.8</x:v>
      </x:c>
      <x:c r="K50" t="n">
        <x:v>14</x:v>
      </x:c>
      <x:c r="L50" t="str">
        <x:v>같은 구간 왼쪽 적의 공격력·체력 참조.</x:v>
      </x:c>
      <x:c r="M50" t="str">
        <x:v>Elite</x:v>
      </x:c>
      <x:c r="N50" t="n">
        <x:f>N49</x:f>
        <x:v>13</x:v>
      </x:c>
      <x:c r="O50" t="n">
        <x:f>O49</x:f>
        <x:v>1301</x:v>
      </x:c>
      <x:c r="P50"/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18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24</x:v>
      </x:c>
      <x:c r="O51" t="n">
        <x:f>ROUND(O47*'밸런스 조정'!$C$22,0)</x:f>
        <x:v>2458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1</x:v>
      </x:c>
      <x:c r="F52" t="str">
        <x:v>공격 반복</x:v>
      </x:c>
      <x:c r="G52" t="n">
        <x:v>2</x:v>
      </x:c>
      <x:c r="H52" t="n">
        <x:v>0</x:v>
      </x:c>
      <x:c r="I52" t="n">
        <x:v>18</x:v>
      </x:c>
      <x:c r="J52" t="n">
        <x:v>2</x:v>
      </x:c>
      <x:c r="K52" t="n">
        <x:v>12</x:v>
      </x:c>
      <x:c r="L52" t="str">
        <x:v>같은 구간 왼쪽 적의 공격력·체력 참조.</x:v>
      </x:c>
      <x:c r="M52" t="str">
        <x:v>Boss</x:v>
      </x:c>
      <x:c r="N52" t="n">
        <x:f>N51</x:f>
        <x:v>24</x:v>
      </x:c>
      <x:c r="O52" t="n">
        <x:f>O51</x:f>
        <x:v>2458</x:v>
      </x:c>
      <x:c r="P52"/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2.8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42</x:v>
      </x:c>
      <x:c r="O53" t="n">
        <x:f>ROUND('밸런스 조정'!$C$31*(1+'밸런스 조정'!$C$33)^0*1,0)</x:f>
        <x:v>140</x:v>
      </x:c>
      <x:c r="P53" t="n">
        <x:v>0.045</x:v>
      </x:c>
      <x:c r="Q53" s="52" t="n">
        <x:f>'밸런스 조정'!$C$64</x:f>
        <x:v>0</x:v>
      </x:c>
      <x:c r="R53" s="52" t="n">
        <x:f>'밸런스 조정'!$C$65*IF(M53="Boss",5,IF(M53="Elite",2,1))</x:f>
        <x:v>10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2.8</x:v>
      </x:c>
      <x:c r="I54" t="n">
        <x:v>42</x:v>
      </x:c>
      <x:c r="J54" t="n">
        <x:v>0.55</x:v>
      </x:c>
      <x:c r="K54" t="n">
        <x:v>12</x:v>
      </x:c>
      <x:c r="L54" t="str">
        <x:v>같은 구간 왼쪽 적의 공격력·체력 참조.</x:v>
      </x:c>
      <x:c r="M54" t="str">
        <x:v>Normal</x:v>
      </x:c>
      <x:c r="N54" t="n">
        <x:f>N53</x:f>
        <x:v>42</x:v>
      </x:c>
      <x:c r="O54" t="n">
        <x:f>O53</x:f>
        <x:v>140</x:v>
      </x:c>
      <x:c r="P54"/>
      <x:c r="Q54" s="52" t="n">
        <x:f>'밸런스 조정'!$C$64</x:f>
        <x:v>0</x:v>
      </x:c>
      <x:c r="R54" s="52" t="n">
        <x:f>'밸런스 조정'!$C$65*IF(M54="Boss",5,IF(M54="Elite",2,1))</x:f>
        <x:v>10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42</x:v>
      </x:c>
      <x:c r="J55" t="n">
        <x:v>0.55</x:v>
      </x:c>
      <x:c r="K55" t="n">
        <x:v>12</x:v>
      </x:c>
      <x:c r="L55" t="str">
        <x:v>공격력·체력은 밸런스 조정 시트에서 계산.</x:v>
      </x:c>
      <x:c r="M55" t="str">
        <x:v>Normal</x:v>
      </x:c>
      <x:c r="N55" t="n">
        <x:f>ROUND('밸런스 조정'!$C$30*(1+'밸런스 조정'!$C$32)^1*1,0)</x:f>
        <x:v>43</x:v>
      </x:c>
      <x:c r="O55" t="n">
        <x:f>ROUND('밸런스 조정'!$C$31*(1+'밸런스 조정'!$C$33)^1*1,0)</x:f>
        <x:v>146</x:v>
      </x:c>
      <x:c r="P55" t="n">
        <x:v>0.045</x:v>
      </x:c>
      <x:c r="Q55" s="52" t="n">
        <x:f>'밸런스 조정'!$C$64</x:f>
        <x:v>0</x:v>
      </x:c>
      <x:c r="R55" s="52" t="n">
        <x:f>'밸런스 조정'!$C$65*IF(M55="Boss",5,IF(M55="Elite",2,1))</x:f>
        <x:v>10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42</x:v>
      </x:c>
      <x:c r="J56" t="n">
        <x:v>0.55</x:v>
      </x:c>
      <x:c r="K56" t="n">
        <x:v>12</x:v>
      </x:c>
      <x:c r="L56" t="str">
        <x:v>같은 구간 왼쪽 적의 공격력·체력 참조.</x:v>
      </x:c>
      <x:c r="M56" t="str">
        <x:v>Normal</x:v>
      </x:c>
      <x:c r="N56" t="n">
        <x:f>N55</x:f>
        <x:v>43</x:v>
      </x:c>
      <x:c r="O56" t="n">
        <x:f>O55</x:f>
        <x:v>146</x:v>
      </x:c>
      <x:c r="P56"/>
      <x:c r="Q56" s="52" t="n">
        <x:f>'밸런스 조정'!$C$64</x:f>
        <x:v>0</x:v>
      </x:c>
      <x:c r="R56" s="52" t="n">
        <x:f>'밸런스 조정'!$C$65*IF(M56="Boss",5,IF(M56="Elite",2,1))</x:f>
        <x:v>10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42</x:v>
      </x:c>
      <x:c r="J57" t="n">
        <x:v>0.55</x:v>
      </x:c>
      <x:c r="K57" t="n">
        <x:v>12</x:v>
      </x:c>
      <x:c r="L57" t="str">
        <x:v>공격력·체력은 밸런스 조정 시트에서 계산.</x:v>
      </x:c>
      <x:c r="M57" t="str">
        <x:v>Elite</x:v>
      </x:c>
      <x:c r="N57" t="n">
        <x:f>ROUND('밸런스 조정'!$C$30*(1+'밸런스 조정'!$C$32)^2*'밸런스 조정'!$C$34,0)</x:f>
        <x:v>55</x:v>
      </x:c>
      <x:c r="O57" t="n">
        <x:f>ROUND('밸런스 조정'!$C$31*(1+'밸런스 조정'!$C$33)^2*'밸런스 조정'!$C$35,0)</x:f>
        <x:v>229</x:v>
      </x:c>
      <x:c r="P57" t="n">
        <x:v>0.045</x:v>
      </x:c>
      <x:c r="Q57" s="52" t="n">
        <x:f>'밸런스 조정'!$C$64</x:f>
        <x:v>0</x:v>
      </x:c>
      <x:c r="R57" s="52" t="n">
        <x:f>'밸런스 조정'!$C$65*IF(M57="Boss",5,IF(M57="Elite",2,1))</x:f>
        <x:v>20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42</x:v>
      </x:c>
      <x:c r="J58" t="n">
        <x:v>0.55</x:v>
      </x:c>
      <x:c r="K58" t="n">
        <x:v>12</x:v>
      </x:c>
      <x:c r="L58" t="str">
        <x:v>같은 구간 왼쪽 적의 공격력·체력 참조.</x:v>
      </x:c>
      <x:c r="M58" t="str">
        <x:v>Elite</x:v>
      </x:c>
      <x:c r="N58" t="n">
        <x:f>N57</x:f>
        <x:v>55</x:v>
      </x:c>
      <x:c r="O58" t="n">
        <x:f>O57</x:f>
        <x:v>229</x:v>
      </x:c>
      <x:c r="P58"/>
      <x:c r="Q58" s="52" t="n">
        <x:f>'밸런스 조정'!$C$64</x:f>
        <x:v>0</x:v>
      </x:c>
      <x:c r="R58" s="52" t="n">
        <x:f>'밸런스 조정'!$C$65*IF(M58="Boss",5,IF(M58="Elite",2,1))</x:f>
        <x:v>20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42</x:v>
      </x:c>
      <x:c r="J59" t="n">
        <x:v>0.55</x:v>
      </x:c>
      <x:c r="K59" t="n">
        <x:v>12</x:v>
      </x:c>
      <x:c r="L59" t="str">
        <x:v>공격력·체력은 밸런스 조정 시트에서 계산.</x:v>
      </x:c>
      <x:c r="M59" t="str">
        <x:v>Elite</x:v>
      </x:c>
      <x:c r="N59" t="n">
        <x:f>ROUND('밸런스 조정'!$C$30*(1+'밸런스 조정'!$C$32)^3*'밸런스 조정'!$C$34,0)</x:f>
        <x:v>57</x:v>
      </x:c>
      <x:c r="O59" t="n">
        <x:f>ROUND('밸런스 조정'!$C$31*(1+'밸런스 조정'!$C$33)^3*'밸런스 조정'!$C$35,0)</x:f>
        <x:v>240</x:v>
      </x:c>
      <x:c r="P59" t="n">
        <x:v>0.045</x:v>
      </x:c>
      <x:c r="Q59" s="52" t="n">
        <x:f>'밸런스 조정'!$C$64</x:f>
        <x:v>0</x:v>
      </x:c>
      <x:c r="R59" s="52" t="n">
        <x:f>'밸런스 조정'!$C$65*IF(M59="Boss",5,IF(M59="Elite",2,1))</x:f>
        <x:v>20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42</x:v>
      </x:c>
      <x:c r="J60" t="n">
        <x:v>0.55</x:v>
      </x:c>
      <x:c r="K60" t="n">
        <x:v>12</x:v>
      </x:c>
      <x:c r="L60" t="str">
        <x:v>같은 구간 왼쪽 적의 공격력·체력 참조.</x:v>
      </x:c>
      <x:c r="M60" t="str">
        <x:v>Elite</x:v>
      </x:c>
      <x:c r="N60" t="n">
        <x:f>N59</x:f>
        <x:v>57</x:v>
      </x:c>
      <x:c r="O60" t="n">
        <x:f>O59</x:f>
        <x:v>240</x:v>
      </x:c>
      <x:c r="P60"/>
      <x:c r="Q60" s="52" t="n">
        <x:f>'밸런스 조정'!$C$64</x:f>
        <x:v>0</x:v>
      </x:c>
      <x:c r="R60" s="52" t="n">
        <x:f>'밸런스 조정'!$C$65*IF(M60="Boss",5,IF(M60="Elite",2,1))</x:f>
        <x:v>20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2.8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46</x:v>
      </x:c>
      <x:c r="O61" t="n">
        <x:f>ROUND('밸런스 조정'!$C$31*(1+'밸런스 조정'!$C$33)^4*1,0)</x:f>
        <x:v>167</x:v>
      </x:c>
      <x:c r="P61" t="n">
        <x:v>0.045</x:v>
      </x:c>
      <x:c r="Q61" s="52" t="n">
        <x:f>'밸런스 조정'!$C$64</x:f>
        <x:v>0</x:v>
      </x:c>
      <x:c r="R61" s="52" t="n">
        <x:f>'밸런스 조정'!$C$65*IF(M61="Boss",5,IF(M61="Elite",2,1))</x:f>
        <x:v>10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2.8</x:v>
      </x:c>
      <x:c r="I62" t="n">
        <x:v>8</x:v>
      </x:c>
      <x:c r="J62" t="n">
        <x:v>0.55</x:v>
      </x:c>
      <x:c r="K62" t="n">
        <x:v>12</x:v>
      </x:c>
      <x:c r="L62" t="str">
        <x:v>같은 구간 왼쪽 적의 공격력·체력 참조.</x:v>
      </x:c>
      <x:c r="M62" t="str">
        <x:v>Normal</x:v>
      </x:c>
      <x:c r="N62" t="n">
        <x:f>N61</x:f>
        <x:v>46</x:v>
      </x:c>
      <x:c r="O62" t="n">
        <x:f>O61</x:f>
        <x:v>167</x:v>
      </x:c>
      <x:c r="P62"/>
      <x:c r="Q62" s="52" t="n">
        <x:f>'밸런스 조정'!$C$64</x:f>
        <x:v>0</x:v>
      </x:c>
      <x:c r="R62" s="52" t="n">
        <x:f>'밸런스 조정'!$C$65*IF(M62="Boss",5,IF(M62="Elite",2,1))</x:f>
        <x:v>10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42</x:v>
      </x:c>
      <x:c r="J63" t="n">
        <x:v>0.55</x:v>
      </x:c>
      <x:c r="K63" t="n">
        <x:v>12</x:v>
      </x:c>
      <x:c r="L63" t="str">
        <x:v>공격력·체력은 밸런스 조정 시트에서 계산.</x:v>
      </x:c>
      <x:c r="M63" t="str">
        <x:v>Normal</x:v>
      </x:c>
      <x:c r="N63" t="n">
        <x:f>ROUND('밸런스 조정'!$C$30*(1+'밸런스 조정'!$C$32)^5*1,0)</x:f>
        <x:v>48</x:v>
      </x:c>
      <x:c r="O63" t="n">
        <x:f>ROUND('밸런스 조정'!$C$31*(1+'밸런스 조정'!$C$33)^5*1,0)</x:f>
        <x:v>174</x:v>
      </x:c>
      <x:c r="P63" t="n">
        <x:v>0.045</x:v>
      </x:c>
      <x:c r="Q63" s="52" t="n">
        <x:f>'밸런스 조정'!$C$64</x:f>
        <x:v>0</x:v>
      </x:c>
      <x:c r="R63" s="52" t="n">
        <x:f>'밸런스 조정'!$C$65*IF(M63="Boss",5,IF(M63="Elite",2,1))</x:f>
        <x:v>10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42</x:v>
      </x:c>
      <x:c r="J64" t="n">
        <x:v>0.55</x:v>
      </x:c>
      <x:c r="K64" t="n">
        <x:v>12</x:v>
      </x:c>
      <x:c r="L64" t="str">
        <x:v>같은 구간 왼쪽 적의 공격력·체력 참조.</x:v>
      </x:c>
      <x:c r="M64" t="str">
        <x:v>Normal</x:v>
      </x:c>
      <x:c r="N64" t="n">
        <x:f>N63</x:f>
        <x:v>48</x:v>
      </x:c>
      <x:c r="O64" t="n">
        <x:f>O63</x:f>
        <x:v>174</x:v>
      </x:c>
      <x:c r="P64"/>
      <x:c r="Q64" s="52" t="n">
        <x:f>'밸런스 조정'!$C$64</x:f>
        <x:v>0</x:v>
      </x:c>
      <x:c r="R64" s="52" t="n">
        <x:f>'밸런스 조정'!$C$65*IF(M64="Boss",5,IF(M64="Elite",2,1))</x:f>
        <x:v>10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2.8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49</x:v>
      </x:c>
      <x:c r="O65" t="n">
        <x:f>ROUND('밸런스 조정'!$C$31*(1+'밸런스 조정'!$C$33)^6*1,0)</x:f>
        <x:v>182</x:v>
      </x:c>
      <x:c r="P65" t="n">
        <x:v>0.045</x:v>
      </x:c>
      <x:c r="Q65" s="52" t="n">
        <x:f>'밸런스 조정'!$C$64</x:f>
        <x:v>0</x:v>
      </x:c>
      <x:c r="R65" s="52" t="n">
        <x:f>'밸런스 조정'!$C$65*IF(M65="Boss",5,IF(M65="Elite",2,1))</x:f>
        <x:v>10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2.8</x:v>
      </x:c>
      <x:c r="I66" t="n">
        <x:v>42</x:v>
      </x:c>
      <x:c r="J66" t="n">
        <x:v>0.55</x:v>
      </x:c>
      <x:c r="K66" t="n">
        <x:v>12</x:v>
      </x:c>
      <x:c r="L66" t="str">
        <x:v>같은 구간 왼쪽 적의 공격력·체력 참조.</x:v>
      </x:c>
      <x:c r="M66" t="str">
        <x:v>Normal</x:v>
      </x:c>
      <x:c r="N66" t="n">
        <x:f>N65</x:f>
        <x:v>49</x:v>
      </x:c>
      <x:c r="O66" t="n">
        <x:f>O65</x:f>
        <x:v>182</x:v>
      </x:c>
      <x:c r="P66"/>
      <x:c r="Q66" s="52" t="n">
        <x:f>'밸런스 조정'!$C$64</x:f>
        <x:v>0</x:v>
      </x:c>
      <x:c r="R66" s="52" t="n">
        <x:f>'밸런스 조정'!$C$65*IF(M66="Boss",5,IF(M66="Elite",2,1))</x:f>
        <x:v>10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12</x:v>
      </x:c>
      <x:c r="L67" t="str">
        <x:v>공격력·체력은 밸런스 조정 시트에서 계산.</x:v>
      </x:c>
      <x:c r="M67" t="str">
        <x:v>Normal</x:v>
      </x:c>
      <x:c r="N67" t="n">
        <x:f>ROUND('밸런스 조정'!$C$30*(1+'밸런스 조정'!$C$32)^7*1,0)</x:f>
        <x:v>50</x:v>
      </x:c>
      <x:c r="O67" t="n">
        <x:f>ROUND('밸런스 조정'!$C$31*(1+'밸런스 조정'!$C$33)^7*1,0)</x:f>
        <x:v>191</x:v>
      </x:c>
      <x:c r="P67" t="n">
        <x:v>0.045</x:v>
      </x:c>
      <x:c r="Q67" s="52" t="n">
        <x:f>'밸런스 조정'!$C$64</x:f>
        <x:v>0</x:v>
      </x:c>
      <x:c r="R67" s="52" t="n">
        <x:f>'밸런스 조정'!$C$65*IF(M67="Boss",5,IF(M67="Elite",2,1))</x:f>
        <x:v>10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8</x:v>
      </x:c>
      <x:c r="J68" t="n">
        <x:v>0.55</x:v>
      </x:c>
      <x:c r="K68" t="n">
        <x:v>12</x:v>
      </x:c>
      <x:c r="L68" t="str">
        <x:v>같은 구간 왼쪽 적의 공격력·체력 참조.</x:v>
      </x:c>
      <x:c r="M68" t="str">
        <x:v>Normal</x:v>
      </x:c>
      <x:c r="N68" t="n">
        <x:f>N67</x:f>
        <x:v>50</x:v>
      </x:c>
      <x:c r="O68" t="n">
        <x:f>O67</x:f>
        <x:v>191</x:v>
      </x:c>
      <x:c r="P68"/>
      <x:c r="Q68" s="52" t="n">
        <x:f>'밸런스 조정'!$C$64</x:f>
        <x:v>0</x:v>
      </x:c>
      <x:c r="R68" s="52" t="n">
        <x:f>'밸런스 조정'!$C$65*IF(M68="Boss",5,IF(M68="Elite",2,1))</x:f>
        <x:v>10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42</x:v>
      </x:c>
      <x:c r="J69" t="n">
        <x:v>0.55</x:v>
      </x:c>
      <x:c r="K69" t="n">
        <x:v>12</x:v>
      </x:c>
      <x:c r="L69" t="str">
        <x:v>공격력·체력은 밸런스 조정 시트에서 계산.</x:v>
      </x:c>
      <x:c r="M69" t="str">
        <x:v>Elite</x:v>
      </x:c>
      <x:c r="N69" t="n">
        <x:f>ROUND('밸런스 조정'!$C$30*(1+'밸런스 조정'!$C$32)^8*'밸런스 조정'!$C$34,0)</x:f>
        <x:v>64</x:v>
      </x:c>
      <x:c r="O69" t="n">
        <x:f>ROUND('밸런스 조정'!$C$31*(1+'밸런스 조정'!$C$33)^8*'밸런스 조정'!$C$35,0)</x:f>
        <x:v>299</x:v>
      </x:c>
      <x:c r="P69" t="n">
        <x:v>0.045</x:v>
      </x:c>
      <x:c r="Q69" s="52" t="n">
        <x:f>'밸런스 조정'!$C$64</x:f>
        <x:v>0</x:v>
      </x:c>
      <x:c r="R69" s="52" t="n">
        <x:f>'밸런스 조정'!$C$65*IF(M69="Boss",5,IF(M69="Elite",2,1))</x:f>
        <x:v>20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42</x:v>
      </x:c>
      <x:c r="J70" t="n">
        <x:v>0.55</x:v>
      </x:c>
      <x:c r="K70" t="n">
        <x:v>12</x:v>
      </x:c>
      <x:c r="L70" t="str">
        <x:v>같은 구간 왼쪽 적의 공격력·체력 참조.</x:v>
      </x:c>
      <x:c r="M70" t="str">
        <x:v>Elite</x:v>
      </x:c>
      <x:c r="N70" t="n">
        <x:f>N69</x:f>
        <x:v>64</x:v>
      </x:c>
      <x:c r="O70" t="n">
        <x:f>O69</x:f>
        <x:v>299</x:v>
      </x:c>
      <x:c r="P70"/>
      <x:c r="Q70" s="52" t="n">
        <x:f>'밸런스 조정'!$C$64</x:f>
        <x:v>0</x:v>
      </x:c>
      <x:c r="R70" s="52" t="n">
        <x:f>'밸런스 조정'!$C$65*IF(M70="Boss",5,IF(M70="Elite",2,1))</x:f>
        <x:v>20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42</x:v>
      </x:c>
      <x:c r="J71" t="n">
        <x:v>0.55</x:v>
      </x:c>
      <x:c r="K71" t="n">
        <x:v>12</x:v>
      </x:c>
      <x:c r="L71" t="str">
        <x:v>공격력·체력은 밸런스 조정 시트에서 계산.</x:v>
      </x:c>
      <x:c r="M71" t="str">
        <x:v>Elite</x:v>
      </x:c>
      <x:c r="N71" t="n">
        <x:f>ROUND('밸런스 조정'!$C$30*(1+'밸런스 조정'!$C$32)^9*'밸런스 조정'!$C$34,0)</x:f>
        <x:v>66</x:v>
      </x:c>
      <x:c r="O71" t="n">
        <x:f>ROUND('밸런스 조정'!$C$31*(1+'밸런스 조정'!$C$33)^9*'밸런스 조정'!$C$35,0)</x:f>
        <x:v>312</x:v>
      </x:c>
      <x:c r="P71" t="n">
        <x:v>0.045</x:v>
      </x:c>
      <x:c r="Q71" s="52" t="n">
        <x:f>'밸런스 조정'!$C$64</x:f>
        <x:v>0</x:v>
      </x:c>
      <x:c r="R71" s="52" t="n">
        <x:f>'밸런스 조정'!$C$65*IF(M71="Boss",5,IF(M71="Elite",2,1))</x:f>
        <x:v>20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42</x:v>
      </x:c>
      <x:c r="J72" t="n">
        <x:v>0.55</x:v>
      </x:c>
      <x:c r="K72" t="n">
        <x:v>12</x:v>
      </x:c>
      <x:c r="L72" t="str">
        <x:v>같은 구간 왼쪽 적의 공격력·체력 참조.</x:v>
      </x:c>
      <x:c r="M72" t="str">
        <x:v>Elite</x:v>
      </x:c>
      <x:c r="N72" t="n">
        <x:f>N71</x:f>
        <x:v>66</x:v>
      </x:c>
      <x:c r="O72" t="n">
        <x:f>O71</x:f>
        <x:v>312</x:v>
      </x:c>
      <x:c r="P72"/>
      <x:c r="Q72" s="52" t="n">
        <x:f>'밸런스 조정'!$C$64</x:f>
        <x:v>0</x:v>
      </x:c>
      <x:c r="R72" s="52" t="n">
        <x:f>'밸런스 조정'!$C$65*IF(M72="Boss",5,IF(M72="Elite",2,1))</x:f>
        <x:v>20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2.8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54</x:v>
      </x:c>
      <x:c r="O73" t="n">
        <x:f>ROUND('밸런스 조정'!$C$31*(1+'밸런스 조정'!$C$33)^10*1,0)</x:f>
        <x:v>217</x:v>
      </x:c>
      <x:c r="P73" t="n">
        <x:v>0.045</x:v>
      </x:c>
      <x:c r="Q73" s="52" t="n">
        <x:f>'밸런스 조정'!$C$64</x:f>
        <x:v>0</x:v>
      </x:c>
      <x:c r="R73" s="52" t="n">
        <x:f>'밸런스 조정'!$C$65*IF(M73="Boss",5,IF(M73="Elite",2,1))</x:f>
        <x:v>10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2.8</x:v>
      </x:c>
      <x:c r="I74" t="n">
        <x:v>42</x:v>
      </x:c>
      <x:c r="J74" t="n">
        <x:v>0.55</x:v>
      </x:c>
      <x:c r="K74" t="n">
        <x:v>12</x:v>
      </x:c>
      <x:c r="L74" t="str">
        <x:v>같은 구간 왼쪽 적의 공격력·체력 참조.</x:v>
      </x:c>
      <x:c r="M74" t="str">
        <x:v>Normal</x:v>
      </x:c>
      <x:c r="N74" t="n">
        <x:f>N73</x:f>
        <x:v>54</x:v>
      </x:c>
      <x:c r="O74" t="n">
        <x:f>O73</x:f>
        <x:v>217</x:v>
      </x:c>
      <x:c r="P74"/>
      <x:c r="Q74" s="52" t="n">
        <x:f>'밸런스 조정'!$C$64</x:f>
        <x:v>0</x:v>
      </x:c>
      <x:c r="R74" s="52" t="n">
        <x:f>'밸런스 조정'!$C$65*IF(M74="Boss",5,IF(M74="Elite",2,1))</x:f>
        <x:v>10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42</x:v>
      </x:c>
      <x:c r="J75" t="n">
        <x:v>0.55</x:v>
      </x:c>
      <x:c r="K75" t="n">
        <x:v>12</x:v>
      </x:c>
      <x:c r="L75" t="str">
        <x:v>공격력·체력은 밸런스 조정 시트에서 계산.</x:v>
      </x:c>
      <x:c r="M75" t="str">
        <x:v>Normal</x:v>
      </x:c>
      <x:c r="N75" t="n">
        <x:f>ROUND('밸런스 조정'!$C$30*(1+'밸런스 조정'!$C$32)^11*1,0)</x:f>
        <x:v>55</x:v>
      </x:c>
      <x:c r="O75" t="n">
        <x:f>ROUND('밸런스 조정'!$C$31*(1+'밸런스 조정'!$C$33)^11*1,0)</x:f>
        <x:v>227</x:v>
      </x:c>
      <x:c r="P75" t="n">
        <x:v>0.045</x:v>
      </x:c>
      <x:c r="Q75" s="52" t="n">
        <x:f>'밸런스 조정'!$C$64</x:f>
        <x:v>0</x:v>
      </x:c>
      <x:c r="R75" s="52" t="n">
        <x:f>'밸런스 조정'!$C$65*IF(M75="Boss",5,IF(M75="Elite",2,1))</x:f>
        <x:v>10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42</x:v>
      </x:c>
      <x:c r="J76" t="n">
        <x:v>0.55</x:v>
      </x:c>
      <x:c r="K76" t="n">
        <x:v>12</x:v>
      </x:c>
      <x:c r="L76" t="str">
        <x:v>같은 구간 왼쪽 적의 공격력·체력 참조.</x:v>
      </x:c>
      <x:c r="M76" t="str">
        <x:v>Normal</x:v>
      </x:c>
      <x:c r="N76" t="n">
        <x:f>N75</x:f>
        <x:v>55</x:v>
      </x:c>
      <x:c r="O76" t="n">
        <x:f>O75</x:f>
        <x:v>227</x:v>
      </x:c>
      <x:c r="P76"/>
      <x:c r="Q76" s="52" t="n">
        <x:f>'밸런스 조정'!$C$64</x:f>
        <x:v>0</x:v>
      </x:c>
      <x:c r="R76" s="52" t="n">
        <x:f>'밸런스 조정'!$C$65*IF(M76="Boss",5,IF(M76="Elite",2,1))</x:f>
        <x:v>10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2.8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56</x:v>
      </x:c>
      <x:c r="O77" t="n">
        <x:f>ROUND('밸런스 조정'!$C$31*(1+'밸런스 조정'!$C$33)^12*1,0)</x:f>
        <x:v>237</x:v>
      </x:c>
      <x:c r="P77" t="n">
        <x:v>0.045</x:v>
      </x:c>
      <x:c r="Q77" s="52" t="n">
        <x:f>'밸런스 조정'!$C$64</x:f>
        <x:v>0</x:v>
      </x:c>
      <x:c r="R77" s="52" t="n">
        <x:f>'밸런스 조정'!$C$65*IF(M77="Boss",5,IF(M77="Elite",2,1))</x:f>
        <x:v>10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2.8</x:v>
      </x:c>
      <x:c r="I78" t="n">
        <x:v>42</x:v>
      </x:c>
      <x:c r="J78" t="n">
        <x:v>0.55</x:v>
      </x:c>
      <x:c r="K78" t="n">
        <x:v>12</x:v>
      </x:c>
      <x:c r="L78" t="str">
        <x:v>같은 구간 왼쪽 적의 공격력·체력 참조.</x:v>
      </x:c>
      <x:c r="M78" t="str">
        <x:v>Normal</x:v>
      </x:c>
      <x:c r="N78" t="n">
        <x:f>N77</x:f>
        <x:v>56</x:v>
      </x:c>
      <x:c r="O78" t="n">
        <x:f>O77</x:f>
        <x:v>237</x:v>
      </x:c>
      <x:c r="P78"/>
      <x:c r="Q78" s="52" t="n">
        <x:f>'밸런스 조정'!$C$64</x:f>
        <x:v>0</x:v>
      </x:c>
      <x:c r="R78" s="52" t="n">
        <x:f>'밸런스 조정'!$C$65*IF(M78="Boss",5,IF(M78="Elite",2,1))</x:f>
        <x:v>10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12</x:v>
      </x:c>
      <x:c r="L79" t="str">
        <x:v>공격력·체력은 밸런스 조정 시트에서 계산.</x:v>
      </x:c>
      <x:c r="M79" t="str">
        <x:v>Normal</x:v>
      </x:c>
      <x:c r="N79" t="n">
        <x:f>ROUND('밸런스 조정'!$C$30*(1+'밸런스 조정'!$C$32)^13*1,0)</x:f>
        <x:v>58</x:v>
      </x:c>
      <x:c r="O79" t="n">
        <x:f>ROUND('밸런스 조정'!$C$31*(1+'밸런스 조정'!$C$33)^13*1,0)</x:f>
        <x:v>248</x:v>
      </x:c>
      <x:c r="P79" t="n">
        <x:v>0.045</x:v>
      </x:c>
      <x:c r="Q79" s="52" t="n">
        <x:f>'밸런스 조정'!$C$64</x:f>
        <x:v>0</x:v>
      </x:c>
      <x:c r="R79" s="52" t="n">
        <x:f>'밸런스 조정'!$C$65*IF(M79="Boss",5,IF(M79="Elite",2,1))</x:f>
        <x:v>10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8</x:v>
      </x:c>
      <x:c r="J80" t="n">
        <x:v>0.55</x:v>
      </x:c>
      <x:c r="K80" t="n">
        <x:v>12</x:v>
      </x:c>
      <x:c r="L80" t="str">
        <x:v>같은 구간 왼쪽 적의 공격력·체력 참조.</x:v>
      </x:c>
      <x:c r="M80" t="str">
        <x:v>Normal</x:v>
      </x:c>
      <x:c r="N80" t="n">
        <x:f>N79</x:f>
        <x:v>58</x:v>
      </x:c>
      <x:c r="O80" t="n">
        <x:f>O79</x:f>
        <x:v>248</x:v>
      </x:c>
      <x:c r="P80"/>
      <x:c r="Q80" s="52" t="n">
        <x:f>'밸런스 조정'!$C$64</x:f>
        <x:v>0</x:v>
      </x:c>
      <x:c r="R80" s="52" t="n">
        <x:f>'밸런스 조정'!$C$65*IF(M80="Boss",5,IF(M80="Elite",2,1))</x:f>
        <x:v>10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42</x:v>
      </x:c>
      <x:c r="J81" t="n">
        <x:v>0.55</x:v>
      </x:c>
      <x:c r="K81" t="n">
        <x:v>12</x:v>
      </x:c>
      <x:c r="L81" t="str">
        <x:v>공격력·체력은 밸런스 조정 시트에서 계산.</x:v>
      </x:c>
      <x:c r="M81" t="str">
        <x:v>Elite</x:v>
      </x:c>
      <x:c r="N81" t="n">
        <x:f>ROUND('밸런스 조정'!$C$30*(1+'밸런스 조정'!$C$32)^14*'밸런스 조정'!$C$34,0)</x:f>
        <x:v>74</x:v>
      </x:c>
      <x:c r="O81" t="n">
        <x:f>ROUND('밸런스 조정'!$C$31*(1+'밸런스 조정'!$C$33)^14*'밸런스 조정'!$C$35,0)</x:f>
        <x:v>389</x:v>
      </x:c>
      <x:c r="P81" t="n">
        <x:v>0.045</x:v>
      </x:c>
      <x:c r="Q81" s="52" t="n">
        <x:f>'밸런스 조정'!$C$64</x:f>
        <x:v>0</x:v>
      </x:c>
      <x:c r="R81" s="52" t="n">
        <x:f>'밸런스 조정'!$C$65*IF(M81="Boss",5,IF(M81="Elite",2,1))</x:f>
        <x:v>20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42</x:v>
      </x:c>
      <x:c r="J82" t="n">
        <x:v>0.55</x:v>
      </x:c>
      <x:c r="K82" t="n">
        <x:v>12</x:v>
      </x:c>
      <x:c r="L82" t="str">
        <x:v>같은 구간 왼쪽 적의 공격력·체력 참조.</x:v>
      </x:c>
      <x:c r="M82" t="str">
        <x:v>Elite</x:v>
      </x:c>
      <x:c r="N82" t="n">
        <x:f>N81</x:f>
        <x:v>74</x:v>
      </x:c>
      <x:c r="O82" t="n">
        <x:f>O81</x:f>
        <x:v>389</x:v>
      </x:c>
      <x:c r="P82"/>
      <x:c r="Q82" s="52" t="n">
        <x:f>'밸런스 조정'!$C$64</x:f>
        <x:v>0</x:v>
      </x:c>
      <x:c r="R82" s="52" t="n">
        <x:f>'밸런스 조정'!$C$65*IF(M82="Boss",5,IF(M82="Elite",2,1))</x:f>
        <x:v>20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42</x:v>
      </x:c>
      <x:c r="J83" t="n">
        <x:v>0.55</x:v>
      </x:c>
      <x:c r="K83" t="n">
        <x:v>12</x:v>
      </x:c>
      <x:c r="L83" t="str">
        <x:v>공격력·체력은 밸런스 조정 시트에서 계산.</x:v>
      </x:c>
      <x:c r="M83" t="str">
        <x:v>Elite</x:v>
      </x:c>
      <x:c r="N83" t="n">
        <x:f>ROUND('밸런스 조정'!$C$30*(1+'밸런스 조정'!$C$32)^15*'밸런스 조정'!$C$34,0)</x:f>
        <x:v>76</x:v>
      </x:c>
      <x:c r="O83" t="n">
        <x:f>ROUND('밸런스 조정'!$C$31*(1+'밸런스 조정'!$C$33)^15*'밸런스 조정'!$C$35,0)</x:f>
        <x:v>406</x:v>
      </x:c>
      <x:c r="P83" t="n">
        <x:v>0.045</x:v>
      </x:c>
      <x:c r="Q83" s="52" t="n">
        <x:f>'밸런스 조정'!$C$64</x:f>
        <x:v>0</x:v>
      </x:c>
      <x:c r="R83" s="52" t="n">
        <x:f>'밸런스 조정'!$C$65*IF(M83="Boss",5,IF(M83="Elite",2,1))</x:f>
        <x:v>20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42</x:v>
      </x:c>
      <x:c r="J84" t="n">
        <x:v>0.55</x:v>
      </x:c>
      <x:c r="K84" t="n">
        <x:v>12</x:v>
      </x:c>
      <x:c r="L84" t="str">
        <x:v>같은 구간 왼쪽 적의 공격력·체력 참조.</x:v>
      </x:c>
      <x:c r="M84" t="str">
        <x:v>Elite</x:v>
      </x:c>
      <x:c r="N84" t="n">
        <x:f>N83</x:f>
        <x:v>76</x:v>
      </x:c>
      <x:c r="O84" t="n">
        <x:f>O83</x:f>
        <x:v>406</x:v>
      </x:c>
      <x:c r="P84"/>
      <x:c r="Q84" s="52" t="n">
        <x:f>'밸런스 조정'!$C$64</x:f>
        <x:v>0</x:v>
      </x:c>
      <x:c r="R84" s="52" t="n">
        <x:f>'밸런스 조정'!$C$65*IF(M84="Boss",5,IF(M84="Elite",2,1))</x:f>
        <x:v>20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2.8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62</x:v>
      </x:c>
      <x:c r="O85" t="n">
        <x:f>ROUND('밸런스 조정'!$C$31*(1+'밸런스 조정'!$C$33)^16*1,0)</x:f>
        <x:v>283</x:v>
      </x:c>
      <x:c r="P85" t="n">
        <x:v>0.045</x:v>
      </x:c>
      <x:c r="Q85" s="52" t="n">
        <x:f>'밸런스 조정'!$C$64</x:f>
        <x:v>0</x:v>
      </x:c>
      <x:c r="R85" s="52" t="n">
        <x:f>'밸런스 조정'!$C$65*IF(M85="Boss",5,IF(M85="Elite",2,1))</x:f>
        <x:v>10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2.8</x:v>
      </x:c>
      <x:c r="I86" t="n">
        <x:v>42</x:v>
      </x:c>
      <x:c r="J86" t="n">
        <x:v>0.55</x:v>
      </x:c>
      <x:c r="K86" t="n">
        <x:v>12</x:v>
      </x:c>
      <x:c r="L86" t="str">
        <x:v>같은 구간 왼쪽 적의 공격력·체력 참조.</x:v>
      </x:c>
      <x:c r="M86" t="str">
        <x:v>Normal</x:v>
      </x:c>
      <x:c r="N86" t="n">
        <x:f>N85</x:f>
        <x:v>62</x:v>
      </x:c>
      <x:c r="O86" t="n">
        <x:f>O85</x:f>
        <x:v>283</x:v>
      </x:c>
      <x:c r="P86"/>
      <x:c r="Q86" s="52" t="n">
        <x:f>'밸런스 조정'!$C$64</x:f>
        <x:v>0</x:v>
      </x:c>
      <x:c r="R86" s="52" t="n">
        <x:f>'밸런스 조정'!$C$65*IF(M86="Boss",5,IF(M86="Elite",2,1))</x:f>
        <x:v>10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12</x:v>
      </x:c>
      <x:c r="L87" t="str">
        <x:v>공격력·체력은 밸런스 조정 시트에서 계산.</x:v>
      </x:c>
      <x:c r="M87" t="str">
        <x:v>Normal</x:v>
      </x:c>
      <x:c r="N87" t="n">
        <x:f>ROUND('밸런스 조정'!$C$30*(1+'밸런스 조정'!$C$32)^17*1,0)</x:f>
        <x:v>64</x:v>
      </x:c>
      <x:c r="O87" t="n">
        <x:f>ROUND('밸런스 조정'!$C$31*(1+'밸런스 조정'!$C$33)^17*1,0)</x:f>
        <x:v>296</x:v>
      </x:c>
      <x:c r="P87" t="n">
        <x:v>0.045</x:v>
      </x:c>
      <x:c r="Q87" s="52" t="n">
        <x:f>'밸런스 조정'!$C$64</x:f>
        <x:v>0</x:v>
      </x:c>
      <x:c r="R87" s="52" t="n">
        <x:f>'밸런스 조정'!$C$65*IF(M87="Boss",5,IF(M87="Elite",2,1))</x:f>
        <x:v>10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8</x:v>
      </x:c>
      <x:c r="J88" t="n">
        <x:v>0.55</x:v>
      </x:c>
      <x:c r="K88" t="n">
        <x:v>12</x:v>
      </x:c>
      <x:c r="L88" t="str">
        <x:v>같은 구간 왼쪽 적의 공격력·체력 참조.</x:v>
      </x:c>
      <x:c r="M88" t="str">
        <x:v>Normal</x:v>
      </x:c>
      <x:c r="N88" t="n">
        <x:f>N87</x:f>
        <x:v>64</x:v>
      </x:c>
      <x:c r="O88" t="n">
        <x:f>O87</x:f>
        <x:v>296</x:v>
      </x:c>
      <x:c r="P88"/>
      <x:c r="Q88" s="52" t="n">
        <x:f>'밸런스 조정'!$C$64</x:f>
        <x:v>0</x:v>
      </x:c>
      <x:c r="R88" s="52" t="n">
        <x:f>'밸런스 조정'!$C$65*IF(M88="Boss",5,IF(M88="Elite",2,1))</x:f>
        <x:v>10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2.8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66</x:v>
      </x:c>
      <x:c r="O89" t="n">
        <x:f>ROUND('밸런스 조정'!$C$31*(1+'밸런스 조정'!$C$33)^18*1,0)</x:f>
        <x:v>309</x:v>
      </x:c>
      <x:c r="P89" t="n">
        <x:v>0.045</x:v>
      </x:c>
      <x:c r="Q89" s="52" t="n">
        <x:f>'밸런스 조정'!$C$64</x:f>
        <x:v>0</x:v>
      </x:c>
      <x:c r="R89" s="52" t="n">
        <x:f>'밸런스 조정'!$C$65*IF(M89="Boss",5,IF(M89="Elite",2,1))</x:f>
        <x:v>10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2.8</x:v>
      </x:c>
      <x:c r="I90" t="n">
        <x:v>42</x:v>
      </x:c>
      <x:c r="J90" t="n">
        <x:v>0.55</x:v>
      </x:c>
      <x:c r="K90" t="n">
        <x:v>12</x:v>
      </x:c>
      <x:c r="L90" t="str">
        <x:v>같은 구간 왼쪽 적의 공격력·체력 참조.</x:v>
      </x:c>
      <x:c r="M90" t="str">
        <x:v>Normal</x:v>
      </x:c>
      <x:c r="N90" t="n">
        <x:f>N89</x:f>
        <x:v>66</x:v>
      </x:c>
      <x:c r="O90" t="n">
        <x:f>O89</x:f>
        <x:v>309</x:v>
      </x:c>
      <x:c r="P90"/>
      <x:c r="Q90" s="52" t="n">
        <x:f>'밸런스 조정'!$C$64</x:f>
        <x:v>0</x:v>
      </x:c>
      <x:c r="R90" s="52" t="n">
        <x:f>'밸런스 조정'!$C$65*IF(M90="Boss",5,IF(M90="Elite",2,1))</x:f>
        <x:v>10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42</x:v>
      </x:c>
      <x:c r="J91" t="n">
        <x:v>0.55</x:v>
      </x:c>
      <x:c r="K91" t="n">
        <x:v>12</x:v>
      </x:c>
      <x:c r="L91" t="str">
        <x:v>공격력·체력은 밸런스 조정 시트에서 계산.</x:v>
      </x:c>
      <x:c r="M91" t="str">
        <x:v>Normal</x:v>
      </x:c>
      <x:c r="N91" t="n">
        <x:f>ROUND('밸런스 조정'!$C$30*(1+'밸런스 조정'!$C$32)^19*1,0)</x:f>
        <x:v>67</x:v>
      </x:c>
      <x:c r="O91" t="n">
        <x:f>ROUND('밸런스 조정'!$C$31*(1+'밸런스 조정'!$C$33)^19*1,0)</x:f>
        <x:v>323</x:v>
      </x:c>
      <x:c r="P91" t="n">
        <x:v>0.045</x:v>
      </x:c>
      <x:c r="Q91" s="52" t="n">
        <x:f>'밸런스 조정'!$C$64</x:f>
        <x:v>0</x:v>
      </x:c>
      <x:c r="R91" s="52" t="n">
        <x:f>'밸런스 조정'!$C$65*IF(M91="Boss",5,IF(M91="Elite",2,1))</x:f>
        <x:v>10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42</x:v>
      </x:c>
      <x:c r="J92" t="n">
        <x:v>0.55</x:v>
      </x:c>
      <x:c r="K92" t="n">
        <x:v>12</x:v>
      </x:c>
      <x:c r="L92" t="str">
        <x:v>같은 구간 왼쪽 적의 공격력·체력 참조.</x:v>
      </x:c>
      <x:c r="M92" t="str">
        <x:v>Normal</x:v>
      </x:c>
      <x:c r="N92" t="n">
        <x:f>N91</x:f>
        <x:v>67</x:v>
      </x:c>
      <x:c r="O92" t="n">
        <x:f>O91</x:f>
        <x:v>323</x:v>
      </x:c>
      <x:c r="P92"/>
      <x:c r="Q92" s="52" t="n">
        <x:f>'밸런스 조정'!$C$64</x:f>
        <x:v>0</x:v>
      </x:c>
      <x:c r="R92" s="52" t="n">
        <x:f>'밸런스 조정'!$C$65*IF(M92="Boss",5,IF(M92="Elite",2,1))</x:f>
        <x:v>10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42</x:v>
      </x:c>
      <x:c r="J93" t="n">
        <x:v>0.55</x:v>
      </x:c>
      <x:c r="K93" t="n">
        <x:v>12</x:v>
      </x:c>
      <x:c r="L93" t="str">
        <x:v>공격력·체력은 밸런스 조정 시트에서 계산.</x:v>
      </x:c>
      <x:c r="M93" t="str">
        <x:v>Elite</x:v>
      </x:c>
      <x:c r="N93" t="n">
        <x:f>ROUND('밸런스 조정'!$C$30*(1+'밸런스 조정'!$C$32)^20*'밸런스 조정'!$C$34,0)</x:f>
        <x:v>86</x:v>
      </x:c>
      <x:c r="O93" t="n">
        <x:f>ROUND('밸런스 조정'!$C$31*(1+'밸런스 조정'!$C$33)^20*'밸런스 조정'!$C$35,0)</x:f>
        <x:v>506</x:v>
      </x:c>
      <x:c r="P93" t="n">
        <x:v>0.045</x:v>
      </x:c>
      <x:c r="Q93" s="52" t="n">
        <x:f>'밸런스 조정'!$C$64</x:f>
        <x:v>0</x:v>
      </x:c>
      <x:c r="R93" s="52" t="n">
        <x:f>'밸런스 조정'!$C$65*IF(M93="Boss",5,IF(M93="Elite",2,1))</x:f>
        <x:v>20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42</x:v>
      </x:c>
      <x:c r="J94" t="n">
        <x:v>0.55</x:v>
      </x:c>
      <x:c r="K94" t="n">
        <x:v>12</x:v>
      </x:c>
      <x:c r="L94" t="str">
        <x:v>같은 구간 왼쪽 적의 공격력·체력 참조.</x:v>
      </x:c>
      <x:c r="M94" t="str">
        <x:v>Elite</x:v>
      </x:c>
      <x:c r="N94" t="n">
        <x:f>N93</x:f>
        <x:v>86</x:v>
      </x:c>
      <x:c r="O94" t="n">
        <x:f>O93</x:f>
        <x:v>506</x:v>
      </x:c>
      <x:c r="P94"/>
      <x:c r="Q94" s="52" t="n">
        <x:f>'밸런스 조정'!$C$64</x:f>
        <x:v>0</x:v>
      </x:c>
      <x:c r="R94" s="52" t="n">
        <x:f>'밸런스 조정'!$C$65*IF(M94="Boss",5,IF(M94="Elite",2,1))</x:f>
        <x:v>20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42</x:v>
      </x:c>
      <x:c r="J95" t="n">
        <x:v>0.55</x:v>
      </x:c>
      <x:c r="K95" t="n">
        <x:v>12</x:v>
      </x:c>
      <x:c r="L95" t="str">
        <x:v>공격력·체력은 밸런스 조정 시트에서 계산.</x:v>
      </x:c>
      <x:c r="M95" t="str">
        <x:v>Elite</x:v>
      </x:c>
      <x:c r="N95" t="n">
        <x:f>ROUND('밸런스 조정'!$C$30*(1+'밸런스 조정'!$C$32)^21*'밸런스 조정'!$C$34,0)</x:f>
        <x:v>88</x:v>
      </x:c>
      <x:c r="O95" t="n">
        <x:f>ROUND('밸런스 조정'!$C$31*(1+'밸런스 조정'!$C$33)^21*'밸런스 조정'!$C$35,0)</x:f>
        <x:v>529</x:v>
      </x:c>
      <x:c r="P95" t="n">
        <x:v>0.045</x:v>
      </x:c>
      <x:c r="Q95" s="52" t="n">
        <x:f>'밸런스 조정'!$C$64</x:f>
        <x:v>0</x:v>
      </x:c>
      <x:c r="R95" s="52" t="n">
        <x:f>'밸런스 조정'!$C$65*IF(M95="Boss",5,IF(M95="Elite",2,1))</x:f>
        <x:v>20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42</x:v>
      </x:c>
      <x:c r="J96" t="n">
        <x:v>0.55</x:v>
      </x:c>
      <x:c r="K96" t="n">
        <x:v>12</x:v>
      </x:c>
      <x:c r="L96" t="str">
        <x:v>같은 구간 왼쪽 적의 공격력·체력 참조.</x:v>
      </x:c>
      <x:c r="M96" t="str">
        <x:v>Elite</x:v>
      </x:c>
      <x:c r="N96" t="n">
        <x:f>N95</x:f>
        <x:v>88</x:v>
      </x:c>
      <x:c r="O96" t="n">
        <x:f>O95</x:f>
        <x:v>529</x:v>
      </x:c>
      <x:c r="P96"/>
      <x:c r="Q96" s="52" t="n">
        <x:f>'밸런스 조정'!$C$64</x:f>
        <x:v>0</x:v>
      </x:c>
      <x:c r="R96" s="52" t="n">
        <x:f>'밸런스 조정'!$C$65*IF(M96="Boss",5,IF(M96="Elite",2,1))</x:f>
        <x:v>20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2.8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72</x:v>
      </x:c>
      <x:c r="O97" t="n">
        <x:f>ROUND('밸런스 조정'!$C$31*(1+'밸런스 조정'!$C$33)^22*1,0)</x:f>
        <x:v>369</x:v>
      </x:c>
      <x:c r="P97" t="n">
        <x:v>0.045</x:v>
      </x:c>
      <x:c r="Q97" s="52" t="n">
        <x:f>'밸런스 조정'!$C$64</x:f>
        <x:v>0</x:v>
      </x:c>
      <x:c r="R97" s="52" t="n">
        <x:f>'밸런스 조정'!$C$65*IF(M97="Boss",5,IF(M97="Elite",2,1))</x:f>
        <x:v>10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2.8</x:v>
      </x:c>
      <x:c r="I98" t="n">
        <x:v>42</x:v>
      </x:c>
      <x:c r="J98" t="n">
        <x:v>0.55</x:v>
      </x:c>
      <x:c r="K98" t="n">
        <x:v>12</x:v>
      </x:c>
      <x:c r="L98" t="str">
        <x:v>같은 구간 왼쪽 적의 공격력·체력 참조.</x:v>
      </x:c>
      <x:c r="M98" t="str">
        <x:v>Normal</x:v>
      </x:c>
      <x:c r="N98" t="n">
        <x:f>N97</x:f>
        <x:v>72</x:v>
      </x:c>
      <x:c r="O98" t="n">
        <x:f>O97</x:f>
        <x:v>369</x:v>
      </x:c>
      <x:c r="P98"/>
      <x:c r="Q98" s="52" t="n">
        <x:f>'밸런스 조정'!$C$64</x:f>
        <x:v>0</x:v>
      </x:c>
      <x:c r="R98" s="52" t="n">
        <x:f>'밸런스 조정'!$C$65*IF(M98="Boss",5,IF(M98="Elite",2,1))</x:f>
        <x:v>10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38</x:v>
      </x:c>
      <x:c r="J99" t="n">
        <x:v>0.55</x:v>
      </x:c>
      <x:c r="K99" t="n">
        <x:v>12</x:v>
      </x:c>
      <x:c r="L99" t="str">
        <x:v>공격력·체력은 밸런스 조정 시트에서 계산.</x:v>
      </x:c>
      <x:c r="M99" t="str">
        <x:v>Normal</x:v>
      </x:c>
      <x:c r="N99" t="n">
        <x:f>ROUND('밸런스 조정'!$C$30*(1+'밸런스 조정'!$C$32)^23*1,0)</x:f>
        <x:v>74</x:v>
      </x:c>
      <x:c r="O99" t="n">
        <x:f>ROUND('밸런스 조정'!$C$31*(1+'밸런스 조정'!$C$33)^23*1,0)</x:f>
        <x:v>385</x:v>
      </x:c>
      <x:c r="P99" t="n">
        <x:v>0.045</x:v>
      </x:c>
      <x:c r="Q99" s="52" t="n">
        <x:f>'밸런스 조정'!$C$64</x:f>
        <x:v>0</x:v>
      </x:c>
      <x:c r="R99" s="52" t="n">
        <x:f>'밸런스 조정'!$C$65*IF(M99="Boss",5,IF(M99="Elite",2,1))</x:f>
        <x:v>10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38</x:v>
      </x:c>
      <x:c r="J100" t="n">
        <x:v>0.55</x:v>
      </x:c>
      <x:c r="K100" t="n">
        <x:v>12</x:v>
      </x:c>
      <x:c r="L100" t="str">
        <x:v>같은 구간 왼쪽 적의 공격력·체력 참조.</x:v>
      </x:c>
      <x:c r="M100" t="str">
        <x:v>Normal</x:v>
      </x:c>
      <x:c r="N100" t="n">
        <x:f>N99</x:f>
        <x:v>74</x:v>
      </x:c>
      <x:c r="O100" t="n">
        <x:f>O99</x:f>
        <x:v>385</x:v>
      </x:c>
      <x:c r="P100"/>
      <x:c r="Q100" s="52" t="n">
        <x:f>'밸런스 조정'!$C$64</x:f>
        <x:v>0</x:v>
      </x:c>
      <x:c r="R100" s="52" t="n">
        <x:f>'밸런스 조정'!$C$65*IF(M100="Boss",5,IF(M100="Elite",2,1))</x:f>
        <x:v>10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42</x:v>
      </x:c>
      <x:c r="J101" t="n">
        <x:v>0.55</x:v>
      </x:c>
      <x:c r="K101" t="n">
        <x:v>12</x:v>
      </x:c>
      <x:c r="L101" t="str">
        <x:v>공격력·체력은 밸런스 조정 시트에서 계산.</x:v>
      </x:c>
      <x:c r="M101" t="str">
        <x:v>Boss</x:v>
      </x:c>
      <x:c r="N101" t="n">
        <x:f>ROUND('밸런스 조정'!$C$30*(1+'밸런스 조정'!$C$32)^24*'밸런스 조정'!$C$36,0)</x:f>
        <x:v>137</x:v>
      </x:c>
      <x:c r="O101" t="n">
        <x:f>ROUND('밸런스 조정'!$C$31*(1+'밸런스 조정'!$C$33)^24*'밸런스 조정'!$C$37,0)</x:f>
        <x:v>1047</x:v>
      </x:c>
      <x:c r="P101" t="n">
        <x:v>0.045</x:v>
      </x:c>
      <x:c r="Q101" s="52" t="n">
        <x:f>'밸런스 조정'!$C$64</x:f>
        <x:v>0</x:v>
      </x:c>
      <x:c r="R101" s="52" t="n">
        <x:f>'밸런스 조정'!$C$65*IF(M101="Boss",5,IF(M101="Elite",2,1))</x:f>
        <x:v>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42</x:v>
      </x:c>
      <x:c r="J102" t="n">
        <x:v>0.55</x:v>
      </x:c>
      <x:c r="K102" t="n">
        <x:v>12</x:v>
      </x:c>
      <x:c r="L102" t="str">
        <x:v>같은 구간 왼쪽 적의 공격력·체력 참조.</x:v>
      </x:c>
      <x:c r="M102" t="str">
        <x:v>Boss</x:v>
      </x:c>
      <x:c r="N102" t="n">
        <x:f>N101</x:f>
        <x:v>137</x:v>
      </x:c>
      <x:c r="O102" t="n">
        <x:f>O101</x:f>
        <x:v>1047</x:v>
      </x:c>
      <x:c r="P102"/>
      <x:c r="Q102" s="52" t="n">
        <x:f>'밸런스 조정'!$C$64</x:f>
        <x:v>0</x:v>
      </x:c>
      <x:c r="R102" s="52" t="n">
        <x:f>'밸런스 조정'!$C$65*IF(M102="Boss",5,IF(M102="Elite",2,1))</x:f>
        <x:v>50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1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25</x:v>
      </x:c>
      <x:c r="H28" t="str">
        <x:v>예고와 진행 간격을 확보한 고속도로 장애물</x:v>
      </x:c>
      <x:c r="I28" t="n">
        <x:f>'밸런스 조정'!$C$41</x:f>
        <x:v>85</x:v>
      </x:c>
      <x:c r="J28" t="n">
        <x:f>'밸런스 조정'!$C$42</x:f>
        <x:v>1.5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25</x:v>
      </x:c>
      <x:c r="H29" t="str">
        <x:v>예고와 진행 간격을 확보한 고속도로 장애물</x:v>
      </x:c>
      <x:c r="I29" t="n">
        <x:f>'밸런스 조정'!$C$41</x:f>
        <x:v>85</x:v>
      </x:c>
      <x:c r="J29" t="n">
        <x:f>'밸런스 조정'!$C$42</x:f>
        <x:v>1.5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25</x:v>
      </x:c>
      <x:c r="H30" t="str">
        <x:v>예고와 진행 간격을 확보한 고속도로 장애물</x:v>
      </x:c>
      <x:c r="I30" t="n">
        <x:f>'밸런스 조정'!$C$41</x:f>
        <x:v>85</x:v>
      </x:c>
      <x:c r="J30" t="n">
        <x:f>'밸런스 조정'!$C$42</x:f>
        <x:v>1.5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25</x:v>
      </x:c>
      <x:c r="H31" t="str">
        <x:v>예고와 진행 간격을 확보한 고속도로 장애물</x:v>
      </x:c>
      <x:c r="I31" t="n">
        <x:f>'밸런스 조정'!$C$41</x:f>
        <x:v>85</x:v>
      </x:c>
      <x:c r="J31" t="n">
        <x:f>'밸런스 조정'!$C$42</x:f>
        <x:v>1.5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25</x:v>
      </x:c>
      <x:c r="H32" t="str">
        <x:v>예고와 진행 간격을 확보한 고속도로 장애물</x:v>
      </x:c>
      <x:c r="I32" t="n">
        <x:f>'밸런스 조정'!$C$41</x:f>
        <x:v>85</x:v>
      </x:c>
      <x:c r="J32" t="n">
        <x:f>'밸런스 조정'!$C$42</x:f>
        <x:v>1.5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25</x:v>
      </x:c>
      <x:c r="H33" t="str">
        <x:v>예고와 진행 간격을 확보한 고속도로 장애물</x:v>
      </x:c>
      <x:c r="I33" t="n">
        <x:f>'밸런스 조정'!$C$41</x:f>
        <x:v>85</x:v>
      </x:c>
      <x:c r="J33" t="n">
        <x:f>'밸런스 조정'!$C$42</x:f>
        <x:v>1.5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25</x:v>
      </x:c>
      <x:c r="H34" t="str">
        <x:v>예고와 진행 간격을 확보한 고속도로 장애물</x:v>
      </x:c>
      <x:c r="I34" t="n">
        <x:f>'밸런스 조정'!$C$41</x:f>
        <x:v>85</x:v>
      </x:c>
      <x:c r="J34" t="n">
        <x:f>'밸런스 조정'!$C$42</x:f>
        <x:v>1.5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25</x:v>
      </x:c>
      <x:c r="H35" t="str">
        <x:v>예고와 진행 간격을 확보한 고속도로 장애물</x:v>
      </x:c>
      <x:c r="I35" t="n">
        <x:f>'밸런스 조정'!$C$41</x:f>
        <x:v>85</x:v>
      </x:c>
      <x:c r="J35" t="n">
        <x:f>'밸런스 조정'!$C$42</x:f>
        <x:v>1.5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25</x:v>
      </x:c>
      <x:c r="H36" t="str">
        <x:v>예고와 진행 간격을 확보한 고속도로 장애물</x:v>
      </x:c>
      <x:c r="I36" t="n">
        <x:f>'밸런스 조정'!$C$41</x:f>
        <x:v>85</x:v>
      </x:c>
      <x:c r="J36" t="n">
        <x:f>'밸런스 조정'!$C$42</x:f>
        <x:v>1.5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25</x:v>
      </x:c>
      <x:c r="H37" t="str">
        <x:v>예고와 진행 간격을 확보한 고속도로 장애물</x:v>
      </x:c>
      <x:c r="I37" t="n">
        <x:f>'밸런스 조정'!$C$41</x:f>
        <x:v>85</x:v>
      </x:c>
      <x:c r="J37" t="n">
        <x:f>'밸런스 조정'!$C$42</x:f>
        <x:v>1.5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25</x:v>
      </x:c>
      <x:c r="H38" t="str">
        <x:v>예고와 진행 간격을 확보한 고속도로 장애물</x:v>
      </x:c>
      <x:c r="I38" t="n">
        <x:f>'밸런스 조정'!$C$41</x:f>
        <x:v>85</x:v>
      </x:c>
      <x:c r="J38" t="n">
        <x:f>'밸런스 조정'!$C$42</x:f>
        <x:v>1.5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25</x:v>
      </x:c>
      <x:c r="H39" t="str">
        <x:v>예고와 진행 간격을 확보한 고속도로 장애물</x:v>
      </x:c>
      <x:c r="I39" t="n">
        <x:f>'밸런스 조정'!$C$41</x:f>
        <x:v>85</x:v>
      </x:c>
      <x:c r="J39" t="n">
        <x:f>'밸런스 조정'!$C$42</x:f>
        <x:v>1.5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25</x:v>
      </x:c>
      <x:c r="H40" t="str">
        <x:v>예고와 진행 간격을 확보한 고속도로 장애물</x:v>
      </x:c>
      <x:c r="I40" t="n">
        <x:f>'밸런스 조정'!$C$41</x:f>
        <x:v>85</x:v>
      </x:c>
      <x:c r="J40" t="n">
        <x:f>'밸런스 조정'!$C$42</x:f>
        <x:v>1.5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25</x:v>
      </x:c>
      <x:c r="H41" t="str">
        <x:v>예고와 진행 간격을 확보한 고속도로 장애물</x:v>
      </x:c>
      <x:c r="I41" t="n">
        <x:f>'밸런스 조정'!$C$41</x:f>
        <x:v>85</x:v>
      </x:c>
      <x:c r="J41" t="n">
        <x:f>'밸런스 조정'!$C$42</x:f>
        <x:v>1.5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35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1.5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40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1.5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35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1.5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35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1.5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40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1.5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35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1.5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35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1.5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40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1.5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35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1.5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25</x:v>
      </x:c>
      <x:c r="H51" t="str">
        <x:v>예고와 진행 간격을 확보한 고속도로 장애물</x:v>
      </x:c>
      <x:c r="I51" t="n">
        <x:f>'밸런스 조정'!$C$41</x:f>
        <x:v>85</x:v>
      </x:c>
      <x:c r="J51" t="n">
        <x:f>'밸런스 조정'!$C$42</x:f>
        <x:v>1.5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25</x:v>
      </x:c>
      <x:c r="H52" t="str">
        <x:v>예고와 진행 간격을 확보한 고속도로 장애물</x:v>
      </x:c>
      <x:c r="I52" t="n">
        <x:f>'밸런스 조정'!$C$41</x:f>
        <x:v>85</x:v>
      </x:c>
      <x:c r="J52" t="n">
        <x:f>'밸런스 조정'!$C$42</x:f>
        <x:v>1.5</x:v>
      </x:c>
      <x:c r="K52" t="n">
        <x:f>'밸런스 조정'!$C$43</x:f>
        <x:v>4</x:v>
      </x:c>
      <x:c r="L52" t="n">
        <x:f>0</x:f>
        <x:v>0</x:v>
      </x:c>
    </x:row>
    <x:row r="53">
      <x:c r="B53"/>
      <x:c r="C53"/>
      <x:c r="D53"/>
      <x:c r="E53"/>
      <x:c r="F53"/>
      <x:c r="G53"/>
      <x:c r="H53"/>
      <x:c r="I53"/>
      <x:c r="J53"/>
      <x:c r="K53"/>
      <x:c r="L53"/>
    </x:row>
    <x:row r="54">
      <x:c r="B54"/>
      <x:c r="C54"/>
      <x:c r="D54"/>
      <x:c r="E54"/>
      <x:c r="F54"/>
      <x:c r="G54"/>
      <x:c r="H54"/>
      <x:c r="I54"/>
      <x:c r="J54"/>
      <x:c r="K54"/>
      <x:c r="L54"/>
    </x:row>
    <x:row r="55">
      <x:c r="B55"/>
      <x:c r="C55"/>
      <x:c r="D55"/>
      <x:c r="E55"/>
      <x:c r="F55"/>
      <x:c r="G55"/>
      <x:c r="H55"/>
      <x:c r="I55"/>
      <x:c r="J55"/>
      <x:c r="K55"/>
      <x:c r="L55"/>
    </x:row>
    <x:row r="56">
      <x:c r="B56"/>
      <x:c r="C56"/>
      <x:c r="D56"/>
      <x:c r="E56"/>
      <x:c r="F56"/>
      <x:c r="G56"/>
      <x:c r="H56"/>
      <x:c r="I56"/>
      <x:c r="J56"/>
      <x:c r="K56"/>
      <x:c r="L56"/>
    </x:row>
    <x:row r="57">
      <x:c r="B57"/>
      <x:c r="C57"/>
      <x:c r="D57"/>
      <x:c r="E57"/>
      <x:c r="F57"/>
      <x:c r="G57"/>
      <x:c r="H57"/>
      <x:c r="I57"/>
      <x:c r="J57"/>
      <x:c r="K57"/>
      <x:c r="L57"/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42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140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0.025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0.045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25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35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40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85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1.5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17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18</x:v>
      </x:c>
      <x:c r="D56" s="56" t="str">
        <x:v>노량진 기준, 성장 유지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</x:v>
      </x:c>
      <x:c r="D69" s="56" t="str">
        <x:v>4레벨 이후 가격 증가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5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5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8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12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8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12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0.15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4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4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6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8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8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10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10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4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5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8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6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10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8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12</x:v>
      </x:c>
      <x:c r="L26" s="29" t="str">
        <x:v>Percent</x:v>
      </x:c>
    </x:row>
  </x:sheetData>
  <x:pageMargins left="0.7" right="0.7" top="0.75" bottom="0.75" header="0.3" footer="0.3"/>
</x:worksheet>
</file>